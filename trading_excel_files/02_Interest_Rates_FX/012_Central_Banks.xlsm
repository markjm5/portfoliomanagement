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esktop/Trading_Excel_Files/02_Interest_Rates_FX/"/>
    </mc:Choice>
  </mc:AlternateContent>
  <xr:revisionPtr revIDLastSave="0" documentId="13_ncr:1_{E5196E0E-522D-5D47-B7E9-5A1F5A34208A}" xr6:coauthVersionLast="47" xr6:coauthVersionMax="47" xr10:uidLastSave="{00000000-0000-0000-0000-000000000000}"/>
  <bookViews>
    <workbookView xWindow="-60100" yWindow="240" windowWidth="44440" windowHeight="26020" activeTab="3" xr2:uid="{8BE815CA-BFAD-42CE-8C05-F85A4FBF30BA}"/>
  </bookViews>
  <sheets>
    <sheet name="Notes" sheetId="2" r:id="rId1"/>
    <sheet name="Discount Rate" sheetId="1" r:id="rId2"/>
    <sheet name="Fed Funds Rate" sheetId="3" r:id="rId3"/>
    <sheet name="M2 new" sheetId="19" r:id="rId4"/>
    <sheet name="M2 (old)" sheetId="4" r:id="rId5"/>
    <sheet name="Fed Weekly Change" sheetId="16" r:id="rId6"/>
    <sheet name="Fed Balance Sheet" sheetId="5" r:id="rId7"/>
    <sheet name="BOJ Balance Sheet" sheetId="8" r:id="rId8"/>
    <sheet name="ECB Balance Sheet" sheetId="10" r:id="rId9"/>
  </sheets>
  <definedNames>
    <definedName name="_xlnm._FilterDatabase" localSheetId="7" hidden="1">'BOJ Balance Sheet'!#REF!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90" i="5" l="1"/>
  <c r="D987" i="5"/>
  <c r="D988" i="5"/>
  <c r="D989" i="5"/>
  <c r="D979" i="5"/>
  <c r="D980" i="5"/>
  <c r="D981" i="5"/>
  <c r="D982" i="5"/>
  <c r="D983" i="5"/>
  <c r="D984" i="5"/>
  <c r="D985" i="5"/>
  <c r="D986" i="5"/>
  <c r="C990" i="16"/>
  <c r="C989" i="16"/>
  <c r="C987" i="16"/>
  <c r="C988" i="16"/>
  <c r="C984" i="16"/>
  <c r="C985" i="16"/>
  <c r="C986" i="16"/>
  <c r="C979" i="16"/>
  <c r="C980" i="16"/>
  <c r="C981" i="16"/>
  <c r="C982" i="16"/>
  <c r="C983" i="16"/>
  <c r="E756" i="19"/>
  <c r="E757" i="19"/>
  <c r="D756" i="19"/>
  <c r="D757" i="19"/>
  <c r="C756" i="19"/>
  <c r="C757" i="19"/>
  <c r="D976" i="5"/>
  <c r="D977" i="5"/>
  <c r="D978" i="5"/>
  <c r="D969" i="5"/>
  <c r="D970" i="5"/>
  <c r="D971" i="5"/>
  <c r="D972" i="5"/>
  <c r="D973" i="5"/>
  <c r="D974" i="5"/>
  <c r="D97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C976" i="16"/>
  <c r="C977" i="16"/>
  <c r="C978" i="16"/>
  <c r="C966" i="16"/>
  <c r="C967" i="16"/>
  <c r="C968" i="16"/>
  <c r="C969" i="16"/>
  <c r="C970" i="16"/>
  <c r="C971" i="16"/>
  <c r="C972" i="16"/>
  <c r="C973" i="16"/>
  <c r="C974" i="16"/>
  <c r="C975" i="16"/>
  <c r="C957" i="16"/>
  <c r="C958" i="16"/>
  <c r="C959" i="16"/>
  <c r="C960" i="16"/>
  <c r="C961" i="16"/>
  <c r="C962" i="16"/>
  <c r="C963" i="16"/>
  <c r="C964" i="16"/>
  <c r="C965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18" i="16"/>
  <c r="C919" i="16"/>
  <c r="C920" i="16"/>
  <c r="C921" i="16"/>
  <c r="C922" i="16"/>
  <c r="C923" i="16"/>
  <c r="C924" i="16"/>
  <c r="C925" i="16"/>
  <c r="C926" i="16"/>
  <c r="C914" i="16"/>
  <c r="C915" i="16"/>
  <c r="C916" i="16"/>
  <c r="C917" i="16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E260" i="19"/>
  <c r="E261" i="19"/>
  <c r="E262" i="19"/>
  <c r="E263" i="19"/>
  <c r="E264" i="19"/>
  <c r="E265" i="19"/>
  <c r="E266" i="19"/>
  <c r="E267" i="19"/>
  <c r="E268" i="19"/>
  <c r="E269" i="19"/>
  <c r="E270" i="19"/>
  <c r="E271" i="19"/>
  <c r="E272" i="19"/>
  <c r="E273" i="19"/>
  <c r="E274" i="19"/>
  <c r="E275" i="19"/>
  <c r="E276" i="19"/>
  <c r="E277" i="19"/>
  <c r="E278" i="19"/>
  <c r="E279" i="19"/>
  <c r="E280" i="19"/>
  <c r="E281" i="19"/>
  <c r="E282" i="19"/>
  <c r="E283" i="19"/>
  <c r="E284" i="19"/>
  <c r="E285" i="19"/>
  <c r="E286" i="19"/>
  <c r="E287" i="19"/>
  <c r="E288" i="19"/>
  <c r="E289" i="19"/>
  <c r="E290" i="19"/>
  <c r="E291" i="19"/>
  <c r="E292" i="19"/>
  <c r="E293" i="19"/>
  <c r="E294" i="19"/>
  <c r="E295" i="19"/>
  <c r="E296" i="19"/>
  <c r="E297" i="19"/>
  <c r="E298" i="19"/>
  <c r="E299" i="19"/>
  <c r="E300" i="19"/>
  <c r="E301" i="19"/>
  <c r="E302" i="19"/>
  <c r="E303" i="19"/>
  <c r="E304" i="19"/>
  <c r="E305" i="19"/>
  <c r="E306" i="19"/>
  <c r="E307" i="19"/>
  <c r="E308" i="19"/>
  <c r="E309" i="19"/>
  <c r="E310" i="19"/>
  <c r="E311" i="19"/>
  <c r="E312" i="19"/>
  <c r="E313" i="19"/>
  <c r="E314" i="19"/>
  <c r="E315" i="19"/>
  <c r="E316" i="19"/>
  <c r="E317" i="19"/>
  <c r="E318" i="19"/>
  <c r="E319" i="19"/>
  <c r="E320" i="19"/>
  <c r="E321" i="19"/>
  <c r="E322" i="19"/>
  <c r="E323" i="19"/>
  <c r="E324" i="19"/>
  <c r="E325" i="19"/>
  <c r="E326" i="19"/>
  <c r="E327" i="19"/>
  <c r="E328" i="19"/>
  <c r="E329" i="19"/>
  <c r="E330" i="19"/>
  <c r="E331" i="19"/>
  <c r="E332" i="19"/>
  <c r="E333" i="19"/>
  <c r="E334" i="19"/>
  <c r="E335" i="19"/>
  <c r="E336" i="19"/>
  <c r="E337" i="19"/>
  <c r="E338" i="19"/>
  <c r="E339" i="19"/>
  <c r="E340" i="19"/>
  <c r="E341" i="19"/>
  <c r="E342" i="19"/>
  <c r="E343" i="19"/>
  <c r="E344" i="19"/>
  <c r="E345" i="19"/>
  <c r="E346" i="19"/>
  <c r="E347" i="19"/>
  <c r="E348" i="19"/>
  <c r="E349" i="19"/>
  <c r="E350" i="19"/>
  <c r="E351" i="19"/>
  <c r="E352" i="19"/>
  <c r="E353" i="19"/>
  <c r="E354" i="19"/>
  <c r="E355" i="19"/>
  <c r="E356" i="19"/>
  <c r="E357" i="19"/>
  <c r="E358" i="19"/>
  <c r="E359" i="19"/>
  <c r="E360" i="19"/>
  <c r="E361" i="19"/>
  <c r="E362" i="19"/>
  <c r="E363" i="19"/>
  <c r="E364" i="19"/>
  <c r="E365" i="19"/>
  <c r="E366" i="19"/>
  <c r="E367" i="19"/>
  <c r="E368" i="19"/>
  <c r="E369" i="19"/>
  <c r="E370" i="19"/>
  <c r="E371" i="19"/>
  <c r="E372" i="19"/>
  <c r="E373" i="19"/>
  <c r="E374" i="19"/>
  <c r="E375" i="19"/>
  <c r="E376" i="19"/>
  <c r="E377" i="19"/>
  <c r="E378" i="19"/>
  <c r="E379" i="19"/>
  <c r="E380" i="19"/>
  <c r="E381" i="19"/>
  <c r="E382" i="19"/>
  <c r="E383" i="19"/>
  <c r="E384" i="19"/>
  <c r="E385" i="19"/>
  <c r="E386" i="19"/>
  <c r="E387" i="19"/>
  <c r="E388" i="19"/>
  <c r="E389" i="19"/>
  <c r="E390" i="19"/>
  <c r="E391" i="19"/>
  <c r="E392" i="19"/>
  <c r="E393" i="19"/>
  <c r="E394" i="19"/>
  <c r="E395" i="19"/>
  <c r="E396" i="19"/>
  <c r="E397" i="19"/>
  <c r="E398" i="19"/>
  <c r="E399" i="19"/>
  <c r="E400" i="19"/>
  <c r="E401" i="19"/>
  <c r="E402" i="19"/>
  <c r="E403" i="19"/>
  <c r="E404" i="19"/>
  <c r="E405" i="19"/>
  <c r="E406" i="19"/>
  <c r="E407" i="19"/>
  <c r="E408" i="19"/>
  <c r="E409" i="19"/>
  <c r="E410" i="19"/>
  <c r="E411" i="19"/>
  <c r="E412" i="19"/>
  <c r="E413" i="19"/>
  <c r="E414" i="19"/>
  <c r="E415" i="19"/>
  <c r="E416" i="19"/>
  <c r="E417" i="19"/>
  <c r="E418" i="19"/>
  <c r="E419" i="19"/>
  <c r="E420" i="19"/>
  <c r="E421" i="19"/>
  <c r="E422" i="19"/>
  <c r="E423" i="19"/>
  <c r="E424" i="19"/>
  <c r="E425" i="19"/>
  <c r="E426" i="19"/>
  <c r="E427" i="19"/>
  <c r="E428" i="19"/>
  <c r="E429" i="19"/>
  <c r="E430" i="19"/>
  <c r="E431" i="19"/>
  <c r="E432" i="19"/>
  <c r="E433" i="19"/>
  <c r="E434" i="19"/>
  <c r="E435" i="19"/>
  <c r="E436" i="19"/>
  <c r="E437" i="19"/>
  <c r="E438" i="19"/>
  <c r="E439" i="19"/>
  <c r="E440" i="19"/>
  <c r="E441" i="19"/>
  <c r="E442" i="19"/>
  <c r="E443" i="19"/>
  <c r="E444" i="19"/>
  <c r="E445" i="19"/>
  <c r="E446" i="19"/>
  <c r="E447" i="19"/>
  <c r="E448" i="19"/>
  <c r="E449" i="19"/>
  <c r="E450" i="19"/>
  <c r="E451" i="19"/>
  <c r="E452" i="19"/>
  <c r="E453" i="19"/>
  <c r="E454" i="19"/>
  <c r="E455" i="19"/>
  <c r="E456" i="19"/>
  <c r="E457" i="19"/>
  <c r="E458" i="19"/>
  <c r="E459" i="19"/>
  <c r="E460" i="19"/>
  <c r="E461" i="19"/>
  <c r="E462" i="19"/>
  <c r="E463" i="19"/>
  <c r="E464" i="19"/>
  <c r="E465" i="19"/>
  <c r="E466" i="19"/>
  <c r="E467" i="19"/>
  <c r="E468" i="19"/>
  <c r="E469" i="19"/>
  <c r="E470" i="19"/>
  <c r="E471" i="19"/>
  <c r="E472" i="19"/>
  <c r="E473" i="19"/>
  <c r="E474" i="19"/>
  <c r="E475" i="19"/>
  <c r="E476" i="19"/>
  <c r="E477" i="19"/>
  <c r="E478" i="19"/>
  <c r="E479" i="19"/>
  <c r="E480" i="19"/>
  <c r="E481" i="19"/>
  <c r="E482" i="19"/>
  <c r="E483" i="19"/>
  <c r="E484" i="19"/>
  <c r="E485" i="19"/>
  <c r="E486" i="19"/>
  <c r="E487" i="19"/>
  <c r="E488" i="19"/>
  <c r="E489" i="19"/>
  <c r="E490" i="19"/>
  <c r="E491" i="19"/>
  <c r="E492" i="19"/>
  <c r="E493" i="19"/>
  <c r="E494" i="19"/>
  <c r="E495" i="19"/>
  <c r="E496" i="19"/>
  <c r="E497" i="19"/>
  <c r="E498" i="19"/>
  <c r="E499" i="19"/>
  <c r="E500" i="19"/>
  <c r="E501" i="19"/>
  <c r="E502" i="19"/>
  <c r="E503" i="19"/>
  <c r="E504" i="19"/>
  <c r="E505" i="19"/>
  <c r="E506" i="19"/>
  <c r="E507" i="19"/>
  <c r="E508" i="19"/>
  <c r="E509" i="19"/>
  <c r="E510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19" i="19"/>
  <c r="D367" i="19"/>
  <c r="D570" i="19"/>
  <c r="D606" i="19"/>
  <c r="D642" i="19"/>
  <c r="D677" i="19"/>
  <c r="D727" i="19"/>
  <c r="C755" i="19"/>
  <c r="D755" i="19" s="1"/>
  <c r="C754" i="19"/>
  <c r="D754" i="19" s="1"/>
  <c r="C753" i="19"/>
  <c r="D753" i="19" s="1"/>
  <c r="C752" i="19"/>
  <c r="D752" i="19" s="1"/>
  <c r="C751" i="19"/>
  <c r="D751" i="19" s="1"/>
  <c r="C750" i="19"/>
  <c r="D750" i="19" s="1"/>
  <c r="C749" i="19"/>
  <c r="D749" i="19" s="1"/>
  <c r="C748" i="19"/>
  <c r="D748" i="19" s="1"/>
  <c r="C747" i="19"/>
  <c r="D747" i="19" s="1"/>
  <c r="C746" i="19"/>
  <c r="D746" i="19" s="1"/>
  <c r="C745" i="19"/>
  <c r="D745" i="19" s="1"/>
  <c r="C744" i="19"/>
  <c r="D744" i="19" s="1"/>
  <c r="C743" i="19"/>
  <c r="D743" i="19" s="1"/>
  <c r="C742" i="19"/>
  <c r="D742" i="19" s="1"/>
  <c r="C741" i="19"/>
  <c r="D741" i="19" s="1"/>
  <c r="C740" i="19"/>
  <c r="D740" i="19" s="1"/>
  <c r="C739" i="19"/>
  <c r="D739" i="19" s="1"/>
  <c r="C738" i="19"/>
  <c r="D738" i="19" s="1"/>
  <c r="C737" i="19"/>
  <c r="D737" i="19" s="1"/>
  <c r="C736" i="19"/>
  <c r="D736" i="19" s="1"/>
  <c r="C735" i="19"/>
  <c r="D735" i="19" s="1"/>
  <c r="C734" i="19"/>
  <c r="D734" i="19" s="1"/>
  <c r="C733" i="19"/>
  <c r="D733" i="19" s="1"/>
  <c r="C732" i="19"/>
  <c r="D732" i="19" s="1"/>
  <c r="C731" i="19"/>
  <c r="D731" i="19" s="1"/>
  <c r="C730" i="19"/>
  <c r="D730" i="19" s="1"/>
  <c r="C729" i="19"/>
  <c r="D729" i="19" s="1"/>
  <c r="C728" i="19"/>
  <c r="D728" i="19" s="1"/>
  <c r="C727" i="19"/>
  <c r="C726" i="19"/>
  <c r="D726" i="19" s="1"/>
  <c r="C725" i="19"/>
  <c r="D725" i="19" s="1"/>
  <c r="C724" i="19"/>
  <c r="D724" i="19" s="1"/>
  <c r="C723" i="19"/>
  <c r="D723" i="19" s="1"/>
  <c r="C722" i="19"/>
  <c r="D722" i="19" s="1"/>
  <c r="C721" i="19"/>
  <c r="D721" i="19" s="1"/>
  <c r="C720" i="19"/>
  <c r="D720" i="19" s="1"/>
  <c r="C719" i="19"/>
  <c r="D719" i="19" s="1"/>
  <c r="C718" i="19"/>
  <c r="D718" i="19" s="1"/>
  <c r="C717" i="19"/>
  <c r="D717" i="19" s="1"/>
  <c r="C716" i="19"/>
  <c r="D716" i="19" s="1"/>
  <c r="C715" i="19"/>
  <c r="D715" i="19" s="1"/>
  <c r="C714" i="19"/>
  <c r="D714" i="19" s="1"/>
  <c r="C713" i="19"/>
  <c r="D713" i="19" s="1"/>
  <c r="C712" i="19"/>
  <c r="D712" i="19" s="1"/>
  <c r="C711" i="19"/>
  <c r="D711" i="19" s="1"/>
  <c r="C710" i="19"/>
  <c r="D710" i="19" s="1"/>
  <c r="C709" i="19"/>
  <c r="D709" i="19" s="1"/>
  <c r="C708" i="19"/>
  <c r="D708" i="19" s="1"/>
  <c r="C707" i="19"/>
  <c r="D707" i="19" s="1"/>
  <c r="C706" i="19"/>
  <c r="D706" i="19" s="1"/>
  <c r="C705" i="19"/>
  <c r="D705" i="19" s="1"/>
  <c r="C704" i="19"/>
  <c r="D704" i="19" s="1"/>
  <c r="C703" i="19"/>
  <c r="D703" i="19" s="1"/>
  <c r="C702" i="19"/>
  <c r="D702" i="19" s="1"/>
  <c r="C701" i="19"/>
  <c r="D701" i="19" s="1"/>
  <c r="C700" i="19"/>
  <c r="D700" i="19" s="1"/>
  <c r="C699" i="19"/>
  <c r="D699" i="19" s="1"/>
  <c r="C698" i="19"/>
  <c r="D698" i="19" s="1"/>
  <c r="C697" i="19"/>
  <c r="D697" i="19" s="1"/>
  <c r="C696" i="19"/>
  <c r="D696" i="19" s="1"/>
  <c r="C695" i="19"/>
  <c r="D695" i="19" s="1"/>
  <c r="C694" i="19"/>
  <c r="D694" i="19" s="1"/>
  <c r="C693" i="19"/>
  <c r="D693" i="19" s="1"/>
  <c r="C692" i="19"/>
  <c r="D692" i="19" s="1"/>
  <c r="C691" i="19"/>
  <c r="D691" i="19" s="1"/>
  <c r="C690" i="19"/>
  <c r="D690" i="19" s="1"/>
  <c r="C689" i="19"/>
  <c r="D689" i="19" s="1"/>
  <c r="C688" i="19"/>
  <c r="D688" i="19" s="1"/>
  <c r="C687" i="19"/>
  <c r="D687" i="19" s="1"/>
  <c r="C686" i="19"/>
  <c r="D686" i="19" s="1"/>
  <c r="C685" i="19"/>
  <c r="D685" i="19" s="1"/>
  <c r="C684" i="19"/>
  <c r="D684" i="19" s="1"/>
  <c r="C683" i="19"/>
  <c r="D683" i="19" s="1"/>
  <c r="C682" i="19"/>
  <c r="D682" i="19" s="1"/>
  <c r="C681" i="19"/>
  <c r="D681" i="19" s="1"/>
  <c r="C680" i="19"/>
  <c r="D680" i="19" s="1"/>
  <c r="C679" i="19"/>
  <c r="D679" i="19" s="1"/>
  <c r="C678" i="19"/>
  <c r="D678" i="19" s="1"/>
  <c r="C677" i="19"/>
  <c r="C676" i="19"/>
  <c r="D676" i="19" s="1"/>
  <c r="C675" i="19"/>
  <c r="D675" i="19" s="1"/>
  <c r="C674" i="19"/>
  <c r="D674" i="19" s="1"/>
  <c r="C673" i="19"/>
  <c r="D673" i="19" s="1"/>
  <c r="C672" i="19"/>
  <c r="D672" i="19" s="1"/>
  <c r="C671" i="19"/>
  <c r="D671" i="19" s="1"/>
  <c r="C670" i="19"/>
  <c r="D670" i="19" s="1"/>
  <c r="C669" i="19"/>
  <c r="D669" i="19" s="1"/>
  <c r="C668" i="19"/>
  <c r="D668" i="19" s="1"/>
  <c r="C667" i="19"/>
  <c r="D667" i="19" s="1"/>
  <c r="C666" i="19"/>
  <c r="D666" i="19" s="1"/>
  <c r="C665" i="19"/>
  <c r="D665" i="19" s="1"/>
  <c r="C664" i="19"/>
  <c r="D664" i="19" s="1"/>
  <c r="C663" i="19"/>
  <c r="D663" i="19" s="1"/>
  <c r="C662" i="19"/>
  <c r="D662" i="19" s="1"/>
  <c r="C661" i="19"/>
  <c r="D661" i="19" s="1"/>
  <c r="C660" i="19"/>
  <c r="D660" i="19" s="1"/>
  <c r="C659" i="19"/>
  <c r="D659" i="19" s="1"/>
  <c r="C658" i="19"/>
  <c r="D658" i="19" s="1"/>
  <c r="C657" i="19"/>
  <c r="D657" i="19" s="1"/>
  <c r="C656" i="19"/>
  <c r="D656" i="19" s="1"/>
  <c r="C655" i="19"/>
  <c r="D655" i="19" s="1"/>
  <c r="C654" i="19"/>
  <c r="D654" i="19" s="1"/>
  <c r="C653" i="19"/>
  <c r="D653" i="19" s="1"/>
  <c r="C652" i="19"/>
  <c r="D652" i="19" s="1"/>
  <c r="C651" i="19"/>
  <c r="D651" i="19" s="1"/>
  <c r="C650" i="19"/>
  <c r="D650" i="19" s="1"/>
  <c r="C649" i="19"/>
  <c r="D649" i="19" s="1"/>
  <c r="C648" i="19"/>
  <c r="D648" i="19" s="1"/>
  <c r="C647" i="19"/>
  <c r="D647" i="19" s="1"/>
  <c r="C646" i="19"/>
  <c r="D646" i="19" s="1"/>
  <c r="C645" i="19"/>
  <c r="D645" i="19" s="1"/>
  <c r="C644" i="19"/>
  <c r="D644" i="19" s="1"/>
  <c r="C643" i="19"/>
  <c r="D643" i="19" s="1"/>
  <c r="C642" i="19"/>
  <c r="C641" i="19"/>
  <c r="D641" i="19" s="1"/>
  <c r="C640" i="19"/>
  <c r="D640" i="19" s="1"/>
  <c r="C639" i="19"/>
  <c r="D639" i="19" s="1"/>
  <c r="C638" i="19"/>
  <c r="D638" i="19" s="1"/>
  <c r="C637" i="19"/>
  <c r="D637" i="19" s="1"/>
  <c r="C636" i="19"/>
  <c r="D636" i="19" s="1"/>
  <c r="C635" i="19"/>
  <c r="D635" i="19" s="1"/>
  <c r="C634" i="19"/>
  <c r="D634" i="19" s="1"/>
  <c r="C633" i="19"/>
  <c r="D633" i="19" s="1"/>
  <c r="C632" i="19"/>
  <c r="D632" i="19" s="1"/>
  <c r="C631" i="19"/>
  <c r="D631" i="19" s="1"/>
  <c r="C630" i="19"/>
  <c r="D630" i="19" s="1"/>
  <c r="C629" i="19"/>
  <c r="D629" i="19" s="1"/>
  <c r="C628" i="19"/>
  <c r="D628" i="19" s="1"/>
  <c r="C627" i="19"/>
  <c r="D627" i="19" s="1"/>
  <c r="C626" i="19"/>
  <c r="D626" i="19" s="1"/>
  <c r="C625" i="19"/>
  <c r="D625" i="19" s="1"/>
  <c r="C624" i="19"/>
  <c r="D624" i="19" s="1"/>
  <c r="C623" i="19"/>
  <c r="D623" i="19" s="1"/>
  <c r="C622" i="19"/>
  <c r="D622" i="19" s="1"/>
  <c r="C621" i="19"/>
  <c r="D621" i="19" s="1"/>
  <c r="C620" i="19"/>
  <c r="D620" i="19" s="1"/>
  <c r="C619" i="19"/>
  <c r="D619" i="19" s="1"/>
  <c r="C618" i="19"/>
  <c r="D618" i="19" s="1"/>
  <c r="C617" i="19"/>
  <c r="D617" i="19" s="1"/>
  <c r="C616" i="19"/>
  <c r="D616" i="19" s="1"/>
  <c r="C615" i="19"/>
  <c r="D615" i="19" s="1"/>
  <c r="C614" i="19"/>
  <c r="D614" i="19" s="1"/>
  <c r="C613" i="19"/>
  <c r="D613" i="19" s="1"/>
  <c r="C612" i="19"/>
  <c r="D612" i="19" s="1"/>
  <c r="C611" i="19"/>
  <c r="D611" i="19" s="1"/>
  <c r="C610" i="19"/>
  <c r="D610" i="19" s="1"/>
  <c r="C609" i="19"/>
  <c r="D609" i="19" s="1"/>
  <c r="C608" i="19"/>
  <c r="D608" i="19" s="1"/>
  <c r="C607" i="19"/>
  <c r="D607" i="19" s="1"/>
  <c r="C606" i="19"/>
  <c r="C605" i="19"/>
  <c r="D605" i="19" s="1"/>
  <c r="C604" i="19"/>
  <c r="D604" i="19" s="1"/>
  <c r="C603" i="19"/>
  <c r="D603" i="19" s="1"/>
  <c r="C602" i="19"/>
  <c r="D602" i="19" s="1"/>
  <c r="C601" i="19"/>
  <c r="D601" i="19" s="1"/>
  <c r="C600" i="19"/>
  <c r="D600" i="19" s="1"/>
  <c r="C599" i="19"/>
  <c r="D599" i="19" s="1"/>
  <c r="C598" i="19"/>
  <c r="D598" i="19" s="1"/>
  <c r="C597" i="19"/>
  <c r="D597" i="19" s="1"/>
  <c r="C596" i="19"/>
  <c r="D596" i="19" s="1"/>
  <c r="C595" i="19"/>
  <c r="D595" i="19" s="1"/>
  <c r="C594" i="19"/>
  <c r="D594" i="19" s="1"/>
  <c r="C593" i="19"/>
  <c r="D593" i="19" s="1"/>
  <c r="C592" i="19"/>
  <c r="D592" i="19" s="1"/>
  <c r="C591" i="19"/>
  <c r="D591" i="19" s="1"/>
  <c r="C590" i="19"/>
  <c r="D590" i="19" s="1"/>
  <c r="C589" i="19"/>
  <c r="D589" i="19" s="1"/>
  <c r="C588" i="19"/>
  <c r="D588" i="19" s="1"/>
  <c r="C587" i="19"/>
  <c r="D587" i="19" s="1"/>
  <c r="C586" i="19"/>
  <c r="D586" i="19" s="1"/>
  <c r="C585" i="19"/>
  <c r="D585" i="19" s="1"/>
  <c r="C584" i="19"/>
  <c r="D584" i="19" s="1"/>
  <c r="C583" i="19"/>
  <c r="D583" i="19" s="1"/>
  <c r="C582" i="19"/>
  <c r="D582" i="19" s="1"/>
  <c r="C581" i="19"/>
  <c r="D581" i="19" s="1"/>
  <c r="C580" i="19"/>
  <c r="D580" i="19" s="1"/>
  <c r="C579" i="19"/>
  <c r="D579" i="19" s="1"/>
  <c r="C578" i="19"/>
  <c r="D578" i="19" s="1"/>
  <c r="C577" i="19"/>
  <c r="D577" i="19" s="1"/>
  <c r="C576" i="19"/>
  <c r="D576" i="19" s="1"/>
  <c r="C575" i="19"/>
  <c r="D575" i="19" s="1"/>
  <c r="C574" i="19"/>
  <c r="D574" i="19" s="1"/>
  <c r="C573" i="19"/>
  <c r="D573" i="19" s="1"/>
  <c r="C572" i="19"/>
  <c r="D572" i="19" s="1"/>
  <c r="C571" i="19"/>
  <c r="D571" i="19" s="1"/>
  <c r="C570" i="19"/>
  <c r="C569" i="19"/>
  <c r="D569" i="19" s="1"/>
  <c r="C568" i="19"/>
  <c r="D568" i="19" s="1"/>
  <c r="C567" i="19"/>
  <c r="D567" i="19" s="1"/>
  <c r="C566" i="19"/>
  <c r="D566" i="19" s="1"/>
  <c r="C565" i="19"/>
  <c r="D565" i="19" s="1"/>
  <c r="C564" i="19"/>
  <c r="D564" i="19" s="1"/>
  <c r="C563" i="19"/>
  <c r="D563" i="19" s="1"/>
  <c r="C562" i="19"/>
  <c r="D562" i="19" s="1"/>
  <c r="C561" i="19"/>
  <c r="D561" i="19" s="1"/>
  <c r="C560" i="19"/>
  <c r="D560" i="19" s="1"/>
  <c r="C559" i="19"/>
  <c r="D559" i="19" s="1"/>
  <c r="C558" i="19"/>
  <c r="D558" i="19" s="1"/>
  <c r="C557" i="19"/>
  <c r="D557" i="19" s="1"/>
  <c r="C556" i="19"/>
  <c r="D556" i="19" s="1"/>
  <c r="C555" i="19"/>
  <c r="D555" i="19" s="1"/>
  <c r="C554" i="19"/>
  <c r="D554" i="19" s="1"/>
  <c r="C553" i="19"/>
  <c r="D553" i="19" s="1"/>
  <c r="C552" i="19"/>
  <c r="D552" i="19" s="1"/>
  <c r="C551" i="19"/>
  <c r="D551" i="19" s="1"/>
  <c r="C550" i="19"/>
  <c r="D550" i="19" s="1"/>
  <c r="C549" i="19"/>
  <c r="D549" i="19" s="1"/>
  <c r="C548" i="19"/>
  <c r="D548" i="19" s="1"/>
  <c r="C547" i="19"/>
  <c r="D547" i="19" s="1"/>
  <c r="C546" i="19"/>
  <c r="D546" i="19" s="1"/>
  <c r="C545" i="19"/>
  <c r="D545" i="19" s="1"/>
  <c r="C544" i="19"/>
  <c r="D544" i="19" s="1"/>
  <c r="C543" i="19"/>
  <c r="D543" i="19" s="1"/>
  <c r="C542" i="19"/>
  <c r="D542" i="19" s="1"/>
  <c r="C541" i="19"/>
  <c r="D541" i="19" s="1"/>
  <c r="C540" i="19"/>
  <c r="D540" i="19" s="1"/>
  <c r="C539" i="19"/>
  <c r="D539" i="19" s="1"/>
  <c r="C538" i="19"/>
  <c r="D538" i="19" s="1"/>
  <c r="C537" i="19"/>
  <c r="D537" i="19" s="1"/>
  <c r="C536" i="19"/>
  <c r="D536" i="19" s="1"/>
  <c r="C535" i="19"/>
  <c r="D535" i="19" s="1"/>
  <c r="C534" i="19"/>
  <c r="D534" i="19" s="1"/>
  <c r="C533" i="19"/>
  <c r="D533" i="19" s="1"/>
  <c r="C532" i="19"/>
  <c r="D532" i="19" s="1"/>
  <c r="C531" i="19"/>
  <c r="D531" i="19" s="1"/>
  <c r="C530" i="19"/>
  <c r="D530" i="19" s="1"/>
  <c r="C529" i="19"/>
  <c r="D529" i="19" s="1"/>
  <c r="C528" i="19"/>
  <c r="D528" i="19" s="1"/>
  <c r="C527" i="19"/>
  <c r="D527" i="19" s="1"/>
  <c r="C526" i="19"/>
  <c r="D526" i="19" s="1"/>
  <c r="C525" i="19"/>
  <c r="D525" i="19" s="1"/>
  <c r="C524" i="19"/>
  <c r="D524" i="19" s="1"/>
  <c r="C523" i="19"/>
  <c r="D523" i="19" s="1"/>
  <c r="C522" i="19"/>
  <c r="D522" i="19" s="1"/>
  <c r="C521" i="19"/>
  <c r="D521" i="19" s="1"/>
  <c r="C520" i="19"/>
  <c r="D520" i="19" s="1"/>
  <c r="C519" i="19"/>
  <c r="D519" i="19" s="1"/>
  <c r="C518" i="19"/>
  <c r="D518" i="19" s="1"/>
  <c r="C517" i="19"/>
  <c r="D517" i="19" s="1"/>
  <c r="C516" i="19"/>
  <c r="D516" i="19" s="1"/>
  <c r="C515" i="19"/>
  <c r="D515" i="19" s="1"/>
  <c r="C514" i="19"/>
  <c r="D514" i="19" s="1"/>
  <c r="C513" i="19"/>
  <c r="D513" i="19" s="1"/>
  <c r="C512" i="19"/>
  <c r="D512" i="19" s="1"/>
  <c r="C511" i="19"/>
  <c r="D511" i="19" s="1"/>
  <c r="C510" i="19"/>
  <c r="D510" i="19" s="1"/>
  <c r="C509" i="19"/>
  <c r="D509" i="19" s="1"/>
  <c r="C508" i="19"/>
  <c r="D508" i="19" s="1"/>
  <c r="C507" i="19"/>
  <c r="D507" i="19" s="1"/>
  <c r="C506" i="19"/>
  <c r="D506" i="19" s="1"/>
  <c r="C505" i="19"/>
  <c r="D505" i="19" s="1"/>
  <c r="C504" i="19"/>
  <c r="D504" i="19" s="1"/>
  <c r="C503" i="19"/>
  <c r="D503" i="19" s="1"/>
  <c r="C502" i="19"/>
  <c r="D502" i="19" s="1"/>
  <c r="C501" i="19"/>
  <c r="D501" i="19" s="1"/>
  <c r="C500" i="19"/>
  <c r="D500" i="19" s="1"/>
  <c r="C499" i="19"/>
  <c r="D499" i="19" s="1"/>
  <c r="C498" i="19"/>
  <c r="D498" i="19" s="1"/>
  <c r="C497" i="19"/>
  <c r="D497" i="19" s="1"/>
  <c r="C496" i="19"/>
  <c r="D496" i="19" s="1"/>
  <c r="C495" i="19"/>
  <c r="D495" i="19" s="1"/>
  <c r="C494" i="19"/>
  <c r="D494" i="19" s="1"/>
  <c r="C493" i="19"/>
  <c r="D493" i="19" s="1"/>
  <c r="C492" i="19"/>
  <c r="D492" i="19" s="1"/>
  <c r="C491" i="19"/>
  <c r="D491" i="19" s="1"/>
  <c r="C490" i="19"/>
  <c r="D490" i="19" s="1"/>
  <c r="C489" i="19"/>
  <c r="D489" i="19" s="1"/>
  <c r="C488" i="19"/>
  <c r="D488" i="19" s="1"/>
  <c r="C487" i="19"/>
  <c r="D487" i="19" s="1"/>
  <c r="C486" i="19"/>
  <c r="D486" i="19" s="1"/>
  <c r="C485" i="19"/>
  <c r="D485" i="19" s="1"/>
  <c r="C484" i="19"/>
  <c r="D484" i="19" s="1"/>
  <c r="C483" i="19"/>
  <c r="D483" i="19" s="1"/>
  <c r="C482" i="19"/>
  <c r="D482" i="19" s="1"/>
  <c r="C481" i="19"/>
  <c r="D481" i="19" s="1"/>
  <c r="C480" i="19"/>
  <c r="D480" i="19" s="1"/>
  <c r="C479" i="19"/>
  <c r="D479" i="19" s="1"/>
  <c r="C478" i="19"/>
  <c r="D478" i="19" s="1"/>
  <c r="C477" i="19"/>
  <c r="D477" i="19" s="1"/>
  <c r="C476" i="19"/>
  <c r="D476" i="19" s="1"/>
  <c r="C475" i="19"/>
  <c r="D475" i="19" s="1"/>
  <c r="C474" i="19"/>
  <c r="D474" i="19" s="1"/>
  <c r="C473" i="19"/>
  <c r="D473" i="19" s="1"/>
  <c r="C472" i="19"/>
  <c r="D472" i="19" s="1"/>
  <c r="C471" i="19"/>
  <c r="D471" i="19" s="1"/>
  <c r="C470" i="19"/>
  <c r="D470" i="19" s="1"/>
  <c r="C469" i="19"/>
  <c r="D469" i="19" s="1"/>
  <c r="C468" i="19"/>
  <c r="D468" i="19" s="1"/>
  <c r="C467" i="19"/>
  <c r="D467" i="19" s="1"/>
  <c r="C466" i="19"/>
  <c r="D466" i="19" s="1"/>
  <c r="C465" i="19"/>
  <c r="D465" i="19" s="1"/>
  <c r="C464" i="19"/>
  <c r="D464" i="19" s="1"/>
  <c r="C463" i="19"/>
  <c r="D463" i="19" s="1"/>
  <c r="C462" i="19"/>
  <c r="D462" i="19" s="1"/>
  <c r="C461" i="19"/>
  <c r="D461" i="19" s="1"/>
  <c r="C460" i="19"/>
  <c r="D460" i="19" s="1"/>
  <c r="C459" i="19"/>
  <c r="D459" i="19" s="1"/>
  <c r="C458" i="19"/>
  <c r="D458" i="19" s="1"/>
  <c r="C457" i="19"/>
  <c r="D457" i="19" s="1"/>
  <c r="C456" i="19"/>
  <c r="D456" i="19" s="1"/>
  <c r="C455" i="19"/>
  <c r="D455" i="19" s="1"/>
  <c r="C454" i="19"/>
  <c r="D454" i="19" s="1"/>
  <c r="C453" i="19"/>
  <c r="D453" i="19" s="1"/>
  <c r="C452" i="19"/>
  <c r="D452" i="19" s="1"/>
  <c r="C451" i="19"/>
  <c r="D451" i="19" s="1"/>
  <c r="C450" i="19"/>
  <c r="D450" i="19" s="1"/>
  <c r="C449" i="19"/>
  <c r="D449" i="19" s="1"/>
  <c r="C448" i="19"/>
  <c r="D448" i="19" s="1"/>
  <c r="C447" i="19"/>
  <c r="D447" i="19" s="1"/>
  <c r="C446" i="19"/>
  <c r="D446" i="19" s="1"/>
  <c r="C445" i="19"/>
  <c r="D445" i="19" s="1"/>
  <c r="C444" i="19"/>
  <c r="D444" i="19" s="1"/>
  <c r="C443" i="19"/>
  <c r="D443" i="19" s="1"/>
  <c r="C442" i="19"/>
  <c r="D442" i="19" s="1"/>
  <c r="C441" i="19"/>
  <c r="D441" i="19" s="1"/>
  <c r="C440" i="19"/>
  <c r="D440" i="19" s="1"/>
  <c r="C439" i="19"/>
  <c r="D439" i="19" s="1"/>
  <c r="C438" i="19"/>
  <c r="D438" i="19" s="1"/>
  <c r="C437" i="19"/>
  <c r="D437" i="19" s="1"/>
  <c r="C436" i="19"/>
  <c r="D436" i="19" s="1"/>
  <c r="C435" i="19"/>
  <c r="D435" i="19" s="1"/>
  <c r="C434" i="19"/>
  <c r="D434" i="19" s="1"/>
  <c r="C433" i="19"/>
  <c r="D433" i="19" s="1"/>
  <c r="C432" i="19"/>
  <c r="D432" i="19" s="1"/>
  <c r="C431" i="19"/>
  <c r="D431" i="19" s="1"/>
  <c r="C430" i="19"/>
  <c r="D430" i="19" s="1"/>
  <c r="C429" i="19"/>
  <c r="D429" i="19" s="1"/>
  <c r="C428" i="19"/>
  <c r="D428" i="19" s="1"/>
  <c r="C427" i="19"/>
  <c r="D427" i="19" s="1"/>
  <c r="C426" i="19"/>
  <c r="D426" i="19" s="1"/>
  <c r="C425" i="19"/>
  <c r="D425" i="19" s="1"/>
  <c r="C424" i="19"/>
  <c r="D424" i="19" s="1"/>
  <c r="C423" i="19"/>
  <c r="D423" i="19" s="1"/>
  <c r="C422" i="19"/>
  <c r="D422" i="19" s="1"/>
  <c r="C421" i="19"/>
  <c r="D421" i="19" s="1"/>
  <c r="C420" i="19"/>
  <c r="D420" i="19" s="1"/>
  <c r="C419" i="19"/>
  <c r="D419" i="19" s="1"/>
  <c r="C418" i="19"/>
  <c r="D418" i="19" s="1"/>
  <c r="C417" i="19"/>
  <c r="D417" i="19" s="1"/>
  <c r="C416" i="19"/>
  <c r="D416" i="19" s="1"/>
  <c r="C415" i="19"/>
  <c r="D415" i="19" s="1"/>
  <c r="C414" i="19"/>
  <c r="D414" i="19" s="1"/>
  <c r="C413" i="19"/>
  <c r="D413" i="19" s="1"/>
  <c r="C412" i="19"/>
  <c r="D412" i="19" s="1"/>
  <c r="C411" i="19"/>
  <c r="D411" i="19" s="1"/>
  <c r="C410" i="19"/>
  <c r="D410" i="19" s="1"/>
  <c r="C409" i="19"/>
  <c r="D409" i="19" s="1"/>
  <c r="C408" i="19"/>
  <c r="D408" i="19" s="1"/>
  <c r="C407" i="19"/>
  <c r="D407" i="19" s="1"/>
  <c r="C406" i="19"/>
  <c r="D406" i="19" s="1"/>
  <c r="C405" i="19"/>
  <c r="D405" i="19" s="1"/>
  <c r="C404" i="19"/>
  <c r="D404" i="19" s="1"/>
  <c r="C403" i="19"/>
  <c r="D403" i="19" s="1"/>
  <c r="C402" i="19"/>
  <c r="D402" i="19" s="1"/>
  <c r="C401" i="19"/>
  <c r="D401" i="19" s="1"/>
  <c r="C400" i="19"/>
  <c r="D400" i="19" s="1"/>
  <c r="C399" i="19"/>
  <c r="D399" i="19" s="1"/>
  <c r="C398" i="19"/>
  <c r="D398" i="19" s="1"/>
  <c r="C397" i="19"/>
  <c r="D397" i="19" s="1"/>
  <c r="C396" i="19"/>
  <c r="D396" i="19" s="1"/>
  <c r="C395" i="19"/>
  <c r="D395" i="19" s="1"/>
  <c r="C394" i="19"/>
  <c r="D394" i="19" s="1"/>
  <c r="C393" i="19"/>
  <c r="D393" i="19" s="1"/>
  <c r="C392" i="19"/>
  <c r="D392" i="19" s="1"/>
  <c r="C391" i="19"/>
  <c r="D391" i="19" s="1"/>
  <c r="C390" i="19"/>
  <c r="D390" i="19" s="1"/>
  <c r="C389" i="19"/>
  <c r="D389" i="19" s="1"/>
  <c r="C388" i="19"/>
  <c r="D388" i="19" s="1"/>
  <c r="C387" i="19"/>
  <c r="D387" i="19" s="1"/>
  <c r="C386" i="19"/>
  <c r="D386" i="19" s="1"/>
  <c r="C385" i="19"/>
  <c r="D385" i="19" s="1"/>
  <c r="C384" i="19"/>
  <c r="D384" i="19" s="1"/>
  <c r="C383" i="19"/>
  <c r="D383" i="19" s="1"/>
  <c r="C382" i="19"/>
  <c r="D382" i="19" s="1"/>
  <c r="C381" i="19"/>
  <c r="D381" i="19" s="1"/>
  <c r="C380" i="19"/>
  <c r="D380" i="19" s="1"/>
  <c r="C379" i="19"/>
  <c r="D379" i="19" s="1"/>
  <c r="C378" i="19"/>
  <c r="D378" i="19" s="1"/>
  <c r="C377" i="19"/>
  <c r="D377" i="19" s="1"/>
  <c r="C376" i="19"/>
  <c r="D376" i="19" s="1"/>
  <c r="C375" i="19"/>
  <c r="D375" i="19" s="1"/>
  <c r="C374" i="19"/>
  <c r="D374" i="19" s="1"/>
  <c r="C373" i="19"/>
  <c r="D373" i="19" s="1"/>
  <c r="C372" i="19"/>
  <c r="D372" i="19" s="1"/>
  <c r="C371" i="19"/>
  <c r="D371" i="19" s="1"/>
  <c r="C370" i="19"/>
  <c r="D370" i="19" s="1"/>
  <c r="C369" i="19"/>
  <c r="D369" i="19" s="1"/>
  <c r="C368" i="19"/>
  <c r="D368" i="19" s="1"/>
  <c r="C367" i="19"/>
  <c r="C366" i="19"/>
  <c r="D366" i="19" s="1"/>
  <c r="C365" i="19"/>
  <c r="D365" i="19" s="1"/>
  <c r="C364" i="19"/>
  <c r="D364" i="19" s="1"/>
  <c r="C363" i="19"/>
  <c r="D363" i="19" s="1"/>
  <c r="C362" i="19"/>
  <c r="D362" i="19" s="1"/>
  <c r="C361" i="19"/>
  <c r="D361" i="19" s="1"/>
  <c r="C360" i="19"/>
  <c r="D360" i="19" s="1"/>
  <c r="C359" i="19"/>
  <c r="D359" i="19" s="1"/>
  <c r="C358" i="19"/>
  <c r="D358" i="19" s="1"/>
  <c r="C357" i="19"/>
  <c r="D357" i="19" s="1"/>
  <c r="C356" i="19"/>
  <c r="D356" i="19" s="1"/>
  <c r="C355" i="19"/>
  <c r="D355" i="19" s="1"/>
  <c r="C354" i="19"/>
  <c r="D354" i="19" s="1"/>
  <c r="C353" i="19"/>
  <c r="D353" i="19" s="1"/>
  <c r="C352" i="19"/>
  <c r="D352" i="19" s="1"/>
  <c r="C351" i="19"/>
  <c r="D351" i="19" s="1"/>
  <c r="C350" i="19"/>
  <c r="D350" i="19" s="1"/>
  <c r="C349" i="19"/>
  <c r="D349" i="19" s="1"/>
  <c r="C348" i="19"/>
  <c r="D348" i="19" s="1"/>
  <c r="C347" i="19"/>
  <c r="D347" i="19" s="1"/>
  <c r="C346" i="19"/>
  <c r="D346" i="19" s="1"/>
  <c r="C345" i="19"/>
  <c r="D345" i="19" s="1"/>
  <c r="C344" i="19"/>
  <c r="D344" i="19" s="1"/>
  <c r="C343" i="19"/>
  <c r="D343" i="19" s="1"/>
  <c r="C342" i="19"/>
  <c r="D342" i="19" s="1"/>
  <c r="C341" i="19"/>
  <c r="D341" i="19" s="1"/>
  <c r="C340" i="19"/>
  <c r="D340" i="19" s="1"/>
  <c r="C339" i="19"/>
  <c r="D339" i="19" s="1"/>
  <c r="C338" i="19"/>
  <c r="D338" i="19" s="1"/>
  <c r="C337" i="19"/>
  <c r="D337" i="19" s="1"/>
  <c r="C336" i="19"/>
  <c r="D336" i="19" s="1"/>
  <c r="C335" i="19"/>
  <c r="D335" i="19" s="1"/>
  <c r="C334" i="19"/>
  <c r="D334" i="19" s="1"/>
  <c r="C333" i="19"/>
  <c r="D333" i="19" s="1"/>
  <c r="C332" i="19"/>
  <c r="D332" i="19" s="1"/>
  <c r="C331" i="19"/>
  <c r="D331" i="19" s="1"/>
  <c r="C330" i="19"/>
  <c r="D330" i="19" s="1"/>
  <c r="C329" i="19"/>
  <c r="D329" i="19" s="1"/>
  <c r="C328" i="19"/>
  <c r="D328" i="19" s="1"/>
  <c r="C327" i="19"/>
  <c r="D327" i="19" s="1"/>
  <c r="C326" i="19"/>
  <c r="D326" i="19" s="1"/>
  <c r="C325" i="19"/>
  <c r="D325" i="19" s="1"/>
  <c r="C324" i="19"/>
  <c r="D324" i="19" s="1"/>
  <c r="C323" i="19"/>
  <c r="D323" i="19" s="1"/>
  <c r="C322" i="19"/>
  <c r="D322" i="19" s="1"/>
  <c r="C321" i="19"/>
  <c r="D321" i="19" s="1"/>
  <c r="C320" i="19"/>
  <c r="D320" i="19" s="1"/>
  <c r="C319" i="19"/>
  <c r="D319" i="19" s="1"/>
  <c r="C318" i="19"/>
  <c r="D318" i="19" s="1"/>
  <c r="C317" i="19"/>
  <c r="D317" i="19" s="1"/>
  <c r="C316" i="19"/>
  <c r="D316" i="19" s="1"/>
  <c r="C315" i="19"/>
  <c r="D315" i="19" s="1"/>
  <c r="C314" i="19"/>
  <c r="D314" i="19" s="1"/>
  <c r="C313" i="19"/>
  <c r="D313" i="19" s="1"/>
  <c r="C312" i="19"/>
  <c r="D312" i="19" s="1"/>
  <c r="C311" i="19"/>
  <c r="D311" i="19" s="1"/>
  <c r="C310" i="19"/>
  <c r="D310" i="19" s="1"/>
  <c r="C309" i="19"/>
  <c r="D309" i="19" s="1"/>
  <c r="C308" i="19"/>
  <c r="D308" i="19" s="1"/>
  <c r="C307" i="19"/>
  <c r="D307" i="19" s="1"/>
  <c r="C306" i="19"/>
  <c r="D306" i="19" s="1"/>
  <c r="C305" i="19"/>
  <c r="D305" i="19" s="1"/>
  <c r="C304" i="19"/>
  <c r="D304" i="19" s="1"/>
  <c r="C303" i="19"/>
  <c r="D303" i="19" s="1"/>
  <c r="C302" i="19"/>
  <c r="D302" i="19" s="1"/>
  <c r="C301" i="19"/>
  <c r="D301" i="19" s="1"/>
  <c r="C300" i="19"/>
  <c r="D300" i="19" s="1"/>
  <c r="C299" i="19"/>
  <c r="D299" i="19" s="1"/>
  <c r="C298" i="19"/>
  <c r="D298" i="19" s="1"/>
  <c r="C297" i="19"/>
  <c r="D297" i="19" s="1"/>
  <c r="C296" i="19"/>
  <c r="D296" i="19" s="1"/>
  <c r="C295" i="19"/>
  <c r="D295" i="19" s="1"/>
  <c r="C294" i="19"/>
  <c r="D294" i="19" s="1"/>
  <c r="C293" i="19"/>
  <c r="D293" i="19" s="1"/>
  <c r="C292" i="19"/>
  <c r="D292" i="19" s="1"/>
  <c r="C291" i="19"/>
  <c r="D291" i="19" s="1"/>
  <c r="C290" i="19"/>
  <c r="D290" i="19" s="1"/>
  <c r="C289" i="19"/>
  <c r="D289" i="19" s="1"/>
  <c r="C288" i="19"/>
  <c r="D288" i="19" s="1"/>
  <c r="C287" i="19"/>
  <c r="D287" i="19" s="1"/>
  <c r="C286" i="19"/>
  <c r="D286" i="19" s="1"/>
  <c r="C285" i="19"/>
  <c r="D285" i="19" s="1"/>
  <c r="C284" i="19"/>
  <c r="D284" i="19" s="1"/>
  <c r="C283" i="19"/>
  <c r="D283" i="19" s="1"/>
  <c r="C282" i="19"/>
  <c r="D282" i="19" s="1"/>
  <c r="C281" i="19"/>
  <c r="D281" i="19" s="1"/>
  <c r="C280" i="19"/>
  <c r="D280" i="19" s="1"/>
  <c r="C279" i="19"/>
  <c r="D279" i="19" s="1"/>
  <c r="C278" i="19"/>
  <c r="D278" i="19" s="1"/>
  <c r="C277" i="19"/>
  <c r="D277" i="19" s="1"/>
  <c r="C276" i="19"/>
  <c r="D276" i="19" s="1"/>
  <c r="C275" i="19"/>
  <c r="D275" i="19" s="1"/>
  <c r="C274" i="19"/>
  <c r="D274" i="19" s="1"/>
  <c r="C273" i="19"/>
  <c r="D273" i="19" s="1"/>
  <c r="C272" i="19"/>
  <c r="D272" i="19" s="1"/>
  <c r="C271" i="19"/>
  <c r="D271" i="19" s="1"/>
  <c r="C270" i="19"/>
  <c r="D270" i="19" s="1"/>
  <c r="C269" i="19"/>
  <c r="D269" i="19" s="1"/>
  <c r="C268" i="19"/>
  <c r="D268" i="19" s="1"/>
  <c r="C267" i="19"/>
  <c r="D267" i="19" s="1"/>
  <c r="C266" i="19"/>
  <c r="D266" i="19" s="1"/>
  <c r="C265" i="19"/>
  <c r="D265" i="19" s="1"/>
  <c r="C264" i="19"/>
  <c r="D264" i="19" s="1"/>
  <c r="C263" i="19"/>
  <c r="D263" i="19" s="1"/>
  <c r="C262" i="19"/>
  <c r="D262" i="19" s="1"/>
  <c r="C261" i="19"/>
  <c r="D261" i="19" s="1"/>
  <c r="C260" i="19"/>
  <c r="D260" i="19" s="1"/>
  <c r="C259" i="19"/>
  <c r="D259" i="19" s="1"/>
  <c r="C258" i="19"/>
  <c r="D258" i="19" s="1"/>
  <c r="C257" i="19"/>
  <c r="D257" i="19" s="1"/>
  <c r="C256" i="19"/>
  <c r="D256" i="19" s="1"/>
  <c r="C255" i="19"/>
  <c r="D255" i="19" s="1"/>
  <c r="C254" i="19"/>
  <c r="D254" i="19" s="1"/>
  <c r="C253" i="19"/>
  <c r="D253" i="19" s="1"/>
  <c r="C252" i="19"/>
  <c r="D252" i="19" s="1"/>
  <c r="C251" i="19"/>
  <c r="D251" i="19" s="1"/>
  <c r="C250" i="19"/>
  <c r="D250" i="19" s="1"/>
  <c r="C249" i="19"/>
  <c r="D249" i="19" s="1"/>
  <c r="C248" i="19"/>
  <c r="D248" i="19" s="1"/>
  <c r="C247" i="19"/>
  <c r="D247" i="19" s="1"/>
  <c r="C246" i="19"/>
  <c r="D246" i="19" s="1"/>
  <c r="C245" i="19"/>
  <c r="D245" i="19" s="1"/>
  <c r="C244" i="19"/>
  <c r="D244" i="19" s="1"/>
  <c r="C243" i="19"/>
  <c r="D243" i="19" s="1"/>
  <c r="C242" i="19"/>
  <c r="D242" i="19" s="1"/>
  <c r="C241" i="19"/>
  <c r="D241" i="19" s="1"/>
  <c r="C240" i="19"/>
  <c r="D240" i="19" s="1"/>
  <c r="C239" i="19"/>
  <c r="D239" i="19" s="1"/>
  <c r="C238" i="19"/>
  <c r="D238" i="19" s="1"/>
  <c r="C237" i="19"/>
  <c r="D237" i="19" s="1"/>
  <c r="C236" i="19"/>
  <c r="D236" i="19" s="1"/>
  <c r="C235" i="19"/>
  <c r="D235" i="19" s="1"/>
  <c r="C234" i="19"/>
  <c r="D234" i="19" s="1"/>
  <c r="C233" i="19"/>
  <c r="D233" i="19" s="1"/>
  <c r="C232" i="19"/>
  <c r="D232" i="19" s="1"/>
  <c r="C231" i="19"/>
  <c r="D231" i="19" s="1"/>
  <c r="C230" i="19"/>
  <c r="D230" i="19" s="1"/>
  <c r="C229" i="19"/>
  <c r="D229" i="19" s="1"/>
  <c r="C228" i="19"/>
  <c r="D228" i="19" s="1"/>
  <c r="C227" i="19"/>
  <c r="D227" i="19" s="1"/>
  <c r="C226" i="19"/>
  <c r="D226" i="19" s="1"/>
  <c r="C225" i="19"/>
  <c r="D225" i="19" s="1"/>
  <c r="C224" i="19"/>
  <c r="D224" i="19" s="1"/>
  <c r="C223" i="19"/>
  <c r="D223" i="19" s="1"/>
  <c r="C222" i="19"/>
  <c r="D222" i="19" s="1"/>
  <c r="C221" i="19"/>
  <c r="D221" i="19" s="1"/>
  <c r="C220" i="19"/>
  <c r="D220" i="19" s="1"/>
  <c r="C219" i="19"/>
  <c r="D219" i="19" s="1"/>
  <c r="C218" i="19"/>
  <c r="D218" i="19" s="1"/>
  <c r="C217" i="19"/>
  <c r="D217" i="19" s="1"/>
  <c r="C216" i="19"/>
  <c r="D216" i="19" s="1"/>
  <c r="C215" i="19"/>
  <c r="D215" i="19" s="1"/>
  <c r="C214" i="19"/>
  <c r="D214" i="19" s="1"/>
  <c r="C213" i="19"/>
  <c r="D213" i="19" s="1"/>
  <c r="C212" i="19"/>
  <c r="D212" i="19" s="1"/>
  <c r="C211" i="19"/>
  <c r="D211" i="19" s="1"/>
  <c r="C210" i="19"/>
  <c r="D210" i="19" s="1"/>
  <c r="C209" i="19"/>
  <c r="D209" i="19" s="1"/>
  <c r="C208" i="19"/>
  <c r="D208" i="19" s="1"/>
  <c r="C207" i="19"/>
  <c r="D207" i="19" s="1"/>
  <c r="C206" i="19"/>
  <c r="D206" i="19" s="1"/>
  <c r="C205" i="19"/>
  <c r="D205" i="19" s="1"/>
  <c r="C204" i="19"/>
  <c r="D204" i="19" s="1"/>
  <c r="C203" i="19"/>
  <c r="D203" i="19" s="1"/>
  <c r="C202" i="19"/>
  <c r="D202" i="19" s="1"/>
  <c r="C201" i="19"/>
  <c r="D201" i="19" s="1"/>
  <c r="C200" i="19"/>
  <c r="D200" i="19" s="1"/>
  <c r="C199" i="19"/>
  <c r="D199" i="19" s="1"/>
  <c r="C198" i="19"/>
  <c r="D198" i="19" s="1"/>
  <c r="C197" i="19"/>
  <c r="D197" i="19" s="1"/>
  <c r="C196" i="19"/>
  <c r="D196" i="19" s="1"/>
  <c r="C195" i="19"/>
  <c r="D195" i="19" s="1"/>
  <c r="C194" i="19"/>
  <c r="D194" i="19" s="1"/>
  <c r="C193" i="19"/>
  <c r="D193" i="19" s="1"/>
  <c r="C192" i="19"/>
  <c r="D192" i="19" s="1"/>
  <c r="C191" i="19"/>
  <c r="D191" i="19" s="1"/>
  <c r="C190" i="19"/>
  <c r="D190" i="19" s="1"/>
  <c r="C189" i="19"/>
  <c r="D189" i="19" s="1"/>
  <c r="C188" i="19"/>
  <c r="D188" i="19" s="1"/>
  <c r="C187" i="19"/>
  <c r="D187" i="19" s="1"/>
  <c r="C186" i="19"/>
  <c r="D186" i="19" s="1"/>
  <c r="C185" i="19"/>
  <c r="D185" i="19" s="1"/>
  <c r="C184" i="19"/>
  <c r="D184" i="19" s="1"/>
  <c r="C183" i="19"/>
  <c r="D183" i="19" s="1"/>
  <c r="C182" i="19"/>
  <c r="D182" i="19" s="1"/>
  <c r="C181" i="19"/>
  <c r="D181" i="19" s="1"/>
  <c r="C180" i="19"/>
  <c r="D180" i="19" s="1"/>
  <c r="C179" i="19"/>
  <c r="D179" i="19" s="1"/>
  <c r="C178" i="19"/>
  <c r="D178" i="19" s="1"/>
  <c r="C177" i="19"/>
  <c r="D177" i="19" s="1"/>
  <c r="C176" i="19"/>
  <c r="D176" i="19" s="1"/>
  <c r="C175" i="19"/>
  <c r="D175" i="19" s="1"/>
  <c r="C174" i="19"/>
  <c r="D174" i="19" s="1"/>
  <c r="C173" i="19"/>
  <c r="D173" i="19" s="1"/>
  <c r="C172" i="19"/>
  <c r="D172" i="19" s="1"/>
  <c r="C171" i="19"/>
  <c r="D171" i="19" s="1"/>
  <c r="C170" i="19"/>
  <c r="D170" i="19" s="1"/>
  <c r="C169" i="19"/>
  <c r="D169" i="19" s="1"/>
  <c r="C168" i="19"/>
  <c r="D168" i="19" s="1"/>
  <c r="C167" i="19"/>
  <c r="D167" i="19" s="1"/>
  <c r="C166" i="19"/>
  <c r="D166" i="19" s="1"/>
  <c r="C165" i="19"/>
  <c r="D165" i="19" s="1"/>
  <c r="C164" i="19"/>
  <c r="D164" i="19" s="1"/>
  <c r="C163" i="19"/>
  <c r="D163" i="19" s="1"/>
  <c r="C162" i="19"/>
  <c r="D162" i="19" s="1"/>
  <c r="C161" i="19"/>
  <c r="D161" i="19" s="1"/>
  <c r="C160" i="19"/>
  <c r="D160" i="19" s="1"/>
  <c r="C159" i="19"/>
  <c r="D159" i="19" s="1"/>
  <c r="C158" i="19"/>
  <c r="D158" i="19" s="1"/>
  <c r="C157" i="19"/>
  <c r="D157" i="19" s="1"/>
  <c r="C156" i="19"/>
  <c r="D156" i="19" s="1"/>
  <c r="C155" i="19"/>
  <c r="D155" i="19" s="1"/>
  <c r="C154" i="19"/>
  <c r="D154" i="19" s="1"/>
  <c r="C153" i="19"/>
  <c r="D153" i="19" s="1"/>
  <c r="C152" i="19"/>
  <c r="D152" i="19" s="1"/>
  <c r="C151" i="19"/>
  <c r="D151" i="19" s="1"/>
  <c r="C150" i="19"/>
  <c r="D150" i="19" s="1"/>
  <c r="C149" i="19"/>
  <c r="D149" i="19" s="1"/>
  <c r="C148" i="19"/>
  <c r="D148" i="19" s="1"/>
  <c r="C147" i="19"/>
  <c r="D147" i="19" s="1"/>
  <c r="C146" i="19"/>
  <c r="D146" i="19" s="1"/>
  <c r="C145" i="19"/>
  <c r="D145" i="19" s="1"/>
  <c r="C144" i="19"/>
  <c r="D144" i="19" s="1"/>
  <c r="C143" i="19"/>
  <c r="D143" i="19" s="1"/>
  <c r="C142" i="19"/>
  <c r="D142" i="19" s="1"/>
  <c r="C141" i="19"/>
  <c r="D141" i="19" s="1"/>
  <c r="C140" i="19"/>
  <c r="D140" i="19" s="1"/>
  <c r="C139" i="19"/>
  <c r="D139" i="19" s="1"/>
  <c r="C138" i="19"/>
  <c r="D138" i="19" s="1"/>
  <c r="C137" i="19"/>
  <c r="D137" i="19" s="1"/>
  <c r="C136" i="19"/>
  <c r="D136" i="19" s="1"/>
  <c r="C135" i="19"/>
  <c r="D135" i="19" s="1"/>
  <c r="C134" i="19"/>
  <c r="D134" i="19" s="1"/>
  <c r="C133" i="19"/>
  <c r="D133" i="19" s="1"/>
  <c r="C132" i="19"/>
  <c r="D132" i="19" s="1"/>
  <c r="C131" i="19"/>
  <c r="D131" i="19" s="1"/>
  <c r="C130" i="19"/>
  <c r="D130" i="19" s="1"/>
  <c r="C129" i="19"/>
  <c r="D129" i="19" s="1"/>
  <c r="C128" i="19"/>
  <c r="D128" i="19" s="1"/>
  <c r="C127" i="19"/>
  <c r="D127" i="19" s="1"/>
  <c r="C126" i="19"/>
  <c r="D126" i="19" s="1"/>
  <c r="C125" i="19"/>
  <c r="D125" i="19" s="1"/>
  <c r="C124" i="19"/>
  <c r="D124" i="19" s="1"/>
  <c r="C123" i="19"/>
  <c r="D123" i="19" s="1"/>
  <c r="C122" i="19"/>
  <c r="D122" i="19" s="1"/>
  <c r="C121" i="19"/>
  <c r="D121" i="19" s="1"/>
  <c r="C120" i="19"/>
  <c r="D120" i="19" s="1"/>
  <c r="C119" i="19"/>
  <c r="D119" i="19" s="1"/>
  <c r="C118" i="19"/>
  <c r="D118" i="19" s="1"/>
  <c r="C117" i="19"/>
  <c r="D117" i="19" s="1"/>
  <c r="C116" i="19"/>
  <c r="D116" i="19" s="1"/>
  <c r="C115" i="19"/>
  <c r="D115" i="19" s="1"/>
  <c r="C114" i="19"/>
  <c r="D114" i="19" s="1"/>
  <c r="C113" i="19"/>
  <c r="D113" i="19" s="1"/>
  <c r="C112" i="19"/>
  <c r="D112" i="19" s="1"/>
  <c r="C111" i="19"/>
  <c r="D111" i="19" s="1"/>
  <c r="C110" i="19"/>
  <c r="D110" i="19" s="1"/>
  <c r="C109" i="19"/>
  <c r="D109" i="19" s="1"/>
  <c r="C108" i="19"/>
  <c r="D108" i="19" s="1"/>
  <c r="C107" i="19"/>
  <c r="D107" i="19" s="1"/>
  <c r="C106" i="19"/>
  <c r="D106" i="19" s="1"/>
  <c r="C105" i="19"/>
  <c r="D105" i="19" s="1"/>
  <c r="C104" i="19"/>
  <c r="D104" i="19" s="1"/>
  <c r="C103" i="19"/>
  <c r="D103" i="19" s="1"/>
  <c r="C102" i="19"/>
  <c r="D102" i="19" s="1"/>
  <c r="C101" i="19"/>
  <c r="D101" i="19" s="1"/>
  <c r="C100" i="19"/>
  <c r="D100" i="19" s="1"/>
  <c r="C99" i="19"/>
  <c r="D99" i="19" s="1"/>
  <c r="C98" i="19"/>
  <c r="D98" i="19" s="1"/>
  <c r="C97" i="19"/>
  <c r="D97" i="19" s="1"/>
  <c r="C96" i="19"/>
  <c r="D96" i="19" s="1"/>
  <c r="C95" i="19"/>
  <c r="D95" i="19" s="1"/>
  <c r="C94" i="19"/>
  <c r="D94" i="19" s="1"/>
  <c r="C93" i="19"/>
  <c r="D93" i="19" s="1"/>
  <c r="C92" i="19"/>
  <c r="D92" i="19" s="1"/>
  <c r="C91" i="19"/>
  <c r="D91" i="19" s="1"/>
  <c r="C90" i="19"/>
  <c r="D90" i="19" s="1"/>
  <c r="C89" i="19"/>
  <c r="D89" i="19" s="1"/>
  <c r="C88" i="19"/>
  <c r="D88" i="19" s="1"/>
  <c r="C87" i="19"/>
  <c r="D87" i="19" s="1"/>
  <c r="C86" i="19"/>
  <c r="D86" i="19" s="1"/>
  <c r="C85" i="19"/>
  <c r="D85" i="19" s="1"/>
  <c r="C84" i="19"/>
  <c r="D84" i="19" s="1"/>
  <c r="C83" i="19"/>
  <c r="D83" i="19" s="1"/>
  <c r="C82" i="19"/>
  <c r="D82" i="19" s="1"/>
  <c r="C81" i="19"/>
  <c r="D81" i="19" s="1"/>
  <c r="C80" i="19"/>
  <c r="D80" i="19" s="1"/>
  <c r="C79" i="19"/>
  <c r="D79" i="19" s="1"/>
  <c r="C78" i="19"/>
  <c r="D78" i="19" s="1"/>
  <c r="C77" i="19"/>
  <c r="D77" i="19" s="1"/>
  <c r="C76" i="19"/>
  <c r="D76" i="19" s="1"/>
  <c r="C75" i="19"/>
  <c r="D75" i="19" s="1"/>
  <c r="C74" i="19"/>
  <c r="D74" i="19" s="1"/>
  <c r="C73" i="19"/>
  <c r="D73" i="19" s="1"/>
  <c r="C72" i="19"/>
  <c r="D72" i="19" s="1"/>
  <c r="C71" i="19"/>
  <c r="D71" i="19" s="1"/>
  <c r="C70" i="19"/>
  <c r="D70" i="19" s="1"/>
  <c r="C69" i="19"/>
  <c r="D69" i="19" s="1"/>
  <c r="C68" i="19"/>
  <c r="D68" i="19" s="1"/>
  <c r="C67" i="19"/>
  <c r="D67" i="19" s="1"/>
  <c r="C66" i="19"/>
  <c r="D66" i="19" s="1"/>
  <c r="C65" i="19"/>
  <c r="D65" i="19" s="1"/>
  <c r="C64" i="19"/>
  <c r="D64" i="19" s="1"/>
  <c r="C63" i="19"/>
  <c r="D63" i="19" s="1"/>
  <c r="C62" i="19"/>
  <c r="D62" i="19" s="1"/>
  <c r="C61" i="19"/>
  <c r="D61" i="19" s="1"/>
  <c r="C60" i="19"/>
  <c r="D60" i="19" s="1"/>
  <c r="C59" i="19"/>
  <c r="D59" i="19" s="1"/>
  <c r="C58" i="19"/>
  <c r="D58" i="19" s="1"/>
  <c r="C57" i="19"/>
  <c r="D57" i="19" s="1"/>
  <c r="C56" i="19"/>
  <c r="D56" i="19" s="1"/>
  <c r="C55" i="19"/>
  <c r="D55" i="19" s="1"/>
  <c r="C54" i="19"/>
  <c r="D54" i="19" s="1"/>
  <c r="C53" i="19"/>
  <c r="D53" i="19" s="1"/>
  <c r="C52" i="19"/>
  <c r="D52" i="19" s="1"/>
  <c r="C51" i="19"/>
  <c r="D51" i="19" s="1"/>
  <c r="C50" i="19"/>
  <c r="D50" i="19" s="1"/>
  <c r="C49" i="19"/>
  <c r="D49" i="19" s="1"/>
  <c r="C48" i="19"/>
  <c r="D48" i="19" s="1"/>
  <c r="C47" i="19"/>
  <c r="D47" i="19" s="1"/>
  <c r="C46" i="19"/>
  <c r="D46" i="19" s="1"/>
  <c r="C45" i="19"/>
  <c r="D45" i="19" s="1"/>
  <c r="C44" i="19"/>
  <c r="D44" i="19" s="1"/>
  <c r="C43" i="19"/>
  <c r="D43" i="19" s="1"/>
  <c r="C42" i="19"/>
  <c r="D42" i="19" s="1"/>
  <c r="C41" i="19"/>
  <c r="D41" i="19" s="1"/>
  <c r="C40" i="19"/>
  <c r="D40" i="19" s="1"/>
  <c r="C39" i="19"/>
  <c r="D39" i="19" s="1"/>
  <c r="C38" i="19"/>
  <c r="D38" i="19" s="1"/>
  <c r="C37" i="19"/>
  <c r="D37" i="19" s="1"/>
  <c r="C36" i="19"/>
  <c r="D36" i="19" s="1"/>
  <c r="C35" i="19"/>
  <c r="D35" i="19" s="1"/>
  <c r="C34" i="19"/>
  <c r="D34" i="19" s="1"/>
  <c r="C33" i="19"/>
  <c r="D33" i="19" s="1"/>
  <c r="C32" i="19"/>
  <c r="D32" i="19" s="1"/>
  <c r="C31" i="19"/>
  <c r="D31" i="19" s="1"/>
  <c r="C30" i="19"/>
  <c r="D30" i="19" s="1"/>
  <c r="C29" i="19"/>
  <c r="D29" i="19" s="1"/>
  <c r="C28" i="19"/>
  <c r="D28" i="19" s="1"/>
  <c r="C27" i="19"/>
  <c r="D27" i="19" s="1"/>
  <c r="C26" i="19"/>
  <c r="D26" i="19" s="1"/>
  <c r="C25" i="19"/>
  <c r="D25" i="19" s="1"/>
  <c r="C24" i="19"/>
  <c r="D24" i="19" s="1"/>
  <c r="C23" i="19"/>
  <c r="D23" i="19" s="1"/>
  <c r="C22" i="19"/>
  <c r="D22" i="19" s="1"/>
  <c r="C21" i="19"/>
  <c r="D21" i="19" s="1"/>
  <c r="C20" i="19"/>
  <c r="D20" i="19" s="1"/>
  <c r="C19" i="19"/>
  <c r="D19" i="19" s="1"/>
  <c r="C18" i="19"/>
  <c r="D18" i="19" s="1"/>
  <c r="C17" i="19"/>
  <c r="D17" i="19" s="1"/>
  <c r="C16" i="19"/>
  <c r="D16" i="19" s="1"/>
  <c r="C15" i="19"/>
  <c r="D15" i="19" s="1"/>
  <c r="C14" i="19"/>
  <c r="D14" i="19" s="1"/>
  <c r="C13" i="19"/>
  <c r="D13" i="19" s="1"/>
  <c r="C12" i="19"/>
  <c r="D12" i="19" s="1"/>
  <c r="C11" i="19"/>
  <c r="D11" i="19" s="1"/>
  <c r="C10" i="19"/>
  <c r="D10" i="19" s="1"/>
  <c r="C9" i="19"/>
  <c r="D9" i="19" s="1"/>
  <c r="C8" i="19"/>
  <c r="D8" i="19" s="1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E1015" i="4"/>
  <c r="E1016" i="4"/>
  <c r="E1017" i="4"/>
  <c r="E1018" i="4"/>
  <c r="E1019" i="4"/>
  <c r="E1020" i="4"/>
  <c r="E1021" i="4"/>
  <c r="E1022" i="4"/>
  <c r="E1023" i="4"/>
  <c r="E1024" i="4"/>
  <c r="E1025" i="4"/>
  <c r="E1026" i="4"/>
  <c r="E1027" i="4"/>
  <c r="E1028" i="4"/>
  <c r="E1029" i="4"/>
  <c r="E1030" i="4"/>
  <c r="E1031" i="4"/>
  <c r="E1032" i="4"/>
  <c r="E1033" i="4"/>
  <c r="E1034" i="4"/>
  <c r="E1035" i="4"/>
  <c r="E1036" i="4"/>
  <c r="E1037" i="4"/>
  <c r="E1038" i="4"/>
  <c r="E1039" i="4"/>
  <c r="E1040" i="4"/>
  <c r="E1041" i="4"/>
  <c r="E1042" i="4"/>
  <c r="E1043" i="4"/>
  <c r="E1044" i="4"/>
  <c r="E1045" i="4"/>
  <c r="E1046" i="4"/>
  <c r="E1047" i="4"/>
  <c r="E1048" i="4"/>
  <c r="E1049" i="4"/>
  <c r="E1050" i="4"/>
  <c r="E1051" i="4"/>
  <c r="E1052" i="4"/>
  <c r="E1053" i="4"/>
  <c r="E1054" i="4"/>
  <c r="E1055" i="4"/>
  <c r="E1056" i="4"/>
  <c r="E1057" i="4"/>
  <c r="E1058" i="4"/>
  <c r="E1059" i="4"/>
  <c r="E1060" i="4"/>
  <c r="E1061" i="4"/>
  <c r="E1062" i="4"/>
  <c r="E1063" i="4"/>
  <c r="E1064" i="4"/>
  <c r="E1065" i="4"/>
  <c r="E1066" i="4"/>
  <c r="E1067" i="4"/>
  <c r="E1068" i="4"/>
  <c r="E1069" i="4"/>
  <c r="E1070" i="4"/>
  <c r="E1071" i="4"/>
  <c r="E1072" i="4"/>
  <c r="E1073" i="4"/>
  <c r="E1074" i="4"/>
  <c r="E1075" i="4"/>
  <c r="E1076" i="4"/>
  <c r="E1077" i="4"/>
  <c r="E1078" i="4"/>
  <c r="E1079" i="4"/>
  <c r="E1080" i="4"/>
  <c r="E1081" i="4"/>
  <c r="E1082" i="4"/>
  <c r="E1083" i="4"/>
  <c r="E1084" i="4"/>
  <c r="E1085" i="4"/>
  <c r="E1086" i="4"/>
  <c r="E1087" i="4"/>
  <c r="E1088" i="4"/>
  <c r="E1089" i="4"/>
  <c r="E1090" i="4"/>
  <c r="E1091" i="4"/>
  <c r="E1092" i="4"/>
  <c r="E1093" i="4"/>
  <c r="E1094" i="4"/>
  <c r="E1095" i="4"/>
  <c r="E1096" i="4"/>
  <c r="E1097" i="4"/>
  <c r="E1098" i="4"/>
  <c r="E1099" i="4"/>
  <c r="E1100" i="4"/>
  <c r="E1101" i="4"/>
  <c r="E1102" i="4"/>
  <c r="E1103" i="4"/>
  <c r="E1104" i="4"/>
  <c r="E1105" i="4"/>
  <c r="E1106" i="4"/>
  <c r="E1107" i="4"/>
  <c r="E1108" i="4"/>
  <c r="E1109" i="4"/>
  <c r="E1110" i="4"/>
  <c r="E1111" i="4"/>
  <c r="E1112" i="4"/>
  <c r="E1113" i="4"/>
  <c r="E1114" i="4"/>
  <c r="E1115" i="4"/>
  <c r="E1116" i="4"/>
  <c r="E1117" i="4"/>
  <c r="E1118" i="4"/>
  <c r="E1119" i="4"/>
  <c r="E1120" i="4"/>
  <c r="E1121" i="4"/>
  <c r="E1122" i="4"/>
  <c r="E1123" i="4"/>
  <c r="E1124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E1153" i="4"/>
  <c r="E1154" i="4"/>
  <c r="E1155" i="4"/>
  <c r="E1156" i="4"/>
  <c r="E1157" i="4"/>
  <c r="E1158" i="4"/>
  <c r="E1159" i="4"/>
  <c r="E1160" i="4"/>
  <c r="E1161" i="4"/>
  <c r="E1162" i="4"/>
  <c r="E1163" i="4"/>
  <c r="E1164" i="4"/>
  <c r="E1165" i="4"/>
  <c r="E1166" i="4"/>
  <c r="E1167" i="4"/>
  <c r="E1168" i="4"/>
  <c r="E1169" i="4"/>
  <c r="E1170" i="4"/>
  <c r="E1171" i="4"/>
  <c r="E1172" i="4"/>
  <c r="E1173" i="4"/>
  <c r="E1174" i="4"/>
  <c r="E1175" i="4"/>
  <c r="E1176" i="4"/>
  <c r="E1177" i="4"/>
  <c r="E1178" i="4"/>
  <c r="E1179" i="4"/>
  <c r="E1180" i="4"/>
  <c r="E1181" i="4"/>
  <c r="E1182" i="4"/>
  <c r="E1183" i="4"/>
  <c r="E1184" i="4"/>
  <c r="E1185" i="4"/>
  <c r="E1186" i="4"/>
  <c r="E1187" i="4"/>
  <c r="E1188" i="4"/>
  <c r="E1189" i="4"/>
  <c r="E1190" i="4"/>
  <c r="E1191" i="4"/>
  <c r="E1192" i="4"/>
  <c r="E1193" i="4"/>
  <c r="E1194" i="4"/>
  <c r="E1195" i="4"/>
  <c r="E1196" i="4"/>
  <c r="E1197" i="4"/>
  <c r="E1198" i="4"/>
  <c r="E1199" i="4"/>
  <c r="E1200" i="4"/>
  <c r="E1201" i="4"/>
  <c r="E1202" i="4"/>
  <c r="E1203" i="4"/>
  <c r="E1204" i="4"/>
  <c r="E1205" i="4"/>
  <c r="E1206" i="4"/>
  <c r="E1207" i="4"/>
  <c r="E1208" i="4"/>
  <c r="E1209" i="4"/>
  <c r="E1210" i="4"/>
  <c r="E1211" i="4"/>
  <c r="E1212" i="4"/>
  <c r="E1213" i="4"/>
  <c r="E1214" i="4"/>
  <c r="E1215" i="4"/>
  <c r="E1216" i="4"/>
  <c r="E1217" i="4"/>
  <c r="E1218" i="4"/>
  <c r="E1219" i="4"/>
  <c r="E1220" i="4"/>
  <c r="E1221" i="4"/>
  <c r="E1222" i="4"/>
  <c r="E1223" i="4"/>
  <c r="E1224" i="4"/>
  <c r="E1225" i="4"/>
  <c r="E1226" i="4"/>
  <c r="E1227" i="4"/>
  <c r="E1228" i="4"/>
  <c r="E1229" i="4"/>
  <c r="E1230" i="4"/>
  <c r="E1231" i="4"/>
  <c r="E1232" i="4"/>
  <c r="E1233" i="4"/>
  <c r="E1234" i="4"/>
  <c r="E1235" i="4"/>
  <c r="E1236" i="4"/>
  <c r="E1237" i="4"/>
  <c r="E1238" i="4"/>
  <c r="E1239" i="4"/>
  <c r="E1240" i="4"/>
  <c r="E1241" i="4"/>
  <c r="E1242" i="4"/>
  <c r="E1243" i="4"/>
  <c r="E1244" i="4"/>
  <c r="E1245" i="4"/>
  <c r="E1246" i="4"/>
  <c r="E1247" i="4"/>
  <c r="E1248" i="4"/>
  <c r="E1249" i="4"/>
  <c r="E1250" i="4"/>
  <c r="E1251" i="4"/>
  <c r="E1252" i="4"/>
  <c r="E1253" i="4"/>
  <c r="E1254" i="4"/>
  <c r="E1255" i="4"/>
  <c r="E1256" i="4"/>
  <c r="E1257" i="4"/>
  <c r="E1258" i="4"/>
  <c r="E1259" i="4"/>
  <c r="E1260" i="4"/>
  <c r="E1261" i="4"/>
  <c r="E1262" i="4"/>
  <c r="E1263" i="4"/>
  <c r="E1264" i="4"/>
  <c r="E1265" i="4"/>
  <c r="E1266" i="4"/>
  <c r="E1267" i="4"/>
  <c r="E1268" i="4"/>
  <c r="E1269" i="4"/>
  <c r="E1270" i="4"/>
  <c r="E1271" i="4"/>
  <c r="E1272" i="4"/>
  <c r="E1273" i="4"/>
  <c r="E1274" i="4"/>
  <c r="E1275" i="4"/>
  <c r="E1276" i="4"/>
  <c r="E1277" i="4"/>
  <c r="E1278" i="4"/>
  <c r="E1279" i="4"/>
  <c r="E1280" i="4"/>
  <c r="E1281" i="4"/>
  <c r="E1282" i="4"/>
  <c r="E1283" i="4"/>
  <c r="E1284" i="4"/>
  <c r="E1285" i="4"/>
  <c r="E1286" i="4"/>
  <c r="E1287" i="4"/>
  <c r="E1288" i="4"/>
  <c r="E1289" i="4"/>
  <c r="E1290" i="4"/>
  <c r="E1291" i="4"/>
  <c r="E1292" i="4"/>
  <c r="E1293" i="4"/>
  <c r="E1294" i="4"/>
  <c r="E1295" i="4"/>
  <c r="E1296" i="4"/>
  <c r="E1297" i="4"/>
  <c r="E1298" i="4"/>
  <c r="E1299" i="4"/>
  <c r="E1300" i="4"/>
  <c r="E1301" i="4"/>
  <c r="E1302" i="4"/>
  <c r="E1303" i="4"/>
  <c r="E1304" i="4"/>
  <c r="E1305" i="4"/>
  <c r="E1306" i="4"/>
  <c r="E1307" i="4"/>
  <c r="E1308" i="4"/>
  <c r="E1309" i="4"/>
  <c r="E1310" i="4"/>
  <c r="E1311" i="4"/>
  <c r="E1312" i="4"/>
  <c r="E1313" i="4"/>
  <c r="E1314" i="4"/>
  <c r="E1315" i="4"/>
  <c r="E1316" i="4"/>
  <c r="E1317" i="4"/>
  <c r="E1318" i="4"/>
  <c r="E1319" i="4"/>
  <c r="E1320" i="4"/>
  <c r="E1321" i="4"/>
  <c r="E1322" i="4"/>
  <c r="E1323" i="4"/>
  <c r="E1324" i="4"/>
  <c r="E1325" i="4"/>
  <c r="E1326" i="4"/>
  <c r="E1327" i="4"/>
  <c r="E1328" i="4"/>
  <c r="E1329" i="4"/>
  <c r="E1330" i="4"/>
  <c r="E1331" i="4"/>
  <c r="E1332" i="4"/>
  <c r="E1333" i="4"/>
  <c r="E1334" i="4"/>
  <c r="E1335" i="4"/>
  <c r="E1336" i="4"/>
  <c r="E1337" i="4"/>
  <c r="E1338" i="4"/>
  <c r="E1339" i="4"/>
  <c r="E1340" i="4"/>
  <c r="E1341" i="4"/>
  <c r="E1342" i="4"/>
  <c r="E1343" i="4"/>
  <c r="E1344" i="4"/>
  <c r="E1345" i="4"/>
  <c r="E1346" i="4"/>
  <c r="E1347" i="4"/>
  <c r="E1348" i="4"/>
  <c r="E1349" i="4"/>
  <c r="E1350" i="4"/>
  <c r="E1351" i="4"/>
  <c r="E1352" i="4"/>
  <c r="E1353" i="4"/>
  <c r="E1354" i="4"/>
  <c r="E1355" i="4"/>
  <c r="E1356" i="4"/>
  <c r="E1357" i="4"/>
  <c r="E1358" i="4"/>
  <c r="E1359" i="4"/>
  <c r="E1360" i="4"/>
  <c r="E1361" i="4"/>
  <c r="E1362" i="4"/>
  <c r="E1363" i="4"/>
  <c r="E1364" i="4"/>
  <c r="E1365" i="4"/>
  <c r="E1366" i="4"/>
  <c r="E1367" i="4"/>
  <c r="E1368" i="4"/>
  <c r="E1369" i="4"/>
  <c r="E1370" i="4"/>
  <c r="E1371" i="4"/>
  <c r="E1372" i="4"/>
  <c r="E1373" i="4"/>
  <c r="E1374" i="4"/>
  <c r="E1375" i="4"/>
  <c r="E1376" i="4"/>
  <c r="E1377" i="4"/>
  <c r="E1378" i="4"/>
  <c r="E1379" i="4"/>
  <c r="E1380" i="4"/>
  <c r="E1381" i="4"/>
  <c r="E1382" i="4"/>
  <c r="E1383" i="4"/>
  <c r="E1384" i="4"/>
  <c r="E1385" i="4"/>
  <c r="E1386" i="4"/>
  <c r="E1387" i="4"/>
  <c r="E1388" i="4"/>
  <c r="E1389" i="4"/>
  <c r="E1390" i="4"/>
  <c r="E1391" i="4"/>
  <c r="E1392" i="4"/>
  <c r="E1393" i="4"/>
  <c r="E1394" i="4"/>
  <c r="E1395" i="4"/>
  <c r="E1396" i="4"/>
  <c r="E1397" i="4"/>
  <c r="E1398" i="4"/>
  <c r="E1399" i="4"/>
  <c r="E1400" i="4"/>
  <c r="E1401" i="4"/>
  <c r="E1402" i="4"/>
  <c r="E1403" i="4"/>
  <c r="E1404" i="4"/>
  <c r="E1405" i="4"/>
  <c r="E1406" i="4"/>
  <c r="E1407" i="4"/>
  <c r="E1408" i="4"/>
  <c r="E1409" i="4"/>
  <c r="E1410" i="4"/>
  <c r="E1411" i="4"/>
  <c r="E1412" i="4"/>
  <c r="E1413" i="4"/>
  <c r="E1414" i="4"/>
  <c r="E1415" i="4"/>
  <c r="E1416" i="4"/>
  <c r="E1417" i="4"/>
  <c r="E1418" i="4"/>
  <c r="E1419" i="4"/>
  <c r="E1420" i="4"/>
  <c r="E1421" i="4"/>
  <c r="E1422" i="4"/>
  <c r="E1423" i="4"/>
  <c r="E1424" i="4"/>
  <c r="E1425" i="4"/>
  <c r="E1426" i="4"/>
  <c r="E1427" i="4"/>
  <c r="E1428" i="4"/>
  <c r="E1429" i="4"/>
  <c r="E1430" i="4"/>
  <c r="E1431" i="4"/>
  <c r="E1432" i="4"/>
  <c r="E1433" i="4"/>
  <c r="E1434" i="4"/>
  <c r="E1435" i="4"/>
  <c r="E1436" i="4"/>
  <c r="E1437" i="4"/>
  <c r="E1438" i="4"/>
  <c r="E1439" i="4"/>
  <c r="E1440" i="4"/>
  <c r="E1441" i="4"/>
  <c r="E1442" i="4"/>
  <c r="E1443" i="4"/>
  <c r="E1444" i="4"/>
  <c r="E1445" i="4"/>
  <c r="E1446" i="4"/>
  <c r="E1447" i="4"/>
  <c r="E1448" i="4"/>
  <c r="E1449" i="4"/>
  <c r="E1450" i="4"/>
  <c r="E1451" i="4"/>
  <c r="E1452" i="4"/>
  <c r="E1453" i="4"/>
  <c r="E1454" i="4"/>
  <c r="E1455" i="4"/>
  <c r="E1456" i="4"/>
  <c r="E1457" i="4"/>
  <c r="E1458" i="4"/>
  <c r="E1459" i="4"/>
  <c r="E1460" i="4"/>
  <c r="E1461" i="4"/>
  <c r="E1462" i="4"/>
  <c r="E1463" i="4"/>
  <c r="E1464" i="4"/>
  <c r="E1465" i="4"/>
  <c r="E1466" i="4"/>
  <c r="E1467" i="4"/>
  <c r="E1468" i="4"/>
  <c r="E1469" i="4"/>
  <c r="E1470" i="4"/>
  <c r="E1471" i="4"/>
  <c r="E1472" i="4"/>
  <c r="E1473" i="4"/>
  <c r="E1474" i="4"/>
  <c r="E1475" i="4"/>
  <c r="E1476" i="4"/>
  <c r="E1477" i="4"/>
  <c r="E1478" i="4"/>
  <c r="E1479" i="4"/>
  <c r="E1480" i="4"/>
  <c r="E1481" i="4"/>
  <c r="E1482" i="4"/>
  <c r="E1483" i="4"/>
  <c r="E1484" i="4"/>
  <c r="E1485" i="4"/>
  <c r="E1486" i="4"/>
  <c r="E1487" i="4"/>
  <c r="E1488" i="4"/>
  <c r="E1489" i="4"/>
  <c r="E1490" i="4"/>
  <c r="E1491" i="4"/>
  <c r="E1492" i="4"/>
  <c r="E1493" i="4"/>
  <c r="E1494" i="4"/>
  <c r="E1495" i="4"/>
  <c r="E1496" i="4"/>
  <c r="E1497" i="4"/>
  <c r="E1498" i="4"/>
  <c r="E1499" i="4"/>
  <c r="E1500" i="4"/>
  <c r="E1501" i="4"/>
  <c r="E1502" i="4"/>
  <c r="E1503" i="4"/>
  <c r="E1504" i="4"/>
  <c r="E1505" i="4"/>
  <c r="E1506" i="4"/>
  <c r="E1507" i="4"/>
  <c r="E1508" i="4"/>
  <c r="E1509" i="4"/>
  <c r="E1510" i="4"/>
  <c r="E1511" i="4"/>
  <c r="E1512" i="4"/>
  <c r="E1513" i="4"/>
  <c r="E1514" i="4"/>
  <c r="E1515" i="4"/>
  <c r="E1516" i="4"/>
  <c r="E1517" i="4"/>
  <c r="E1518" i="4"/>
  <c r="E1519" i="4"/>
  <c r="E1520" i="4"/>
  <c r="E1521" i="4"/>
  <c r="E1522" i="4"/>
  <c r="E1523" i="4"/>
  <c r="E1524" i="4"/>
  <c r="E1525" i="4"/>
  <c r="E1526" i="4"/>
  <c r="E1527" i="4"/>
  <c r="E1528" i="4"/>
  <c r="E1529" i="4"/>
  <c r="E1530" i="4"/>
  <c r="E1531" i="4"/>
  <c r="E1532" i="4"/>
  <c r="E1533" i="4"/>
  <c r="E1534" i="4"/>
  <c r="E1535" i="4"/>
  <c r="E1536" i="4"/>
  <c r="E1537" i="4"/>
  <c r="E1538" i="4"/>
  <c r="E1539" i="4"/>
  <c r="E1540" i="4"/>
  <c r="E1541" i="4"/>
  <c r="E1542" i="4"/>
  <c r="E1543" i="4"/>
  <c r="E1544" i="4"/>
  <c r="E1545" i="4"/>
  <c r="E1546" i="4"/>
  <c r="E1547" i="4"/>
  <c r="E1548" i="4"/>
  <c r="E1549" i="4"/>
  <c r="E1550" i="4"/>
  <c r="E1551" i="4"/>
  <c r="E1552" i="4"/>
  <c r="E1553" i="4"/>
  <c r="E1554" i="4"/>
  <c r="E1555" i="4"/>
  <c r="E1556" i="4"/>
  <c r="E1557" i="4"/>
  <c r="E1558" i="4"/>
  <c r="E1559" i="4"/>
  <c r="E1560" i="4"/>
  <c r="E1561" i="4"/>
  <c r="E1562" i="4"/>
  <c r="E1563" i="4"/>
  <c r="E1564" i="4"/>
  <c r="E1565" i="4"/>
  <c r="E1566" i="4"/>
  <c r="E1567" i="4"/>
  <c r="E1568" i="4"/>
  <c r="E1569" i="4"/>
  <c r="E1570" i="4"/>
  <c r="E1571" i="4"/>
  <c r="E1572" i="4"/>
  <c r="E1573" i="4"/>
  <c r="E1574" i="4"/>
  <c r="E1575" i="4"/>
  <c r="E1576" i="4"/>
  <c r="E1577" i="4"/>
  <c r="E1578" i="4"/>
  <c r="E1579" i="4"/>
  <c r="E1580" i="4"/>
  <c r="E1581" i="4"/>
  <c r="E1582" i="4"/>
  <c r="E1583" i="4"/>
  <c r="E1584" i="4"/>
  <c r="E1585" i="4"/>
  <c r="E1586" i="4"/>
  <c r="E1587" i="4"/>
  <c r="E1588" i="4"/>
  <c r="E1589" i="4"/>
  <c r="E1590" i="4"/>
  <c r="E1591" i="4"/>
  <c r="E1592" i="4"/>
  <c r="E1593" i="4"/>
  <c r="E1594" i="4"/>
  <c r="E1595" i="4"/>
  <c r="E1596" i="4"/>
  <c r="E1597" i="4"/>
  <c r="E1598" i="4"/>
  <c r="E1599" i="4"/>
  <c r="E1600" i="4"/>
  <c r="E1601" i="4"/>
  <c r="E1602" i="4"/>
  <c r="E1603" i="4"/>
  <c r="E1604" i="4"/>
  <c r="E1605" i="4"/>
  <c r="E1606" i="4"/>
  <c r="E1607" i="4"/>
  <c r="E1608" i="4"/>
  <c r="E1609" i="4"/>
  <c r="E1610" i="4"/>
  <c r="E1611" i="4"/>
  <c r="E1612" i="4"/>
  <c r="E1613" i="4"/>
  <c r="E1614" i="4"/>
  <c r="E1615" i="4"/>
  <c r="E1616" i="4"/>
  <c r="E1617" i="4"/>
  <c r="E1618" i="4"/>
  <c r="E1619" i="4"/>
  <c r="E1620" i="4"/>
  <c r="E1621" i="4"/>
  <c r="E1622" i="4"/>
  <c r="E1623" i="4"/>
  <c r="E1624" i="4"/>
  <c r="E1625" i="4"/>
  <c r="E1626" i="4"/>
  <c r="E1627" i="4"/>
  <c r="E1628" i="4"/>
  <c r="E1629" i="4"/>
  <c r="E1630" i="4"/>
  <c r="E1631" i="4"/>
  <c r="E1632" i="4"/>
  <c r="E1633" i="4"/>
  <c r="E1634" i="4"/>
  <c r="E1635" i="4"/>
  <c r="E1636" i="4"/>
  <c r="E1637" i="4"/>
  <c r="E1638" i="4"/>
  <c r="E1639" i="4"/>
  <c r="E1640" i="4"/>
  <c r="E1641" i="4"/>
  <c r="E1642" i="4"/>
  <c r="E1643" i="4"/>
  <c r="E1644" i="4"/>
  <c r="E1645" i="4"/>
  <c r="E1646" i="4"/>
  <c r="E1647" i="4"/>
  <c r="E1648" i="4"/>
  <c r="E1649" i="4"/>
  <c r="E1650" i="4"/>
  <c r="E1651" i="4"/>
  <c r="E1652" i="4"/>
  <c r="E1653" i="4"/>
  <c r="E1654" i="4"/>
  <c r="E1655" i="4"/>
  <c r="E1656" i="4"/>
  <c r="E1657" i="4"/>
  <c r="E1658" i="4"/>
  <c r="E1659" i="4"/>
  <c r="E1660" i="4"/>
  <c r="E1661" i="4"/>
  <c r="E1662" i="4"/>
  <c r="E1663" i="4"/>
  <c r="E1664" i="4"/>
  <c r="E1665" i="4"/>
  <c r="E1666" i="4"/>
  <c r="E1667" i="4"/>
  <c r="E1668" i="4"/>
  <c r="E1669" i="4"/>
  <c r="E1670" i="4"/>
  <c r="E1671" i="4"/>
  <c r="E1672" i="4"/>
  <c r="E1673" i="4"/>
  <c r="E1674" i="4"/>
  <c r="E1675" i="4"/>
  <c r="E1676" i="4"/>
  <c r="E1677" i="4"/>
  <c r="E1678" i="4"/>
  <c r="E1679" i="4"/>
  <c r="E1680" i="4"/>
  <c r="E1681" i="4"/>
  <c r="E1682" i="4"/>
  <c r="E1683" i="4"/>
  <c r="E1684" i="4"/>
  <c r="E1685" i="4"/>
  <c r="E1686" i="4"/>
  <c r="E1687" i="4"/>
  <c r="E1688" i="4"/>
  <c r="E1689" i="4"/>
  <c r="E1690" i="4"/>
  <c r="E1691" i="4"/>
  <c r="E1692" i="4"/>
  <c r="E1693" i="4"/>
  <c r="E1694" i="4"/>
  <c r="E1695" i="4"/>
  <c r="E1696" i="4"/>
  <c r="E1697" i="4"/>
  <c r="E1698" i="4"/>
  <c r="E1699" i="4"/>
  <c r="E1700" i="4"/>
  <c r="E1701" i="4"/>
  <c r="E1702" i="4"/>
  <c r="E1703" i="4"/>
  <c r="E1704" i="4"/>
  <c r="E1705" i="4"/>
  <c r="E1706" i="4"/>
  <c r="E1707" i="4"/>
  <c r="E1708" i="4"/>
  <c r="E1709" i="4"/>
  <c r="E1710" i="4"/>
  <c r="E1711" i="4"/>
  <c r="E1712" i="4"/>
  <c r="E1713" i="4"/>
  <c r="E1714" i="4"/>
  <c r="E1715" i="4"/>
  <c r="E1716" i="4"/>
  <c r="E1717" i="4"/>
  <c r="E1718" i="4"/>
  <c r="E1719" i="4"/>
  <c r="E1720" i="4"/>
  <c r="E1721" i="4"/>
  <c r="E1722" i="4"/>
  <c r="E1723" i="4"/>
  <c r="E1724" i="4"/>
  <c r="E1725" i="4"/>
  <c r="E1726" i="4"/>
  <c r="E1727" i="4"/>
  <c r="E1728" i="4"/>
  <c r="E1729" i="4"/>
  <c r="E1730" i="4"/>
  <c r="E1731" i="4"/>
  <c r="E1732" i="4"/>
  <c r="E1733" i="4"/>
  <c r="E1734" i="4"/>
  <c r="E1735" i="4"/>
  <c r="E1736" i="4"/>
  <c r="E1737" i="4"/>
  <c r="E1738" i="4"/>
  <c r="E1739" i="4"/>
  <c r="E1740" i="4"/>
  <c r="E1741" i="4"/>
  <c r="E1742" i="4"/>
  <c r="E1743" i="4"/>
  <c r="E1744" i="4"/>
  <c r="E1745" i="4"/>
  <c r="E1746" i="4"/>
  <c r="E1747" i="4"/>
  <c r="E1748" i="4"/>
  <c r="E1749" i="4"/>
  <c r="E1750" i="4"/>
  <c r="E1751" i="4"/>
  <c r="E1752" i="4"/>
  <c r="E1753" i="4"/>
  <c r="E1754" i="4"/>
  <c r="E1755" i="4"/>
  <c r="E1756" i="4"/>
  <c r="E1757" i="4"/>
  <c r="E1758" i="4"/>
  <c r="E1759" i="4"/>
  <c r="E1760" i="4"/>
  <c r="E1761" i="4"/>
  <c r="E1762" i="4"/>
  <c r="E1763" i="4"/>
  <c r="E1764" i="4"/>
  <c r="E1765" i="4"/>
  <c r="E1766" i="4"/>
  <c r="E1767" i="4"/>
  <c r="E1768" i="4"/>
  <c r="E1769" i="4"/>
  <c r="E1770" i="4"/>
  <c r="E1771" i="4"/>
  <c r="E1772" i="4"/>
  <c r="E1773" i="4"/>
  <c r="E1774" i="4"/>
  <c r="E1775" i="4"/>
  <c r="E1776" i="4"/>
  <c r="E1777" i="4"/>
  <c r="E1778" i="4"/>
  <c r="E1779" i="4"/>
  <c r="E1780" i="4"/>
  <c r="E1781" i="4"/>
  <c r="E1782" i="4"/>
  <c r="E1783" i="4"/>
  <c r="E1784" i="4"/>
  <c r="E1785" i="4"/>
  <c r="E1786" i="4"/>
  <c r="E1787" i="4"/>
  <c r="E1788" i="4"/>
  <c r="E1789" i="4"/>
  <c r="E1790" i="4"/>
  <c r="E1791" i="4"/>
  <c r="E1792" i="4"/>
  <c r="E1793" i="4"/>
  <c r="E1794" i="4"/>
  <c r="E1795" i="4"/>
  <c r="E1796" i="4"/>
  <c r="E1797" i="4"/>
  <c r="E1798" i="4"/>
  <c r="E1799" i="4"/>
  <c r="E1800" i="4"/>
  <c r="E1801" i="4"/>
  <c r="E1802" i="4"/>
  <c r="E1803" i="4"/>
  <c r="E1804" i="4"/>
  <c r="E1805" i="4"/>
  <c r="E1806" i="4"/>
  <c r="E1807" i="4"/>
  <c r="E1808" i="4"/>
  <c r="E1809" i="4"/>
  <c r="E1810" i="4"/>
  <c r="E1811" i="4"/>
  <c r="E1812" i="4"/>
  <c r="E1813" i="4"/>
  <c r="E1814" i="4"/>
  <c r="E1815" i="4"/>
  <c r="E1816" i="4"/>
  <c r="E1817" i="4"/>
  <c r="E1818" i="4"/>
  <c r="E1819" i="4"/>
  <c r="E1820" i="4"/>
  <c r="E1821" i="4"/>
  <c r="E1822" i="4"/>
  <c r="E1823" i="4"/>
  <c r="E1824" i="4"/>
  <c r="E1825" i="4"/>
  <c r="E1826" i="4"/>
  <c r="E1827" i="4"/>
  <c r="E1828" i="4"/>
  <c r="E1829" i="4"/>
  <c r="E1830" i="4"/>
  <c r="E1831" i="4"/>
  <c r="E1832" i="4"/>
  <c r="E1833" i="4"/>
  <c r="E1834" i="4"/>
  <c r="E1835" i="4"/>
  <c r="E1836" i="4"/>
  <c r="E1837" i="4"/>
  <c r="E1838" i="4"/>
  <c r="E1839" i="4"/>
  <c r="E1840" i="4"/>
  <c r="E1841" i="4"/>
  <c r="E1842" i="4"/>
  <c r="E1843" i="4"/>
  <c r="E1844" i="4"/>
  <c r="E1845" i="4"/>
  <c r="E1846" i="4"/>
  <c r="E1847" i="4"/>
  <c r="E1848" i="4"/>
  <c r="E1849" i="4"/>
  <c r="E1850" i="4"/>
  <c r="E1851" i="4"/>
  <c r="E1852" i="4"/>
  <c r="E1853" i="4"/>
  <c r="E1854" i="4"/>
  <c r="E1855" i="4"/>
  <c r="E1856" i="4"/>
  <c r="E1857" i="4"/>
  <c r="E1858" i="4"/>
  <c r="E1859" i="4"/>
  <c r="E1860" i="4"/>
  <c r="E1861" i="4"/>
  <c r="E1862" i="4"/>
  <c r="E1863" i="4"/>
  <c r="E1864" i="4"/>
  <c r="E1865" i="4"/>
  <c r="E1866" i="4"/>
  <c r="E1867" i="4"/>
  <c r="E1868" i="4"/>
  <c r="E1869" i="4"/>
  <c r="E1870" i="4"/>
  <c r="E1871" i="4"/>
  <c r="E1872" i="4"/>
  <c r="E1873" i="4"/>
  <c r="E1874" i="4"/>
  <c r="E1875" i="4"/>
  <c r="E1876" i="4"/>
  <c r="E1877" i="4"/>
  <c r="E1878" i="4"/>
  <c r="E1879" i="4"/>
  <c r="E1880" i="4"/>
  <c r="E1881" i="4"/>
  <c r="E1882" i="4"/>
  <c r="E1883" i="4"/>
  <c r="E1884" i="4"/>
  <c r="E1885" i="4"/>
  <c r="E1886" i="4"/>
  <c r="E1887" i="4"/>
  <c r="E1888" i="4"/>
  <c r="E1889" i="4"/>
  <c r="E1890" i="4"/>
  <c r="E1891" i="4"/>
  <c r="E1892" i="4"/>
  <c r="E1893" i="4"/>
  <c r="E1894" i="4"/>
  <c r="E1895" i="4"/>
  <c r="E1896" i="4"/>
  <c r="E1897" i="4"/>
  <c r="E1898" i="4"/>
  <c r="E1899" i="4"/>
  <c r="E1900" i="4"/>
  <c r="E1901" i="4"/>
  <c r="E1902" i="4"/>
  <c r="E1903" i="4"/>
  <c r="E1904" i="4"/>
  <c r="E1905" i="4"/>
  <c r="E1906" i="4"/>
  <c r="E1907" i="4"/>
  <c r="E1908" i="4"/>
  <c r="E1909" i="4"/>
  <c r="E1910" i="4"/>
  <c r="E1911" i="4"/>
  <c r="E1912" i="4"/>
  <c r="E1913" i="4"/>
  <c r="E1914" i="4"/>
  <c r="E1915" i="4"/>
  <c r="E1916" i="4"/>
  <c r="E1917" i="4"/>
  <c r="E1918" i="4"/>
  <c r="E1919" i="4"/>
  <c r="E1920" i="4"/>
  <c r="E1921" i="4"/>
  <c r="E1922" i="4"/>
  <c r="E1923" i="4"/>
  <c r="E1924" i="4"/>
  <c r="E1925" i="4"/>
  <c r="E1926" i="4"/>
  <c r="E1927" i="4"/>
  <c r="E1928" i="4"/>
  <c r="E1929" i="4"/>
  <c r="E1930" i="4"/>
  <c r="E1931" i="4"/>
  <c r="E1932" i="4"/>
  <c r="E1933" i="4"/>
  <c r="E1934" i="4"/>
  <c r="E1935" i="4"/>
  <c r="E1936" i="4"/>
  <c r="E1937" i="4"/>
  <c r="E1938" i="4"/>
  <c r="E1939" i="4"/>
  <c r="E1940" i="4"/>
  <c r="E1941" i="4"/>
  <c r="E1942" i="4"/>
  <c r="E1943" i="4"/>
  <c r="E1944" i="4"/>
  <c r="E1945" i="4"/>
  <c r="E1946" i="4"/>
  <c r="E1947" i="4"/>
  <c r="E1948" i="4"/>
  <c r="E1949" i="4"/>
  <c r="E1950" i="4"/>
  <c r="E1951" i="4"/>
  <c r="E1952" i="4"/>
  <c r="E1953" i="4"/>
  <c r="E1954" i="4"/>
  <c r="E1955" i="4"/>
  <c r="E1956" i="4"/>
  <c r="E1957" i="4"/>
  <c r="E1958" i="4"/>
  <c r="E1959" i="4"/>
  <c r="E1960" i="4"/>
  <c r="E1961" i="4"/>
  <c r="E1962" i="4"/>
  <c r="E1963" i="4"/>
  <c r="E1964" i="4"/>
  <c r="E1965" i="4"/>
  <c r="E1966" i="4"/>
  <c r="E1967" i="4"/>
  <c r="E1968" i="4"/>
  <c r="E1969" i="4"/>
  <c r="E1970" i="4"/>
  <c r="E1971" i="4"/>
  <c r="E1972" i="4"/>
  <c r="E1973" i="4"/>
  <c r="E1974" i="4"/>
  <c r="E1975" i="4"/>
  <c r="E1976" i="4"/>
  <c r="E1977" i="4"/>
  <c r="E1978" i="4"/>
  <c r="E1979" i="4"/>
  <c r="E1980" i="4"/>
  <c r="E1981" i="4"/>
  <c r="E1982" i="4"/>
  <c r="E1983" i="4"/>
  <c r="E1984" i="4"/>
  <c r="E1985" i="4"/>
  <c r="E1986" i="4"/>
  <c r="E1987" i="4"/>
  <c r="E1988" i="4"/>
  <c r="E1989" i="4"/>
  <c r="E1990" i="4"/>
  <c r="E1991" i="4"/>
  <c r="E1992" i="4"/>
  <c r="E1993" i="4"/>
  <c r="E1994" i="4"/>
  <c r="E1995" i="4"/>
  <c r="E1996" i="4"/>
  <c r="E1997" i="4"/>
  <c r="E1998" i="4"/>
  <c r="E1999" i="4"/>
  <c r="E2000" i="4"/>
  <c r="E2001" i="4"/>
  <c r="E2002" i="4"/>
  <c r="E2003" i="4"/>
  <c r="E2004" i="4"/>
  <c r="E2005" i="4"/>
  <c r="E2006" i="4"/>
  <c r="E2007" i="4"/>
  <c r="E2008" i="4"/>
  <c r="E2009" i="4"/>
  <c r="E2010" i="4"/>
  <c r="E2011" i="4"/>
  <c r="E2012" i="4"/>
  <c r="E2013" i="4"/>
  <c r="E2014" i="4"/>
  <c r="E2015" i="4"/>
  <c r="E2016" i="4"/>
  <c r="E2017" i="4"/>
  <c r="E2018" i="4"/>
  <c r="E2019" i="4"/>
  <c r="E2020" i="4"/>
  <c r="E2021" i="4"/>
  <c r="E2022" i="4"/>
  <c r="E2023" i="4"/>
  <c r="E2024" i="4"/>
  <c r="E2025" i="4"/>
  <c r="E2026" i="4"/>
  <c r="E2027" i="4"/>
  <c r="E2028" i="4"/>
  <c r="E2029" i="4"/>
  <c r="E2030" i="4"/>
  <c r="E2031" i="4"/>
  <c r="E2032" i="4"/>
  <c r="E2033" i="4"/>
  <c r="E2034" i="4"/>
  <c r="E2035" i="4"/>
  <c r="E2036" i="4"/>
  <c r="E2037" i="4"/>
  <c r="E2038" i="4"/>
  <c r="E2039" i="4"/>
  <c r="E2040" i="4"/>
  <c r="E2041" i="4"/>
  <c r="E2042" i="4"/>
  <c r="E2043" i="4"/>
  <c r="E2044" i="4"/>
  <c r="E2045" i="4"/>
  <c r="E2046" i="4"/>
  <c r="E2047" i="4"/>
  <c r="E2048" i="4"/>
  <c r="E2049" i="4"/>
  <c r="E2050" i="4"/>
  <c r="E2051" i="4"/>
  <c r="E2052" i="4"/>
  <c r="E2053" i="4"/>
  <c r="E2054" i="4"/>
  <c r="E2055" i="4"/>
  <c r="E2056" i="4"/>
  <c r="E2057" i="4"/>
  <c r="E2058" i="4"/>
  <c r="E2059" i="4"/>
  <c r="E2060" i="4"/>
  <c r="E2061" i="4"/>
  <c r="E2062" i="4"/>
  <c r="E2063" i="4"/>
  <c r="E2064" i="4"/>
  <c r="E2065" i="4"/>
  <c r="E2066" i="4"/>
  <c r="E2067" i="4"/>
  <c r="E2068" i="4"/>
  <c r="E2069" i="4"/>
  <c r="E2070" i="4"/>
  <c r="E2071" i="4"/>
  <c r="E2072" i="4"/>
  <c r="E2073" i="4"/>
  <c r="E2074" i="4"/>
  <c r="E2075" i="4"/>
  <c r="E2076" i="4"/>
  <c r="E2077" i="4"/>
  <c r="E2078" i="4"/>
  <c r="E2079" i="4"/>
  <c r="E2080" i="4"/>
  <c r="E2081" i="4"/>
  <c r="E2082" i="4"/>
  <c r="E2083" i="4"/>
  <c r="E2084" i="4"/>
  <c r="E2085" i="4"/>
  <c r="E2086" i="4"/>
  <c r="E2087" i="4"/>
  <c r="E2088" i="4"/>
  <c r="E2089" i="4"/>
  <c r="E2090" i="4"/>
  <c r="E2091" i="4"/>
  <c r="E2092" i="4"/>
  <c r="E2093" i="4"/>
  <c r="E2094" i="4"/>
  <c r="E2095" i="4"/>
  <c r="E2096" i="4"/>
  <c r="E2097" i="4"/>
  <c r="E2098" i="4"/>
  <c r="E2099" i="4"/>
  <c r="E2100" i="4"/>
  <c r="E2101" i="4"/>
  <c r="E2102" i="4"/>
  <c r="E2103" i="4"/>
  <c r="E59" i="4"/>
  <c r="D950" i="5"/>
  <c r="D951" i="5"/>
  <c r="D952" i="5"/>
  <c r="D953" i="5"/>
  <c r="D954" i="5"/>
  <c r="D955" i="5"/>
  <c r="D939" i="5"/>
  <c r="D940" i="5"/>
  <c r="D941" i="5"/>
  <c r="D942" i="5"/>
  <c r="D943" i="5"/>
  <c r="D944" i="5"/>
  <c r="D945" i="5"/>
  <c r="D946" i="5"/>
  <c r="D947" i="5"/>
  <c r="D948" i="5"/>
  <c r="D949" i="5"/>
  <c r="C2103" i="4"/>
  <c r="D2103" i="4" s="1"/>
  <c r="C2099" i="4"/>
  <c r="D2099" i="4" s="1"/>
  <c r="C2100" i="4"/>
  <c r="D2100" i="4" s="1"/>
  <c r="C2101" i="4"/>
  <c r="D2101" i="4" s="1"/>
  <c r="C2102" i="4"/>
  <c r="D2102" i="4" s="1"/>
  <c r="C2087" i="4"/>
  <c r="D2087" i="4" s="1"/>
  <c r="C2088" i="4"/>
  <c r="D2088" i="4" s="1"/>
  <c r="C2089" i="4"/>
  <c r="D2089" i="4" s="1"/>
  <c r="C2090" i="4"/>
  <c r="D2090" i="4" s="1"/>
  <c r="C2091" i="4"/>
  <c r="D2091" i="4" s="1"/>
  <c r="C2092" i="4"/>
  <c r="D2092" i="4" s="1"/>
  <c r="C2093" i="4"/>
  <c r="D2093" i="4" s="1"/>
  <c r="C2094" i="4"/>
  <c r="D2094" i="4" s="1"/>
  <c r="C2095" i="4"/>
  <c r="D2095" i="4" s="1"/>
  <c r="C2096" i="4"/>
  <c r="D2096" i="4" s="1"/>
  <c r="C2097" i="4"/>
  <c r="D2097" i="4" s="1"/>
  <c r="C2098" i="4"/>
  <c r="D2098" i="4" s="1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C2084" i="4"/>
  <c r="D2084" i="4" s="1"/>
  <c r="C2085" i="4"/>
  <c r="D2085" i="4" s="1"/>
  <c r="C2086" i="4"/>
  <c r="D2086" i="4" s="1"/>
  <c r="C2082" i="4"/>
  <c r="D2082" i="4" s="1"/>
  <c r="C2083" i="4"/>
  <c r="D2083" i="4" s="1"/>
  <c r="C2079" i="4"/>
  <c r="D2079" i="4" s="1"/>
  <c r="C2080" i="4"/>
  <c r="D2080" i="4" s="1"/>
  <c r="C2081" i="4"/>
  <c r="D2081" i="4" s="1"/>
  <c r="C2067" i="4"/>
  <c r="D2067" i="4" s="1"/>
  <c r="C2068" i="4"/>
  <c r="D2068" i="4" s="1"/>
  <c r="C2069" i="4"/>
  <c r="D2069" i="4" s="1"/>
  <c r="C2070" i="4"/>
  <c r="D2070" i="4" s="1"/>
  <c r="C2071" i="4"/>
  <c r="D2071" i="4" s="1"/>
  <c r="C2072" i="4"/>
  <c r="D2072" i="4" s="1"/>
  <c r="C2073" i="4"/>
  <c r="D2073" i="4" s="1"/>
  <c r="C2074" i="4"/>
  <c r="D2074" i="4" s="1"/>
  <c r="C2075" i="4"/>
  <c r="D2075" i="4" s="1"/>
  <c r="C2076" i="4"/>
  <c r="D2076" i="4" s="1"/>
  <c r="C2077" i="4"/>
  <c r="D2077" i="4" s="1"/>
  <c r="C2078" i="4"/>
  <c r="D2078" i="4" s="1"/>
  <c r="B4" i="19" l="1"/>
  <c r="B3" i="19"/>
  <c r="C2014" i="4"/>
  <c r="D2014" i="4" s="1"/>
  <c r="C2015" i="4"/>
  <c r="D2015" i="4" s="1"/>
  <c r="C2016" i="4"/>
  <c r="D2016" i="4" s="1"/>
  <c r="C2017" i="4"/>
  <c r="D2017" i="4" s="1"/>
  <c r="C2018" i="4"/>
  <c r="D2018" i="4" s="1"/>
  <c r="C2019" i="4"/>
  <c r="D2019" i="4" s="1"/>
  <c r="C2020" i="4"/>
  <c r="D2020" i="4" s="1"/>
  <c r="C2021" i="4"/>
  <c r="D2021" i="4" s="1"/>
  <c r="C2022" i="4"/>
  <c r="D2022" i="4" s="1"/>
  <c r="C2023" i="4"/>
  <c r="D2023" i="4" s="1"/>
  <c r="C2024" i="4"/>
  <c r="D2024" i="4" s="1"/>
  <c r="C2025" i="4"/>
  <c r="D2025" i="4" s="1"/>
  <c r="C2026" i="4"/>
  <c r="D2026" i="4" s="1"/>
  <c r="C2027" i="4"/>
  <c r="D2027" i="4" s="1"/>
  <c r="C2028" i="4"/>
  <c r="D2028" i="4" s="1"/>
  <c r="C2029" i="4"/>
  <c r="D2029" i="4" s="1"/>
  <c r="C2030" i="4"/>
  <c r="D2030" i="4" s="1"/>
  <c r="C2031" i="4"/>
  <c r="D2031" i="4" s="1"/>
  <c r="C2032" i="4"/>
  <c r="D2032" i="4" s="1"/>
  <c r="C2033" i="4"/>
  <c r="D2033" i="4" s="1"/>
  <c r="C2034" i="4"/>
  <c r="D2034" i="4" s="1"/>
  <c r="C2035" i="4"/>
  <c r="D2035" i="4" s="1"/>
  <c r="C2036" i="4"/>
  <c r="D2036" i="4" s="1"/>
  <c r="C2037" i="4"/>
  <c r="D2037" i="4" s="1"/>
  <c r="C2038" i="4"/>
  <c r="D2038" i="4" s="1"/>
  <c r="C2039" i="4"/>
  <c r="D2039" i="4" s="1"/>
  <c r="C2040" i="4"/>
  <c r="D2040" i="4" s="1"/>
  <c r="C2041" i="4"/>
  <c r="D2041" i="4" s="1"/>
  <c r="C2042" i="4"/>
  <c r="D2042" i="4" s="1"/>
  <c r="C2043" i="4"/>
  <c r="D2043" i="4" s="1"/>
  <c r="C2044" i="4"/>
  <c r="D2044" i="4" s="1"/>
  <c r="C2045" i="4"/>
  <c r="D2045" i="4" s="1"/>
  <c r="C2046" i="4"/>
  <c r="D2046" i="4" s="1"/>
  <c r="C2047" i="4"/>
  <c r="D2047" i="4" s="1"/>
  <c r="C2048" i="4"/>
  <c r="D2048" i="4" s="1"/>
  <c r="C2049" i="4"/>
  <c r="D2049" i="4" s="1"/>
  <c r="C2050" i="4"/>
  <c r="D2050" i="4" s="1"/>
  <c r="C2051" i="4"/>
  <c r="D2051" i="4" s="1"/>
  <c r="C2052" i="4"/>
  <c r="D2052" i="4" s="1"/>
  <c r="C2053" i="4"/>
  <c r="D2053" i="4" s="1"/>
  <c r="C2054" i="4"/>
  <c r="D2054" i="4" s="1"/>
  <c r="C2055" i="4"/>
  <c r="D2055" i="4" s="1"/>
  <c r="C2056" i="4"/>
  <c r="D2056" i="4" s="1"/>
  <c r="C2057" i="4"/>
  <c r="D2057" i="4" s="1"/>
  <c r="C2058" i="4"/>
  <c r="D2058" i="4" s="1"/>
  <c r="C2059" i="4"/>
  <c r="D2059" i="4" s="1"/>
  <c r="C2060" i="4"/>
  <c r="D2060" i="4" s="1"/>
  <c r="C2061" i="4"/>
  <c r="D2061" i="4" s="1"/>
  <c r="C2062" i="4"/>
  <c r="D2062" i="4" s="1"/>
  <c r="C2063" i="4"/>
  <c r="D2063" i="4" s="1"/>
  <c r="C2064" i="4"/>
  <c r="D2064" i="4" s="1"/>
  <c r="C2065" i="4"/>
  <c r="D2065" i="4" s="1"/>
  <c r="C2066" i="4"/>
  <c r="D2066" i="4" s="1"/>
  <c r="D917" i="5" l="1"/>
  <c r="D916" i="5" l="1"/>
  <c r="D915" i="5" l="1"/>
  <c r="D914" i="5" l="1"/>
  <c r="C13" i="16" l="1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D12" i="5" l="1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C2013" i="4" l="1"/>
  <c r="D2013" i="4" s="1"/>
  <c r="C2012" i="4"/>
  <c r="D2012" i="4" s="1"/>
  <c r="C2011" i="4"/>
  <c r="D2011" i="4" s="1"/>
  <c r="C2010" i="4"/>
  <c r="D2010" i="4" s="1"/>
  <c r="C2009" i="4"/>
  <c r="D2009" i="4" s="1"/>
  <c r="C2008" i="4"/>
  <c r="D2008" i="4" s="1"/>
  <c r="C2007" i="4"/>
  <c r="D2007" i="4" s="1"/>
  <c r="C2006" i="4"/>
  <c r="D2006" i="4" s="1"/>
  <c r="C2005" i="4"/>
  <c r="D2005" i="4" s="1"/>
  <c r="C2004" i="4"/>
  <c r="D2004" i="4" s="1"/>
  <c r="C2003" i="4"/>
  <c r="D2003" i="4" s="1"/>
  <c r="C2002" i="4"/>
  <c r="D2002" i="4" s="1"/>
  <c r="C2001" i="4"/>
  <c r="D2001" i="4" s="1"/>
  <c r="C2000" i="4"/>
  <c r="D2000" i="4" s="1"/>
  <c r="C1999" i="4"/>
  <c r="D1999" i="4" s="1"/>
  <c r="C1998" i="4"/>
  <c r="D1998" i="4" s="1"/>
  <c r="C1997" i="4"/>
  <c r="D1997" i="4" s="1"/>
  <c r="C1996" i="4"/>
  <c r="D1996" i="4" s="1"/>
  <c r="C1995" i="4"/>
  <c r="D1995" i="4" s="1"/>
  <c r="C1994" i="4"/>
  <c r="D1994" i="4" s="1"/>
  <c r="C1993" i="4"/>
  <c r="D1993" i="4" s="1"/>
  <c r="C1992" i="4"/>
  <c r="D1992" i="4" s="1"/>
  <c r="C1991" i="4"/>
  <c r="D1991" i="4" s="1"/>
  <c r="C1990" i="4"/>
  <c r="D1990" i="4" s="1"/>
  <c r="C1989" i="4"/>
  <c r="D1989" i="4" s="1"/>
  <c r="C1988" i="4"/>
  <c r="D1988" i="4" s="1"/>
  <c r="C1987" i="4"/>
  <c r="D1987" i="4" s="1"/>
  <c r="C1986" i="4"/>
  <c r="D1986" i="4" s="1"/>
  <c r="C1985" i="4"/>
  <c r="D1985" i="4" s="1"/>
  <c r="C1984" i="4"/>
  <c r="D1984" i="4" s="1"/>
  <c r="C1983" i="4"/>
  <c r="D1983" i="4" s="1"/>
  <c r="C1982" i="4"/>
  <c r="D1982" i="4" s="1"/>
  <c r="C1981" i="4"/>
  <c r="D1981" i="4" s="1"/>
  <c r="C1980" i="4"/>
  <c r="D1980" i="4" s="1"/>
  <c r="C1979" i="4"/>
  <c r="D1979" i="4" s="1"/>
  <c r="C1978" i="4"/>
  <c r="D1978" i="4" s="1"/>
  <c r="C1977" i="4"/>
  <c r="D1977" i="4" s="1"/>
  <c r="C1976" i="4"/>
  <c r="D1976" i="4" s="1"/>
  <c r="C1975" i="4"/>
  <c r="D1975" i="4" s="1"/>
  <c r="C1974" i="4"/>
  <c r="D1974" i="4" s="1"/>
  <c r="C1973" i="4"/>
  <c r="D1973" i="4" s="1"/>
  <c r="C1972" i="4"/>
  <c r="D1972" i="4" s="1"/>
  <c r="C1971" i="4"/>
  <c r="D1971" i="4" s="1"/>
  <c r="C1970" i="4"/>
  <c r="D1970" i="4" s="1"/>
  <c r="C1969" i="4"/>
  <c r="D1969" i="4" s="1"/>
  <c r="C1968" i="4"/>
  <c r="D1968" i="4" s="1"/>
  <c r="C1967" i="4"/>
  <c r="D1967" i="4" s="1"/>
  <c r="C1966" i="4"/>
  <c r="D1966" i="4" s="1"/>
  <c r="C1965" i="4"/>
  <c r="D1965" i="4" s="1"/>
  <c r="C1964" i="4"/>
  <c r="D1964" i="4" s="1"/>
  <c r="C1963" i="4"/>
  <c r="D1963" i="4" s="1"/>
  <c r="C1962" i="4"/>
  <c r="D1962" i="4" s="1"/>
  <c r="C1961" i="4"/>
  <c r="D1961" i="4" s="1"/>
  <c r="C1960" i="4"/>
  <c r="D1960" i="4" s="1"/>
  <c r="C1959" i="4"/>
  <c r="D1959" i="4" s="1"/>
  <c r="C1958" i="4"/>
  <c r="D1958" i="4" s="1"/>
  <c r="C1957" i="4"/>
  <c r="D1957" i="4" s="1"/>
  <c r="C1956" i="4"/>
  <c r="D1956" i="4" s="1"/>
  <c r="C1955" i="4"/>
  <c r="D1955" i="4" s="1"/>
  <c r="C1954" i="4"/>
  <c r="D1954" i="4" s="1"/>
  <c r="C1953" i="4"/>
  <c r="D1953" i="4" s="1"/>
  <c r="C1952" i="4"/>
  <c r="D1952" i="4" s="1"/>
  <c r="C1951" i="4"/>
  <c r="D1951" i="4" s="1"/>
  <c r="C1950" i="4"/>
  <c r="D1950" i="4" s="1"/>
  <c r="C1949" i="4"/>
  <c r="D1949" i="4" s="1"/>
  <c r="C1948" i="4"/>
  <c r="D1948" i="4" s="1"/>
  <c r="C1947" i="4"/>
  <c r="D1947" i="4" s="1"/>
  <c r="C1946" i="4"/>
  <c r="D1946" i="4" s="1"/>
  <c r="C1945" i="4"/>
  <c r="D1945" i="4" s="1"/>
  <c r="C1944" i="4"/>
  <c r="D1944" i="4" s="1"/>
  <c r="C1943" i="4"/>
  <c r="D1943" i="4" s="1"/>
  <c r="C1942" i="4"/>
  <c r="D1942" i="4" s="1"/>
  <c r="C1941" i="4"/>
  <c r="D1941" i="4" s="1"/>
  <c r="C1940" i="4"/>
  <c r="D1940" i="4" s="1"/>
  <c r="C1939" i="4"/>
  <c r="D1939" i="4" s="1"/>
  <c r="C1938" i="4"/>
  <c r="D1938" i="4" s="1"/>
  <c r="C1937" i="4"/>
  <c r="D1937" i="4" s="1"/>
  <c r="C1936" i="4"/>
  <c r="D1936" i="4" s="1"/>
  <c r="C1935" i="4"/>
  <c r="D1935" i="4" s="1"/>
  <c r="C1934" i="4"/>
  <c r="D1934" i="4" s="1"/>
  <c r="C1933" i="4"/>
  <c r="D1933" i="4" s="1"/>
  <c r="C1932" i="4"/>
  <c r="D1932" i="4" s="1"/>
  <c r="C1931" i="4"/>
  <c r="D1931" i="4" s="1"/>
  <c r="C1930" i="4"/>
  <c r="D1930" i="4" s="1"/>
  <c r="C1929" i="4"/>
  <c r="D1929" i="4" s="1"/>
  <c r="C1928" i="4"/>
  <c r="D1928" i="4" s="1"/>
  <c r="C1927" i="4"/>
  <c r="D1927" i="4" s="1"/>
  <c r="C1926" i="4"/>
  <c r="D1926" i="4" s="1"/>
  <c r="C1925" i="4"/>
  <c r="D1925" i="4" s="1"/>
  <c r="C1924" i="4"/>
  <c r="D1924" i="4" s="1"/>
  <c r="C1923" i="4"/>
  <c r="D1923" i="4" s="1"/>
  <c r="C1922" i="4"/>
  <c r="D1922" i="4" s="1"/>
  <c r="C1921" i="4"/>
  <c r="D1921" i="4" s="1"/>
  <c r="C1920" i="4"/>
  <c r="D1920" i="4" s="1"/>
  <c r="C1919" i="4"/>
  <c r="D1919" i="4" s="1"/>
  <c r="C1918" i="4"/>
  <c r="D1918" i="4" s="1"/>
  <c r="C1917" i="4"/>
  <c r="D1917" i="4" s="1"/>
  <c r="C1916" i="4"/>
  <c r="D1916" i="4" s="1"/>
  <c r="C1915" i="4"/>
  <c r="D1915" i="4" s="1"/>
  <c r="C1914" i="4"/>
  <c r="D1914" i="4" s="1"/>
  <c r="C1913" i="4"/>
  <c r="D1913" i="4" s="1"/>
  <c r="C1912" i="4"/>
  <c r="D1912" i="4" s="1"/>
  <c r="C1911" i="4"/>
  <c r="D1911" i="4" s="1"/>
  <c r="C1910" i="4"/>
  <c r="D1910" i="4" s="1"/>
  <c r="C1909" i="4"/>
  <c r="D1909" i="4" s="1"/>
  <c r="C1908" i="4"/>
  <c r="D1908" i="4" s="1"/>
  <c r="C1907" i="4"/>
  <c r="D1907" i="4" s="1"/>
  <c r="C1906" i="4"/>
  <c r="D1906" i="4" s="1"/>
  <c r="C1905" i="4"/>
  <c r="D1905" i="4" s="1"/>
  <c r="C1904" i="4"/>
  <c r="D1904" i="4" s="1"/>
  <c r="C1903" i="4"/>
  <c r="D1903" i="4" s="1"/>
  <c r="C1902" i="4"/>
  <c r="D1902" i="4" s="1"/>
  <c r="C1901" i="4"/>
  <c r="D1901" i="4" s="1"/>
  <c r="C1900" i="4"/>
  <c r="D1900" i="4" s="1"/>
  <c r="C1899" i="4"/>
  <c r="D1899" i="4" s="1"/>
  <c r="C1898" i="4"/>
  <c r="D1898" i="4" s="1"/>
  <c r="C1897" i="4"/>
  <c r="D1897" i="4" s="1"/>
  <c r="C1896" i="4"/>
  <c r="D1896" i="4" s="1"/>
  <c r="C1895" i="4"/>
  <c r="D1895" i="4" s="1"/>
  <c r="C1894" i="4"/>
  <c r="D1894" i="4" s="1"/>
  <c r="C1893" i="4"/>
  <c r="D1893" i="4" s="1"/>
  <c r="C1892" i="4"/>
  <c r="D1892" i="4" s="1"/>
  <c r="C1891" i="4"/>
  <c r="D1891" i="4" s="1"/>
  <c r="C1890" i="4"/>
  <c r="D1890" i="4" s="1"/>
  <c r="C1889" i="4"/>
  <c r="D1889" i="4" s="1"/>
  <c r="C1888" i="4"/>
  <c r="D1888" i="4" s="1"/>
  <c r="C1887" i="4"/>
  <c r="D1887" i="4" s="1"/>
  <c r="C1886" i="4"/>
  <c r="D1886" i="4" s="1"/>
  <c r="C1885" i="4"/>
  <c r="D1885" i="4" s="1"/>
  <c r="C1884" i="4"/>
  <c r="D1884" i="4" s="1"/>
  <c r="C1883" i="4"/>
  <c r="D1883" i="4" s="1"/>
  <c r="C1882" i="4"/>
  <c r="D1882" i="4" s="1"/>
  <c r="C1881" i="4"/>
  <c r="D1881" i="4" s="1"/>
  <c r="C1880" i="4"/>
  <c r="D1880" i="4" s="1"/>
  <c r="C1879" i="4"/>
  <c r="D1879" i="4" s="1"/>
  <c r="C1878" i="4"/>
  <c r="D1878" i="4" s="1"/>
  <c r="C1877" i="4"/>
  <c r="D1877" i="4" s="1"/>
  <c r="C1876" i="4"/>
  <c r="D1876" i="4" s="1"/>
  <c r="C1875" i="4"/>
  <c r="D1875" i="4" s="1"/>
  <c r="C1874" i="4"/>
  <c r="D1874" i="4" s="1"/>
  <c r="C1873" i="4"/>
  <c r="D1873" i="4" s="1"/>
  <c r="C1872" i="4"/>
  <c r="D1872" i="4" s="1"/>
  <c r="C1871" i="4"/>
  <c r="D1871" i="4" s="1"/>
  <c r="C1870" i="4"/>
  <c r="D1870" i="4" s="1"/>
  <c r="C1869" i="4"/>
  <c r="D1869" i="4" s="1"/>
  <c r="C1868" i="4"/>
  <c r="D1868" i="4" s="1"/>
  <c r="C1867" i="4"/>
  <c r="D1867" i="4" s="1"/>
  <c r="C1866" i="4"/>
  <c r="D1866" i="4" s="1"/>
  <c r="C1865" i="4"/>
  <c r="D1865" i="4" s="1"/>
  <c r="C1864" i="4"/>
  <c r="D1864" i="4" s="1"/>
  <c r="C1863" i="4"/>
  <c r="D1863" i="4" s="1"/>
  <c r="C1862" i="4"/>
  <c r="D1862" i="4" s="1"/>
  <c r="C1861" i="4"/>
  <c r="D1861" i="4" s="1"/>
  <c r="C1860" i="4"/>
  <c r="D1860" i="4" s="1"/>
  <c r="C1859" i="4"/>
  <c r="D1859" i="4" s="1"/>
  <c r="C1858" i="4"/>
  <c r="D1858" i="4" s="1"/>
  <c r="C1857" i="4"/>
  <c r="D1857" i="4" s="1"/>
  <c r="C1856" i="4"/>
  <c r="D1856" i="4" s="1"/>
  <c r="C1855" i="4"/>
  <c r="D1855" i="4" s="1"/>
  <c r="C1854" i="4"/>
  <c r="D1854" i="4" s="1"/>
  <c r="C1853" i="4"/>
  <c r="D1853" i="4" s="1"/>
  <c r="C1852" i="4"/>
  <c r="D1852" i="4" s="1"/>
  <c r="C1851" i="4"/>
  <c r="D1851" i="4" s="1"/>
  <c r="C1850" i="4"/>
  <c r="D1850" i="4" s="1"/>
  <c r="C1849" i="4"/>
  <c r="D1849" i="4" s="1"/>
  <c r="C1848" i="4"/>
  <c r="D1848" i="4" s="1"/>
  <c r="C1847" i="4"/>
  <c r="D1847" i="4" s="1"/>
  <c r="C1846" i="4"/>
  <c r="D1846" i="4" s="1"/>
  <c r="C1845" i="4"/>
  <c r="D1845" i="4" s="1"/>
  <c r="C1844" i="4"/>
  <c r="D1844" i="4" s="1"/>
  <c r="C1843" i="4"/>
  <c r="D1843" i="4" s="1"/>
  <c r="C1842" i="4"/>
  <c r="D1842" i="4" s="1"/>
  <c r="C1841" i="4"/>
  <c r="D1841" i="4" s="1"/>
  <c r="C1840" i="4"/>
  <c r="D1840" i="4" s="1"/>
  <c r="C1839" i="4"/>
  <c r="D1839" i="4" s="1"/>
  <c r="C1838" i="4"/>
  <c r="D1838" i="4" s="1"/>
  <c r="C1837" i="4"/>
  <c r="D1837" i="4" s="1"/>
  <c r="C1836" i="4"/>
  <c r="D1836" i="4" s="1"/>
  <c r="C1835" i="4"/>
  <c r="D1835" i="4" s="1"/>
  <c r="C1834" i="4"/>
  <c r="D1834" i="4" s="1"/>
  <c r="C1833" i="4"/>
  <c r="D1833" i="4" s="1"/>
  <c r="C1832" i="4"/>
  <c r="D1832" i="4" s="1"/>
  <c r="C1831" i="4"/>
  <c r="D1831" i="4" s="1"/>
  <c r="C1830" i="4"/>
  <c r="D1830" i="4" s="1"/>
  <c r="C1829" i="4"/>
  <c r="D1829" i="4" s="1"/>
  <c r="C1828" i="4"/>
  <c r="D1828" i="4" s="1"/>
  <c r="C1827" i="4"/>
  <c r="D1827" i="4" s="1"/>
  <c r="C1826" i="4"/>
  <c r="D1826" i="4" s="1"/>
  <c r="C1825" i="4"/>
  <c r="D1825" i="4" s="1"/>
  <c r="C1824" i="4"/>
  <c r="D1824" i="4" s="1"/>
  <c r="C1823" i="4"/>
  <c r="D1823" i="4" s="1"/>
  <c r="C1822" i="4"/>
  <c r="D1822" i="4" s="1"/>
  <c r="C1821" i="4"/>
  <c r="D1821" i="4" s="1"/>
  <c r="C1820" i="4"/>
  <c r="D1820" i="4" s="1"/>
  <c r="C1819" i="4"/>
  <c r="D1819" i="4" s="1"/>
  <c r="C1818" i="4"/>
  <c r="D1818" i="4" s="1"/>
  <c r="C1817" i="4"/>
  <c r="D1817" i="4" s="1"/>
  <c r="C1816" i="4"/>
  <c r="D1816" i="4" s="1"/>
  <c r="C1815" i="4"/>
  <c r="D1815" i="4" s="1"/>
  <c r="C1814" i="4"/>
  <c r="D1814" i="4" s="1"/>
  <c r="C1813" i="4"/>
  <c r="D1813" i="4" s="1"/>
  <c r="C1812" i="4"/>
  <c r="D1812" i="4" s="1"/>
  <c r="C1811" i="4"/>
  <c r="D1811" i="4" s="1"/>
  <c r="C1810" i="4"/>
  <c r="D1810" i="4" s="1"/>
  <c r="C1809" i="4"/>
  <c r="D1809" i="4" s="1"/>
  <c r="C1808" i="4"/>
  <c r="D1808" i="4" s="1"/>
  <c r="C1807" i="4"/>
  <c r="D1807" i="4" s="1"/>
  <c r="C1806" i="4"/>
  <c r="D1806" i="4" s="1"/>
  <c r="C1805" i="4"/>
  <c r="D1805" i="4" s="1"/>
  <c r="C1804" i="4"/>
  <c r="D1804" i="4" s="1"/>
  <c r="C1803" i="4"/>
  <c r="D1803" i="4" s="1"/>
  <c r="C1802" i="4"/>
  <c r="D1802" i="4" s="1"/>
  <c r="C1801" i="4"/>
  <c r="D1801" i="4" s="1"/>
  <c r="C1800" i="4"/>
  <c r="D1800" i="4" s="1"/>
  <c r="C1799" i="4"/>
  <c r="D1799" i="4" s="1"/>
  <c r="C1798" i="4"/>
  <c r="D1798" i="4" s="1"/>
  <c r="C1797" i="4"/>
  <c r="D1797" i="4" s="1"/>
  <c r="C1796" i="4"/>
  <c r="D1796" i="4" s="1"/>
  <c r="C1795" i="4"/>
  <c r="D1795" i="4" s="1"/>
  <c r="C1794" i="4"/>
  <c r="D1794" i="4" s="1"/>
  <c r="C1793" i="4"/>
  <c r="D1793" i="4" s="1"/>
  <c r="C1792" i="4"/>
  <c r="D1792" i="4" s="1"/>
  <c r="C1791" i="4"/>
  <c r="D1791" i="4" s="1"/>
  <c r="C1790" i="4"/>
  <c r="D1790" i="4" s="1"/>
  <c r="C1789" i="4"/>
  <c r="D1789" i="4" s="1"/>
  <c r="C1788" i="4"/>
  <c r="D1788" i="4" s="1"/>
  <c r="C1787" i="4"/>
  <c r="D1787" i="4" s="1"/>
  <c r="C1786" i="4"/>
  <c r="D1786" i="4" s="1"/>
  <c r="C1785" i="4"/>
  <c r="D1785" i="4" s="1"/>
  <c r="C1784" i="4"/>
  <c r="D1784" i="4" s="1"/>
  <c r="C1783" i="4"/>
  <c r="D1783" i="4" s="1"/>
  <c r="C1782" i="4"/>
  <c r="D1782" i="4" s="1"/>
  <c r="C1781" i="4"/>
  <c r="D1781" i="4" s="1"/>
  <c r="C1780" i="4"/>
  <c r="D1780" i="4" s="1"/>
  <c r="C1779" i="4"/>
  <c r="D1779" i="4" s="1"/>
  <c r="C1778" i="4"/>
  <c r="D1778" i="4" s="1"/>
  <c r="C1777" i="4"/>
  <c r="D1777" i="4" s="1"/>
  <c r="C1776" i="4"/>
  <c r="D1776" i="4" s="1"/>
  <c r="C1775" i="4"/>
  <c r="D1775" i="4" s="1"/>
  <c r="C1774" i="4"/>
  <c r="D1774" i="4" s="1"/>
  <c r="C1773" i="4"/>
  <c r="D1773" i="4" s="1"/>
  <c r="C1772" i="4"/>
  <c r="D1772" i="4" s="1"/>
  <c r="C1771" i="4"/>
  <c r="D1771" i="4" s="1"/>
  <c r="C1770" i="4"/>
  <c r="D1770" i="4" s="1"/>
  <c r="C1769" i="4"/>
  <c r="D1769" i="4" s="1"/>
  <c r="C1768" i="4"/>
  <c r="D1768" i="4" s="1"/>
  <c r="C1767" i="4"/>
  <c r="D1767" i="4" s="1"/>
  <c r="C1766" i="4"/>
  <c r="D1766" i="4" s="1"/>
  <c r="C1765" i="4"/>
  <c r="D1765" i="4" s="1"/>
  <c r="C1764" i="4"/>
  <c r="D1764" i="4" s="1"/>
  <c r="C1763" i="4"/>
  <c r="D1763" i="4" s="1"/>
  <c r="C1762" i="4"/>
  <c r="D1762" i="4" s="1"/>
  <c r="C1761" i="4"/>
  <c r="D1761" i="4" s="1"/>
  <c r="C1760" i="4"/>
  <c r="D1760" i="4" s="1"/>
  <c r="C1759" i="4"/>
  <c r="D1759" i="4" s="1"/>
  <c r="C1758" i="4"/>
  <c r="D1758" i="4" s="1"/>
  <c r="C1757" i="4"/>
  <c r="D1757" i="4" s="1"/>
  <c r="C1756" i="4"/>
  <c r="D1756" i="4" s="1"/>
  <c r="C1755" i="4"/>
  <c r="D1755" i="4" s="1"/>
  <c r="C1754" i="4"/>
  <c r="D1754" i="4" s="1"/>
  <c r="C1753" i="4"/>
  <c r="D1753" i="4" s="1"/>
  <c r="C1752" i="4"/>
  <c r="D1752" i="4" s="1"/>
  <c r="C1751" i="4"/>
  <c r="D1751" i="4" s="1"/>
  <c r="C1750" i="4"/>
  <c r="D1750" i="4" s="1"/>
  <c r="C1749" i="4"/>
  <c r="D1749" i="4" s="1"/>
  <c r="C1748" i="4"/>
  <c r="D1748" i="4" s="1"/>
  <c r="C1747" i="4"/>
  <c r="D1747" i="4" s="1"/>
  <c r="C1746" i="4"/>
  <c r="D1746" i="4" s="1"/>
  <c r="C1745" i="4"/>
  <c r="D1745" i="4" s="1"/>
  <c r="C1744" i="4"/>
  <c r="D1744" i="4" s="1"/>
  <c r="C1743" i="4"/>
  <c r="D1743" i="4" s="1"/>
  <c r="C1742" i="4"/>
  <c r="D1742" i="4" s="1"/>
  <c r="C1741" i="4"/>
  <c r="D1741" i="4" s="1"/>
  <c r="C1740" i="4"/>
  <c r="D1740" i="4" s="1"/>
  <c r="C1739" i="4"/>
  <c r="D1739" i="4" s="1"/>
  <c r="C1738" i="4"/>
  <c r="D1738" i="4" s="1"/>
  <c r="C1737" i="4"/>
  <c r="D1737" i="4" s="1"/>
  <c r="C1736" i="4"/>
  <c r="D1736" i="4" s="1"/>
  <c r="C1735" i="4"/>
  <c r="D1735" i="4" s="1"/>
  <c r="C1734" i="4"/>
  <c r="D1734" i="4" s="1"/>
  <c r="C1733" i="4"/>
  <c r="D1733" i="4" s="1"/>
  <c r="C1732" i="4"/>
  <c r="D1732" i="4" s="1"/>
  <c r="C1731" i="4"/>
  <c r="D1731" i="4" s="1"/>
  <c r="C1730" i="4"/>
  <c r="D1730" i="4" s="1"/>
  <c r="C1729" i="4"/>
  <c r="D1729" i="4" s="1"/>
  <c r="C1728" i="4"/>
  <c r="D1728" i="4" s="1"/>
  <c r="C1727" i="4"/>
  <c r="D1727" i="4" s="1"/>
  <c r="C1726" i="4"/>
  <c r="D1726" i="4" s="1"/>
  <c r="C1725" i="4"/>
  <c r="D1725" i="4" s="1"/>
  <c r="C1724" i="4"/>
  <c r="D1724" i="4" s="1"/>
  <c r="C1723" i="4"/>
  <c r="D1723" i="4" s="1"/>
  <c r="C1722" i="4"/>
  <c r="D1722" i="4" s="1"/>
  <c r="C1721" i="4"/>
  <c r="D1721" i="4" s="1"/>
  <c r="C1720" i="4"/>
  <c r="D1720" i="4" s="1"/>
  <c r="C1719" i="4"/>
  <c r="D1719" i="4" s="1"/>
  <c r="C1718" i="4"/>
  <c r="D1718" i="4" s="1"/>
  <c r="C1717" i="4"/>
  <c r="D1717" i="4" s="1"/>
  <c r="C1716" i="4"/>
  <c r="D1716" i="4" s="1"/>
  <c r="C1715" i="4"/>
  <c r="D1715" i="4" s="1"/>
  <c r="C1714" i="4"/>
  <c r="D1714" i="4" s="1"/>
  <c r="C1713" i="4"/>
  <c r="D1713" i="4" s="1"/>
  <c r="C1712" i="4"/>
  <c r="D1712" i="4" s="1"/>
  <c r="C1711" i="4"/>
  <c r="D1711" i="4" s="1"/>
  <c r="C1710" i="4"/>
  <c r="D1710" i="4" s="1"/>
  <c r="C1709" i="4"/>
  <c r="D1709" i="4" s="1"/>
  <c r="C1708" i="4"/>
  <c r="D1708" i="4" s="1"/>
  <c r="C1707" i="4"/>
  <c r="D1707" i="4" s="1"/>
  <c r="C1706" i="4"/>
  <c r="D1706" i="4" s="1"/>
  <c r="C1705" i="4"/>
  <c r="D1705" i="4" s="1"/>
  <c r="C1704" i="4"/>
  <c r="D1704" i="4" s="1"/>
  <c r="C1703" i="4"/>
  <c r="D1703" i="4" s="1"/>
  <c r="C1702" i="4"/>
  <c r="D1702" i="4" s="1"/>
  <c r="C1701" i="4"/>
  <c r="D1701" i="4" s="1"/>
  <c r="C1700" i="4"/>
  <c r="D1700" i="4" s="1"/>
  <c r="C1699" i="4"/>
  <c r="D1699" i="4" s="1"/>
  <c r="C1698" i="4"/>
  <c r="D1698" i="4" s="1"/>
  <c r="C1697" i="4"/>
  <c r="D1697" i="4" s="1"/>
  <c r="C1696" i="4"/>
  <c r="D1696" i="4" s="1"/>
  <c r="C1695" i="4"/>
  <c r="D1695" i="4" s="1"/>
  <c r="C1694" i="4"/>
  <c r="D1694" i="4" s="1"/>
  <c r="C1693" i="4"/>
  <c r="D1693" i="4" s="1"/>
  <c r="C1692" i="4"/>
  <c r="D1692" i="4" s="1"/>
  <c r="C1691" i="4"/>
  <c r="D1691" i="4" s="1"/>
  <c r="C1690" i="4"/>
  <c r="D1690" i="4" s="1"/>
  <c r="C1689" i="4"/>
  <c r="D1689" i="4" s="1"/>
  <c r="C1688" i="4"/>
  <c r="D1688" i="4" s="1"/>
  <c r="C1687" i="4"/>
  <c r="D1687" i="4" s="1"/>
  <c r="C1686" i="4"/>
  <c r="D1686" i="4" s="1"/>
  <c r="C1685" i="4"/>
  <c r="D1685" i="4" s="1"/>
  <c r="C1684" i="4"/>
  <c r="D1684" i="4" s="1"/>
  <c r="C1683" i="4"/>
  <c r="D1683" i="4" s="1"/>
  <c r="C1682" i="4"/>
  <c r="D1682" i="4" s="1"/>
  <c r="C1681" i="4"/>
  <c r="D1681" i="4" s="1"/>
  <c r="C1680" i="4"/>
  <c r="D1680" i="4" s="1"/>
  <c r="C1679" i="4"/>
  <c r="D1679" i="4" s="1"/>
  <c r="C1678" i="4"/>
  <c r="D1678" i="4" s="1"/>
  <c r="C1677" i="4"/>
  <c r="D1677" i="4" s="1"/>
  <c r="C1676" i="4"/>
  <c r="D1676" i="4" s="1"/>
  <c r="C1675" i="4"/>
  <c r="D1675" i="4" s="1"/>
  <c r="C1674" i="4"/>
  <c r="D1674" i="4" s="1"/>
  <c r="C1673" i="4"/>
  <c r="D1673" i="4" s="1"/>
  <c r="C1672" i="4"/>
  <c r="D1672" i="4" s="1"/>
  <c r="C1671" i="4"/>
  <c r="D1671" i="4" s="1"/>
  <c r="C1670" i="4"/>
  <c r="D1670" i="4" s="1"/>
  <c r="C1669" i="4"/>
  <c r="D1669" i="4" s="1"/>
  <c r="C1668" i="4"/>
  <c r="D1668" i="4" s="1"/>
  <c r="C1667" i="4"/>
  <c r="D1667" i="4" s="1"/>
  <c r="C1666" i="4"/>
  <c r="D1666" i="4" s="1"/>
  <c r="C1665" i="4"/>
  <c r="D1665" i="4" s="1"/>
  <c r="C1664" i="4"/>
  <c r="D1664" i="4" s="1"/>
  <c r="C1663" i="4"/>
  <c r="D1663" i="4" s="1"/>
  <c r="C1662" i="4"/>
  <c r="D1662" i="4" s="1"/>
  <c r="C1661" i="4"/>
  <c r="D1661" i="4" s="1"/>
  <c r="C1660" i="4"/>
  <c r="D1660" i="4" s="1"/>
  <c r="C1659" i="4"/>
  <c r="D1659" i="4" s="1"/>
  <c r="C1658" i="4"/>
  <c r="D1658" i="4" s="1"/>
  <c r="C1657" i="4"/>
  <c r="D1657" i="4" s="1"/>
  <c r="C1656" i="4"/>
  <c r="D1656" i="4" s="1"/>
  <c r="C1655" i="4"/>
  <c r="D1655" i="4" s="1"/>
  <c r="C1654" i="4"/>
  <c r="D1654" i="4" s="1"/>
  <c r="C1653" i="4"/>
  <c r="D1653" i="4" s="1"/>
  <c r="C1652" i="4"/>
  <c r="D1652" i="4" s="1"/>
  <c r="C1651" i="4"/>
  <c r="D1651" i="4" s="1"/>
  <c r="C1650" i="4"/>
  <c r="D1650" i="4" s="1"/>
  <c r="C1649" i="4"/>
  <c r="D1649" i="4" s="1"/>
  <c r="C1648" i="4"/>
  <c r="D1648" i="4" s="1"/>
  <c r="C1647" i="4"/>
  <c r="D1647" i="4" s="1"/>
  <c r="C1646" i="4"/>
  <c r="D1646" i="4" s="1"/>
  <c r="C1645" i="4"/>
  <c r="D1645" i="4" s="1"/>
  <c r="C1644" i="4"/>
  <c r="D1644" i="4" s="1"/>
  <c r="C1643" i="4"/>
  <c r="D1643" i="4" s="1"/>
  <c r="C1642" i="4"/>
  <c r="D1642" i="4" s="1"/>
  <c r="C1641" i="4"/>
  <c r="D1641" i="4" s="1"/>
  <c r="C1640" i="4"/>
  <c r="D1640" i="4" s="1"/>
  <c r="C1639" i="4"/>
  <c r="D1639" i="4" s="1"/>
  <c r="C1638" i="4"/>
  <c r="D1638" i="4" s="1"/>
  <c r="C1637" i="4"/>
  <c r="D1637" i="4" s="1"/>
  <c r="C1636" i="4"/>
  <c r="D1636" i="4" s="1"/>
  <c r="C1635" i="4"/>
  <c r="D1635" i="4" s="1"/>
  <c r="C1634" i="4"/>
  <c r="D1634" i="4" s="1"/>
  <c r="C1633" i="4"/>
  <c r="D1633" i="4" s="1"/>
  <c r="C1632" i="4"/>
  <c r="D1632" i="4" s="1"/>
  <c r="C1631" i="4"/>
  <c r="D1631" i="4" s="1"/>
  <c r="C1630" i="4"/>
  <c r="D1630" i="4" s="1"/>
  <c r="C1629" i="4"/>
  <c r="D1629" i="4" s="1"/>
  <c r="C1628" i="4"/>
  <c r="D1628" i="4" s="1"/>
  <c r="C1627" i="4"/>
  <c r="D1627" i="4" s="1"/>
  <c r="C1626" i="4"/>
  <c r="D1626" i="4" s="1"/>
  <c r="C1625" i="4"/>
  <c r="D1625" i="4" s="1"/>
  <c r="C1624" i="4"/>
  <c r="D1624" i="4" s="1"/>
  <c r="C1623" i="4"/>
  <c r="D1623" i="4" s="1"/>
  <c r="C1622" i="4"/>
  <c r="D1622" i="4" s="1"/>
  <c r="C1621" i="4"/>
  <c r="D1621" i="4" s="1"/>
  <c r="C1620" i="4"/>
  <c r="D1620" i="4" s="1"/>
  <c r="C1619" i="4"/>
  <c r="D1619" i="4" s="1"/>
  <c r="C1618" i="4"/>
  <c r="D1618" i="4" s="1"/>
  <c r="C1617" i="4"/>
  <c r="D1617" i="4" s="1"/>
  <c r="C1616" i="4"/>
  <c r="D1616" i="4" s="1"/>
  <c r="C1615" i="4"/>
  <c r="D1615" i="4" s="1"/>
  <c r="C1614" i="4"/>
  <c r="D1614" i="4" s="1"/>
  <c r="C1613" i="4"/>
  <c r="D1613" i="4" s="1"/>
  <c r="C1612" i="4"/>
  <c r="D1612" i="4" s="1"/>
  <c r="C1611" i="4"/>
  <c r="D1611" i="4" s="1"/>
  <c r="C1610" i="4"/>
  <c r="D1610" i="4" s="1"/>
  <c r="C1609" i="4"/>
  <c r="D1609" i="4" s="1"/>
  <c r="C1608" i="4"/>
  <c r="D1608" i="4" s="1"/>
  <c r="C1607" i="4"/>
  <c r="D1607" i="4" s="1"/>
  <c r="C1606" i="4"/>
  <c r="D1606" i="4" s="1"/>
  <c r="C1605" i="4"/>
  <c r="D1605" i="4" s="1"/>
  <c r="C1604" i="4"/>
  <c r="D1604" i="4" s="1"/>
  <c r="C1603" i="4"/>
  <c r="D1603" i="4" s="1"/>
  <c r="C1602" i="4"/>
  <c r="D1602" i="4" s="1"/>
  <c r="C1601" i="4"/>
  <c r="D1601" i="4" s="1"/>
  <c r="C1600" i="4"/>
  <c r="D1600" i="4" s="1"/>
  <c r="C1599" i="4"/>
  <c r="D1599" i="4" s="1"/>
  <c r="C1598" i="4"/>
  <c r="D1598" i="4" s="1"/>
  <c r="C1597" i="4"/>
  <c r="D1597" i="4" s="1"/>
  <c r="C1596" i="4"/>
  <c r="D1596" i="4" s="1"/>
  <c r="C1595" i="4"/>
  <c r="D1595" i="4" s="1"/>
  <c r="C1594" i="4"/>
  <c r="D1594" i="4" s="1"/>
  <c r="C1593" i="4"/>
  <c r="D1593" i="4" s="1"/>
  <c r="C1592" i="4"/>
  <c r="D1592" i="4" s="1"/>
  <c r="C1591" i="4"/>
  <c r="D1591" i="4" s="1"/>
  <c r="C1590" i="4"/>
  <c r="D1590" i="4" s="1"/>
  <c r="C1589" i="4"/>
  <c r="D1589" i="4" s="1"/>
  <c r="C1588" i="4"/>
  <c r="D1588" i="4" s="1"/>
  <c r="C1587" i="4"/>
  <c r="D1587" i="4" s="1"/>
  <c r="C1586" i="4"/>
  <c r="D1586" i="4" s="1"/>
  <c r="C1585" i="4"/>
  <c r="D1585" i="4" s="1"/>
  <c r="C1584" i="4"/>
  <c r="D1584" i="4" s="1"/>
  <c r="C1583" i="4"/>
  <c r="D1583" i="4" s="1"/>
  <c r="C1582" i="4"/>
  <c r="D1582" i="4" s="1"/>
  <c r="C1581" i="4"/>
  <c r="D1581" i="4" s="1"/>
  <c r="C1580" i="4"/>
  <c r="D1580" i="4" s="1"/>
  <c r="C1579" i="4"/>
  <c r="D1579" i="4" s="1"/>
  <c r="C1578" i="4"/>
  <c r="D1578" i="4" s="1"/>
  <c r="C1577" i="4"/>
  <c r="D1577" i="4" s="1"/>
  <c r="C1576" i="4"/>
  <c r="D1576" i="4" s="1"/>
  <c r="C1575" i="4"/>
  <c r="D1575" i="4" s="1"/>
  <c r="C1574" i="4"/>
  <c r="D1574" i="4" s="1"/>
  <c r="C1573" i="4"/>
  <c r="D1573" i="4" s="1"/>
  <c r="C1572" i="4"/>
  <c r="D1572" i="4" s="1"/>
  <c r="C1571" i="4"/>
  <c r="D1571" i="4" s="1"/>
  <c r="C1570" i="4"/>
  <c r="D1570" i="4" s="1"/>
  <c r="C1569" i="4"/>
  <c r="D1569" i="4" s="1"/>
  <c r="C1568" i="4"/>
  <c r="D1568" i="4" s="1"/>
  <c r="C1567" i="4"/>
  <c r="D1567" i="4" s="1"/>
  <c r="C1566" i="4"/>
  <c r="D1566" i="4" s="1"/>
  <c r="C1565" i="4"/>
  <c r="D1565" i="4" s="1"/>
  <c r="C1564" i="4"/>
  <c r="D1564" i="4" s="1"/>
  <c r="C1563" i="4"/>
  <c r="D1563" i="4" s="1"/>
  <c r="C1562" i="4"/>
  <c r="D1562" i="4" s="1"/>
  <c r="C1561" i="4"/>
  <c r="D1561" i="4" s="1"/>
  <c r="C1560" i="4"/>
  <c r="D1560" i="4" s="1"/>
  <c r="C1559" i="4"/>
  <c r="D1559" i="4" s="1"/>
  <c r="C1558" i="4"/>
  <c r="D1558" i="4" s="1"/>
  <c r="C1557" i="4"/>
  <c r="D1557" i="4" s="1"/>
  <c r="C1556" i="4"/>
  <c r="D1556" i="4" s="1"/>
  <c r="C1555" i="4"/>
  <c r="D1555" i="4" s="1"/>
  <c r="C1554" i="4"/>
  <c r="D1554" i="4" s="1"/>
  <c r="C1553" i="4"/>
  <c r="D1553" i="4" s="1"/>
  <c r="C1552" i="4"/>
  <c r="D1552" i="4" s="1"/>
  <c r="C1551" i="4"/>
  <c r="D1551" i="4" s="1"/>
  <c r="C1550" i="4"/>
  <c r="D1550" i="4" s="1"/>
  <c r="C1549" i="4"/>
  <c r="D1549" i="4" s="1"/>
  <c r="C1548" i="4"/>
  <c r="D1548" i="4" s="1"/>
  <c r="C1547" i="4"/>
  <c r="D1547" i="4" s="1"/>
  <c r="C1546" i="4"/>
  <c r="D1546" i="4" s="1"/>
  <c r="C1545" i="4"/>
  <c r="D1545" i="4" s="1"/>
  <c r="C1544" i="4"/>
  <c r="D1544" i="4" s="1"/>
  <c r="C1543" i="4"/>
  <c r="D1543" i="4" s="1"/>
  <c r="C1542" i="4"/>
  <c r="D1542" i="4" s="1"/>
  <c r="C1541" i="4"/>
  <c r="D1541" i="4" s="1"/>
  <c r="C1540" i="4"/>
  <c r="D1540" i="4" s="1"/>
  <c r="C1539" i="4"/>
  <c r="D1539" i="4" s="1"/>
  <c r="C1538" i="4"/>
  <c r="D1538" i="4" s="1"/>
  <c r="C1537" i="4"/>
  <c r="D1537" i="4" s="1"/>
  <c r="C1536" i="4"/>
  <c r="D1536" i="4" s="1"/>
  <c r="C1535" i="4"/>
  <c r="D1535" i="4" s="1"/>
  <c r="C1534" i="4"/>
  <c r="D1534" i="4" s="1"/>
  <c r="C1533" i="4"/>
  <c r="D1533" i="4" s="1"/>
  <c r="C1532" i="4"/>
  <c r="D1532" i="4" s="1"/>
  <c r="C1531" i="4"/>
  <c r="D1531" i="4" s="1"/>
  <c r="C1530" i="4"/>
  <c r="D1530" i="4" s="1"/>
  <c r="C1529" i="4"/>
  <c r="D1529" i="4" s="1"/>
  <c r="C1528" i="4"/>
  <c r="D1528" i="4" s="1"/>
  <c r="C1527" i="4"/>
  <c r="D1527" i="4" s="1"/>
  <c r="C1526" i="4"/>
  <c r="D1526" i="4" s="1"/>
  <c r="C1525" i="4"/>
  <c r="D1525" i="4" s="1"/>
  <c r="C1524" i="4"/>
  <c r="D1524" i="4" s="1"/>
  <c r="C1523" i="4"/>
  <c r="D1523" i="4" s="1"/>
  <c r="C1522" i="4"/>
  <c r="D1522" i="4" s="1"/>
  <c r="C1521" i="4"/>
  <c r="D1521" i="4" s="1"/>
  <c r="C1520" i="4"/>
  <c r="D1520" i="4" s="1"/>
  <c r="C1519" i="4"/>
  <c r="D1519" i="4" s="1"/>
  <c r="C1518" i="4"/>
  <c r="D1518" i="4" s="1"/>
  <c r="C1517" i="4"/>
  <c r="D1517" i="4" s="1"/>
  <c r="C1516" i="4"/>
  <c r="D1516" i="4" s="1"/>
  <c r="C1515" i="4"/>
  <c r="D1515" i="4" s="1"/>
  <c r="C1514" i="4"/>
  <c r="D1514" i="4" s="1"/>
  <c r="C1513" i="4"/>
  <c r="D1513" i="4" s="1"/>
  <c r="C1512" i="4"/>
  <c r="D1512" i="4" s="1"/>
  <c r="C1511" i="4"/>
  <c r="D1511" i="4" s="1"/>
  <c r="C1510" i="4"/>
  <c r="D1510" i="4" s="1"/>
  <c r="C1509" i="4"/>
  <c r="D1509" i="4" s="1"/>
  <c r="C1508" i="4"/>
  <c r="D1508" i="4" s="1"/>
  <c r="C1507" i="4"/>
  <c r="D1507" i="4" s="1"/>
  <c r="C1506" i="4"/>
  <c r="D1506" i="4" s="1"/>
  <c r="C1505" i="4"/>
  <c r="D1505" i="4" s="1"/>
  <c r="C1504" i="4"/>
  <c r="D1504" i="4" s="1"/>
  <c r="C1503" i="4"/>
  <c r="D1503" i="4" s="1"/>
  <c r="C1502" i="4"/>
  <c r="D1502" i="4" s="1"/>
  <c r="C1501" i="4"/>
  <c r="D1501" i="4" s="1"/>
  <c r="C1500" i="4"/>
  <c r="D1500" i="4" s="1"/>
  <c r="C1499" i="4"/>
  <c r="D1499" i="4" s="1"/>
  <c r="C1498" i="4"/>
  <c r="D1498" i="4" s="1"/>
  <c r="C1497" i="4"/>
  <c r="D1497" i="4" s="1"/>
  <c r="C1496" i="4"/>
  <c r="D1496" i="4" s="1"/>
  <c r="C1495" i="4"/>
  <c r="D1495" i="4" s="1"/>
  <c r="C1494" i="4"/>
  <c r="D1494" i="4" s="1"/>
  <c r="C1493" i="4"/>
  <c r="D1493" i="4" s="1"/>
  <c r="C1492" i="4"/>
  <c r="D1492" i="4" s="1"/>
  <c r="C1491" i="4"/>
  <c r="D1491" i="4" s="1"/>
  <c r="C1490" i="4"/>
  <c r="D1490" i="4" s="1"/>
  <c r="C1489" i="4"/>
  <c r="D1489" i="4" s="1"/>
  <c r="C1488" i="4"/>
  <c r="D1488" i="4" s="1"/>
  <c r="C1487" i="4"/>
  <c r="D1487" i="4" s="1"/>
  <c r="C1486" i="4"/>
  <c r="D1486" i="4" s="1"/>
  <c r="C1485" i="4"/>
  <c r="D1485" i="4" s="1"/>
  <c r="C1484" i="4"/>
  <c r="D1484" i="4" s="1"/>
  <c r="C1483" i="4"/>
  <c r="D1483" i="4" s="1"/>
  <c r="C1482" i="4"/>
  <c r="D1482" i="4" s="1"/>
  <c r="C1481" i="4"/>
  <c r="D1481" i="4" s="1"/>
  <c r="C1480" i="4"/>
  <c r="D1480" i="4" s="1"/>
  <c r="C1479" i="4"/>
  <c r="D1479" i="4" s="1"/>
  <c r="C1478" i="4"/>
  <c r="D1478" i="4" s="1"/>
  <c r="C1477" i="4"/>
  <c r="D1477" i="4" s="1"/>
  <c r="C1476" i="4"/>
  <c r="D1476" i="4" s="1"/>
  <c r="C1475" i="4"/>
  <c r="D1475" i="4" s="1"/>
  <c r="C1474" i="4"/>
  <c r="D1474" i="4" s="1"/>
  <c r="C1473" i="4"/>
  <c r="D1473" i="4" s="1"/>
  <c r="C1472" i="4"/>
  <c r="D1472" i="4" s="1"/>
  <c r="C1471" i="4"/>
  <c r="D1471" i="4" s="1"/>
  <c r="C1470" i="4"/>
  <c r="D1470" i="4" s="1"/>
  <c r="C1469" i="4"/>
  <c r="D1469" i="4" s="1"/>
  <c r="C1468" i="4"/>
  <c r="D1468" i="4" s="1"/>
  <c r="C1467" i="4"/>
  <c r="D1467" i="4" s="1"/>
  <c r="C1466" i="4"/>
  <c r="D1466" i="4" s="1"/>
  <c r="C1465" i="4"/>
  <c r="D1465" i="4" s="1"/>
  <c r="C1464" i="4"/>
  <c r="D1464" i="4" s="1"/>
  <c r="C1463" i="4"/>
  <c r="D1463" i="4" s="1"/>
  <c r="C1462" i="4"/>
  <c r="D1462" i="4" s="1"/>
  <c r="C1461" i="4"/>
  <c r="D1461" i="4" s="1"/>
  <c r="C1460" i="4"/>
  <c r="D1460" i="4" s="1"/>
  <c r="C1459" i="4"/>
  <c r="D1459" i="4" s="1"/>
  <c r="C1458" i="4"/>
  <c r="D1458" i="4" s="1"/>
  <c r="C1457" i="4"/>
  <c r="D1457" i="4" s="1"/>
  <c r="C1456" i="4"/>
  <c r="D1456" i="4" s="1"/>
  <c r="C1455" i="4"/>
  <c r="D1455" i="4" s="1"/>
  <c r="C1454" i="4"/>
  <c r="D1454" i="4" s="1"/>
  <c r="C1453" i="4"/>
  <c r="D1453" i="4" s="1"/>
  <c r="C1452" i="4"/>
  <c r="D1452" i="4" s="1"/>
  <c r="C1451" i="4"/>
  <c r="D1451" i="4" s="1"/>
  <c r="C1450" i="4"/>
  <c r="D1450" i="4" s="1"/>
  <c r="C1449" i="4"/>
  <c r="D1449" i="4" s="1"/>
  <c r="C1448" i="4"/>
  <c r="D1448" i="4" s="1"/>
  <c r="C1447" i="4"/>
  <c r="D1447" i="4" s="1"/>
  <c r="C1446" i="4"/>
  <c r="D1446" i="4" s="1"/>
  <c r="C1445" i="4"/>
  <c r="D1445" i="4" s="1"/>
  <c r="C1444" i="4"/>
  <c r="D1444" i="4" s="1"/>
  <c r="C1443" i="4"/>
  <c r="D1443" i="4" s="1"/>
  <c r="C1442" i="4"/>
  <c r="D1442" i="4" s="1"/>
  <c r="C1441" i="4"/>
  <c r="D1441" i="4" s="1"/>
  <c r="C1440" i="4"/>
  <c r="D1440" i="4" s="1"/>
  <c r="C1439" i="4"/>
  <c r="D1439" i="4" s="1"/>
  <c r="C1438" i="4"/>
  <c r="D1438" i="4" s="1"/>
  <c r="C1437" i="4"/>
  <c r="D1437" i="4" s="1"/>
  <c r="C1436" i="4"/>
  <c r="D1436" i="4" s="1"/>
  <c r="C1435" i="4"/>
  <c r="D1435" i="4" s="1"/>
  <c r="C1434" i="4"/>
  <c r="D1434" i="4" s="1"/>
  <c r="C1433" i="4"/>
  <c r="D1433" i="4" s="1"/>
  <c r="C1432" i="4"/>
  <c r="D1432" i="4" s="1"/>
  <c r="C1431" i="4"/>
  <c r="D1431" i="4" s="1"/>
  <c r="C1430" i="4"/>
  <c r="D1430" i="4" s="1"/>
  <c r="C1429" i="4"/>
  <c r="D1429" i="4" s="1"/>
  <c r="C1428" i="4"/>
  <c r="D1428" i="4" s="1"/>
  <c r="C1427" i="4"/>
  <c r="D1427" i="4" s="1"/>
  <c r="C1426" i="4"/>
  <c r="D1426" i="4" s="1"/>
  <c r="C1425" i="4"/>
  <c r="D1425" i="4" s="1"/>
  <c r="C1424" i="4"/>
  <c r="D1424" i="4" s="1"/>
  <c r="C1423" i="4"/>
  <c r="D1423" i="4" s="1"/>
  <c r="C1422" i="4"/>
  <c r="D1422" i="4" s="1"/>
  <c r="C1421" i="4"/>
  <c r="D1421" i="4" s="1"/>
  <c r="C1420" i="4"/>
  <c r="D1420" i="4" s="1"/>
  <c r="C1419" i="4"/>
  <c r="D1419" i="4" s="1"/>
  <c r="C1418" i="4"/>
  <c r="D1418" i="4" s="1"/>
  <c r="C1417" i="4"/>
  <c r="D1417" i="4" s="1"/>
  <c r="C1416" i="4"/>
  <c r="D1416" i="4" s="1"/>
  <c r="C1415" i="4"/>
  <c r="D1415" i="4" s="1"/>
  <c r="C1414" i="4"/>
  <c r="D1414" i="4" s="1"/>
  <c r="C1413" i="4"/>
  <c r="D1413" i="4" s="1"/>
  <c r="C1412" i="4"/>
  <c r="D1412" i="4" s="1"/>
  <c r="C1411" i="4"/>
  <c r="D1411" i="4" s="1"/>
  <c r="C1410" i="4"/>
  <c r="D1410" i="4" s="1"/>
  <c r="C1409" i="4"/>
  <c r="D1409" i="4" s="1"/>
  <c r="C1408" i="4"/>
  <c r="D1408" i="4" s="1"/>
  <c r="C1407" i="4"/>
  <c r="D1407" i="4" s="1"/>
  <c r="C1406" i="4"/>
  <c r="D1406" i="4" s="1"/>
  <c r="C1405" i="4"/>
  <c r="D1405" i="4" s="1"/>
  <c r="C1404" i="4"/>
  <c r="D1404" i="4" s="1"/>
  <c r="C1403" i="4"/>
  <c r="D1403" i="4" s="1"/>
  <c r="C1402" i="4"/>
  <c r="D1402" i="4" s="1"/>
  <c r="C1401" i="4"/>
  <c r="D1401" i="4" s="1"/>
  <c r="C1400" i="4"/>
  <c r="D1400" i="4" s="1"/>
  <c r="C1399" i="4"/>
  <c r="D1399" i="4" s="1"/>
  <c r="C1398" i="4"/>
  <c r="D1398" i="4" s="1"/>
  <c r="C1397" i="4"/>
  <c r="D1397" i="4" s="1"/>
  <c r="C1396" i="4"/>
  <c r="D1396" i="4" s="1"/>
  <c r="C1395" i="4"/>
  <c r="D1395" i="4" s="1"/>
  <c r="C1394" i="4"/>
  <c r="D1394" i="4" s="1"/>
  <c r="C1393" i="4"/>
  <c r="D1393" i="4" s="1"/>
  <c r="C1392" i="4"/>
  <c r="D1392" i="4" s="1"/>
  <c r="C1391" i="4"/>
  <c r="D1391" i="4" s="1"/>
  <c r="C1390" i="4"/>
  <c r="D1390" i="4" s="1"/>
  <c r="C1389" i="4"/>
  <c r="D1389" i="4" s="1"/>
  <c r="C1388" i="4"/>
  <c r="D1388" i="4" s="1"/>
  <c r="C1387" i="4"/>
  <c r="D1387" i="4" s="1"/>
  <c r="C1386" i="4"/>
  <c r="D1386" i="4" s="1"/>
  <c r="C1385" i="4"/>
  <c r="D1385" i="4" s="1"/>
  <c r="C1384" i="4"/>
  <c r="D1384" i="4" s="1"/>
  <c r="C1383" i="4"/>
  <c r="D1383" i="4" s="1"/>
  <c r="C1382" i="4"/>
  <c r="D1382" i="4" s="1"/>
  <c r="C1381" i="4"/>
  <c r="D1381" i="4" s="1"/>
  <c r="C1380" i="4"/>
  <c r="D1380" i="4" s="1"/>
  <c r="C1379" i="4"/>
  <c r="D1379" i="4" s="1"/>
  <c r="C1378" i="4"/>
  <c r="D1378" i="4" s="1"/>
  <c r="C1377" i="4"/>
  <c r="D1377" i="4" s="1"/>
  <c r="C1376" i="4"/>
  <c r="D1376" i="4" s="1"/>
  <c r="C1375" i="4"/>
  <c r="D1375" i="4" s="1"/>
  <c r="C1374" i="4"/>
  <c r="D1374" i="4" s="1"/>
  <c r="C1373" i="4"/>
  <c r="D1373" i="4" s="1"/>
  <c r="C1372" i="4"/>
  <c r="D1372" i="4" s="1"/>
  <c r="C1371" i="4"/>
  <c r="D1371" i="4" s="1"/>
  <c r="C1370" i="4"/>
  <c r="D1370" i="4" s="1"/>
  <c r="C1369" i="4"/>
  <c r="D1369" i="4" s="1"/>
  <c r="C1368" i="4"/>
  <c r="D1368" i="4" s="1"/>
  <c r="C1367" i="4"/>
  <c r="D1367" i="4" s="1"/>
  <c r="C1366" i="4"/>
  <c r="D1366" i="4" s="1"/>
  <c r="C1365" i="4"/>
  <c r="D1365" i="4" s="1"/>
  <c r="C1364" i="4"/>
  <c r="D1364" i="4" s="1"/>
  <c r="C1363" i="4"/>
  <c r="D1363" i="4" s="1"/>
  <c r="C1362" i="4"/>
  <c r="D1362" i="4" s="1"/>
  <c r="C1361" i="4"/>
  <c r="D1361" i="4" s="1"/>
  <c r="C1360" i="4"/>
  <c r="D1360" i="4" s="1"/>
  <c r="C1359" i="4"/>
  <c r="D1359" i="4" s="1"/>
  <c r="C1358" i="4"/>
  <c r="D1358" i="4" s="1"/>
  <c r="C1357" i="4"/>
  <c r="D1357" i="4" s="1"/>
  <c r="C1356" i="4"/>
  <c r="D1356" i="4" s="1"/>
  <c r="C1355" i="4"/>
  <c r="D1355" i="4" s="1"/>
  <c r="C1354" i="4"/>
  <c r="D1354" i="4" s="1"/>
  <c r="C1353" i="4"/>
  <c r="D1353" i="4" s="1"/>
  <c r="C1352" i="4"/>
  <c r="D1352" i="4" s="1"/>
  <c r="C1351" i="4"/>
  <c r="D1351" i="4" s="1"/>
  <c r="C1350" i="4"/>
  <c r="D1350" i="4" s="1"/>
  <c r="C1349" i="4"/>
  <c r="D1349" i="4" s="1"/>
  <c r="C1348" i="4"/>
  <c r="D1348" i="4" s="1"/>
  <c r="C1347" i="4"/>
  <c r="D1347" i="4" s="1"/>
  <c r="C1346" i="4"/>
  <c r="D1346" i="4" s="1"/>
  <c r="C1345" i="4"/>
  <c r="D1345" i="4" s="1"/>
  <c r="C1344" i="4"/>
  <c r="D1344" i="4" s="1"/>
  <c r="C1343" i="4"/>
  <c r="D1343" i="4" s="1"/>
  <c r="C1342" i="4"/>
  <c r="D1342" i="4" s="1"/>
  <c r="C1341" i="4"/>
  <c r="D1341" i="4" s="1"/>
  <c r="C1340" i="4"/>
  <c r="D1340" i="4" s="1"/>
  <c r="C1339" i="4"/>
  <c r="D1339" i="4" s="1"/>
  <c r="C1338" i="4"/>
  <c r="D1338" i="4" s="1"/>
  <c r="C1337" i="4"/>
  <c r="D1337" i="4" s="1"/>
  <c r="C1336" i="4"/>
  <c r="D1336" i="4" s="1"/>
  <c r="C1335" i="4"/>
  <c r="D1335" i="4" s="1"/>
  <c r="C1334" i="4"/>
  <c r="D1334" i="4" s="1"/>
  <c r="C1333" i="4"/>
  <c r="D1333" i="4" s="1"/>
  <c r="C1332" i="4"/>
  <c r="D1332" i="4" s="1"/>
  <c r="C1331" i="4"/>
  <c r="D1331" i="4" s="1"/>
  <c r="C1330" i="4"/>
  <c r="D1330" i="4" s="1"/>
  <c r="C1329" i="4"/>
  <c r="D1329" i="4" s="1"/>
  <c r="C1328" i="4"/>
  <c r="D1328" i="4" s="1"/>
  <c r="C1327" i="4"/>
  <c r="D1327" i="4" s="1"/>
  <c r="C1326" i="4"/>
  <c r="D1326" i="4" s="1"/>
  <c r="C1325" i="4"/>
  <c r="D1325" i="4" s="1"/>
  <c r="C1324" i="4"/>
  <c r="D1324" i="4" s="1"/>
  <c r="C1323" i="4"/>
  <c r="D1323" i="4" s="1"/>
  <c r="C1322" i="4"/>
  <c r="D1322" i="4" s="1"/>
  <c r="C1321" i="4"/>
  <c r="D1321" i="4" s="1"/>
  <c r="C1320" i="4"/>
  <c r="D1320" i="4" s="1"/>
  <c r="C1319" i="4"/>
  <c r="D1319" i="4" s="1"/>
  <c r="C1318" i="4"/>
  <c r="D1318" i="4" s="1"/>
  <c r="C1317" i="4"/>
  <c r="D1317" i="4" s="1"/>
  <c r="C1316" i="4"/>
  <c r="D1316" i="4" s="1"/>
  <c r="C1315" i="4"/>
  <c r="D1315" i="4" s="1"/>
  <c r="C1314" i="4"/>
  <c r="D1314" i="4" s="1"/>
  <c r="C1313" i="4"/>
  <c r="D1313" i="4" s="1"/>
  <c r="C1312" i="4"/>
  <c r="D1312" i="4" s="1"/>
  <c r="C1311" i="4"/>
  <c r="D1311" i="4" s="1"/>
  <c r="C1310" i="4"/>
  <c r="D1310" i="4" s="1"/>
  <c r="C1309" i="4"/>
  <c r="D1309" i="4" s="1"/>
  <c r="C1308" i="4"/>
  <c r="D1308" i="4" s="1"/>
  <c r="C1307" i="4"/>
  <c r="D1307" i="4" s="1"/>
  <c r="C1306" i="4"/>
  <c r="D1306" i="4" s="1"/>
  <c r="C1305" i="4"/>
  <c r="D1305" i="4" s="1"/>
  <c r="C1304" i="4"/>
  <c r="D1304" i="4" s="1"/>
  <c r="C1303" i="4"/>
  <c r="D1303" i="4" s="1"/>
  <c r="C1302" i="4"/>
  <c r="D1302" i="4" s="1"/>
  <c r="C1301" i="4"/>
  <c r="D1301" i="4" s="1"/>
  <c r="C1300" i="4"/>
  <c r="D1300" i="4" s="1"/>
  <c r="C1299" i="4"/>
  <c r="D1299" i="4" s="1"/>
  <c r="C1298" i="4"/>
  <c r="D1298" i="4" s="1"/>
  <c r="C1297" i="4"/>
  <c r="D1297" i="4" s="1"/>
  <c r="C1296" i="4"/>
  <c r="D1296" i="4" s="1"/>
  <c r="C1295" i="4"/>
  <c r="D1295" i="4" s="1"/>
  <c r="C1294" i="4"/>
  <c r="D1294" i="4" s="1"/>
  <c r="C1293" i="4"/>
  <c r="D1293" i="4" s="1"/>
  <c r="C1292" i="4"/>
  <c r="D1292" i="4" s="1"/>
  <c r="C1291" i="4"/>
  <c r="D1291" i="4" s="1"/>
  <c r="C1290" i="4"/>
  <c r="D1290" i="4" s="1"/>
  <c r="C1289" i="4"/>
  <c r="D1289" i="4" s="1"/>
  <c r="C1288" i="4"/>
  <c r="D1288" i="4" s="1"/>
  <c r="C1287" i="4"/>
  <c r="D1287" i="4" s="1"/>
  <c r="C1286" i="4"/>
  <c r="D1286" i="4" s="1"/>
  <c r="C1285" i="4"/>
  <c r="D1285" i="4" s="1"/>
  <c r="C1284" i="4"/>
  <c r="D1284" i="4" s="1"/>
  <c r="C1283" i="4"/>
  <c r="D1283" i="4" s="1"/>
  <c r="C1282" i="4"/>
  <c r="D1282" i="4" s="1"/>
  <c r="C1281" i="4"/>
  <c r="D1281" i="4" s="1"/>
  <c r="C1280" i="4"/>
  <c r="D1280" i="4" s="1"/>
  <c r="C1279" i="4"/>
  <c r="D1279" i="4" s="1"/>
  <c r="C1278" i="4"/>
  <c r="D1278" i="4" s="1"/>
  <c r="C1277" i="4"/>
  <c r="D1277" i="4" s="1"/>
  <c r="C1276" i="4"/>
  <c r="D1276" i="4" s="1"/>
  <c r="C1275" i="4"/>
  <c r="D1275" i="4" s="1"/>
  <c r="C1274" i="4"/>
  <c r="D1274" i="4" s="1"/>
  <c r="C1273" i="4"/>
  <c r="D1273" i="4" s="1"/>
  <c r="C1272" i="4"/>
  <c r="D1272" i="4" s="1"/>
  <c r="C1271" i="4"/>
  <c r="D1271" i="4" s="1"/>
  <c r="C1270" i="4"/>
  <c r="D1270" i="4" s="1"/>
  <c r="C1269" i="4"/>
  <c r="D1269" i="4" s="1"/>
  <c r="C1268" i="4"/>
  <c r="D1268" i="4" s="1"/>
  <c r="C1267" i="4"/>
  <c r="D1267" i="4" s="1"/>
  <c r="C1266" i="4"/>
  <c r="D1266" i="4" s="1"/>
  <c r="C1265" i="4"/>
  <c r="D1265" i="4" s="1"/>
  <c r="C1264" i="4"/>
  <c r="D1264" i="4" s="1"/>
  <c r="C1263" i="4"/>
  <c r="D1263" i="4" s="1"/>
  <c r="C1262" i="4"/>
  <c r="D1262" i="4" s="1"/>
  <c r="C1261" i="4"/>
  <c r="D1261" i="4" s="1"/>
  <c r="C1260" i="4"/>
  <c r="D1260" i="4" s="1"/>
  <c r="C1259" i="4"/>
  <c r="D1259" i="4" s="1"/>
  <c r="C1258" i="4"/>
  <c r="D1258" i="4" s="1"/>
  <c r="C1257" i="4"/>
  <c r="D1257" i="4" s="1"/>
  <c r="C1256" i="4"/>
  <c r="D1256" i="4" s="1"/>
  <c r="C1255" i="4"/>
  <c r="D1255" i="4" s="1"/>
  <c r="C1254" i="4"/>
  <c r="D1254" i="4" s="1"/>
  <c r="C1253" i="4"/>
  <c r="D1253" i="4" s="1"/>
  <c r="C1252" i="4"/>
  <c r="D1252" i="4" s="1"/>
  <c r="C1251" i="4"/>
  <c r="D1251" i="4" s="1"/>
  <c r="C1250" i="4"/>
  <c r="D1250" i="4" s="1"/>
  <c r="C1249" i="4"/>
  <c r="D1249" i="4" s="1"/>
  <c r="C1248" i="4"/>
  <c r="D1248" i="4" s="1"/>
  <c r="C1247" i="4"/>
  <c r="D1247" i="4" s="1"/>
  <c r="C1246" i="4"/>
  <c r="D1246" i="4" s="1"/>
  <c r="C1245" i="4"/>
  <c r="D1245" i="4" s="1"/>
  <c r="C1244" i="4"/>
  <c r="D1244" i="4" s="1"/>
  <c r="C1243" i="4"/>
  <c r="D1243" i="4" s="1"/>
  <c r="C1242" i="4"/>
  <c r="D1242" i="4" s="1"/>
  <c r="C1241" i="4"/>
  <c r="D1241" i="4" s="1"/>
  <c r="C1240" i="4"/>
  <c r="D1240" i="4" s="1"/>
  <c r="C1239" i="4"/>
  <c r="D1239" i="4" s="1"/>
  <c r="C1238" i="4"/>
  <c r="D1238" i="4" s="1"/>
  <c r="C1237" i="4"/>
  <c r="D1237" i="4" s="1"/>
  <c r="C1236" i="4"/>
  <c r="D1236" i="4" s="1"/>
  <c r="C1235" i="4"/>
  <c r="D1235" i="4" s="1"/>
  <c r="C1234" i="4"/>
  <c r="D1234" i="4" s="1"/>
  <c r="C1233" i="4"/>
  <c r="D1233" i="4" s="1"/>
  <c r="C1232" i="4"/>
  <c r="D1232" i="4" s="1"/>
  <c r="C1231" i="4"/>
  <c r="D1231" i="4" s="1"/>
  <c r="C1230" i="4"/>
  <c r="D1230" i="4" s="1"/>
  <c r="C1229" i="4"/>
  <c r="D1229" i="4" s="1"/>
  <c r="C1228" i="4"/>
  <c r="D1228" i="4" s="1"/>
  <c r="C1227" i="4"/>
  <c r="D1227" i="4" s="1"/>
  <c r="C1226" i="4"/>
  <c r="D1226" i="4" s="1"/>
  <c r="C1225" i="4"/>
  <c r="D1225" i="4" s="1"/>
  <c r="C1224" i="4"/>
  <c r="D1224" i="4" s="1"/>
  <c r="C1223" i="4"/>
  <c r="D1223" i="4" s="1"/>
  <c r="C1222" i="4"/>
  <c r="D1222" i="4" s="1"/>
  <c r="C1221" i="4"/>
  <c r="D1221" i="4" s="1"/>
  <c r="C1220" i="4"/>
  <c r="D1220" i="4" s="1"/>
  <c r="C1219" i="4"/>
  <c r="D1219" i="4" s="1"/>
  <c r="C1218" i="4"/>
  <c r="D1218" i="4" s="1"/>
  <c r="C1217" i="4"/>
  <c r="D1217" i="4" s="1"/>
  <c r="C1216" i="4"/>
  <c r="D1216" i="4" s="1"/>
  <c r="C1215" i="4"/>
  <c r="D1215" i="4" s="1"/>
  <c r="C1214" i="4"/>
  <c r="D1214" i="4" s="1"/>
  <c r="C1213" i="4"/>
  <c r="D1213" i="4" s="1"/>
  <c r="C1212" i="4"/>
  <c r="D1212" i="4" s="1"/>
  <c r="C1211" i="4"/>
  <c r="D1211" i="4" s="1"/>
  <c r="C1210" i="4"/>
  <c r="D1210" i="4" s="1"/>
  <c r="C1209" i="4"/>
  <c r="D1209" i="4" s="1"/>
  <c r="C1208" i="4"/>
  <c r="D1208" i="4" s="1"/>
  <c r="C1207" i="4"/>
  <c r="D1207" i="4" s="1"/>
  <c r="C1206" i="4"/>
  <c r="D1206" i="4" s="1"/>
  <c r="C1205" i="4"/>
  <c r="D1205" i="4" s="1"/>
  <c r="C1204" i="4"/>
  <c r="D1204" i="4" s="1"/>
  <c r="C1203" i="4"/>
  <c r="D1203" i="4" s="1"/>
  <c r="C1202" i="4"/>
  <c r="D1202" i="4" s="1"/>
  <c r="C1201" i="4"/>
  <c r="D1201" i="4" s="1"/>
  <c r="C1200" i="4"/>
  <c r="D1200" i="4" s="1"/>
  <c r="C1199" i="4"/>
  <c r="D1199" i="4" s="1"/>
  <c r="C1198" i="4"/>
  <c r="D1198" i="4" s="1"/>
  <c r="C1197" i="4"/>
  <c r="D1197" i="4" s="1"/>
  <c r="C1196" i="4"/>
  <c r="D1196" i="4" s="1"/>
  <c r="C1195" i="4"/>
  <c r="D1195" i="4" s="1"/>
  <c r="C1194" i="4"/>
  <c r="D1194" i="4" s="1"/>
  <c r="C1193" i="4"/>
  <c r="D1193" i="4" s="1"/>
  <c r="C1192" i="4"/>
  <c r="D1192" i="4" s="1"/>
  <c r="C1191" i="4"/>
  <c r="D1191" i="4" s="1"/>
  <c r="C1190" i="4"/>
  <c r="D1190" i="4" s="1"/>
  <c r="C1189" i="4"/>
  <c r="D1189" i="4" s="1"/>
  <c r="C1188" i="4"/>
  <c r="D1188" i="4" s="1"/>
  <c r="C1187" i="4"/>
  <c r="D1187" i="4" s="1"/>
  <c r="C1186" i="4"/>
  <c r="D1186" i="4" s="1"/>
  <c r="C1185" i="4"/>
  <c r="D1185" i="4" s="1"/>
  <c r="C1184" i="4"/>
  <c r="D1184" i="4" s="1"/>
  <c r="C1183" i="4"/>
  <c r="D1183" i="4" s="1"/>
  <c r="C1182" i="4"/>
  <c r="D1182" i="4" s="1"/>
  <c r="C1181" i="4"/>
  <c r="D1181" i="4" s="1"/>
  <c r="C1180" i="4"/>
  <c r="D1180" i="4" s="1"/>
  <c r="C1179" i="4"/>
  <c r="D1179" i="4" s="1"/>
  <c r="C1178" i="4"/>
  <c r="D1178" i="4" s="1"/>
  <c r="C1177" i="4"/>
  <c r="D1177" i="4" s="1"/>
  <c r="C1176" i="4"/>
  <c r="D1176" i="4" s="1"/>
  <c r="C1175" i="4"/>
  <c r="D1175" i="4" s="1"/>
  <c r="C1174" i="4"/>
  <c r="D1174" i="4" s="1"/>
  <c r="C1173" i="4"/>
  <c r="D1173" i="4" s="1"/>
  <c r="C1172" i="4"/>
  <c r="D1172" i="4" s="1"/>
  <c r="C1171" i="4"/>
  <c r="D1171" i="4" s="1"/>
  <c r="C1170" i="4"/>
  <c r="D1170" i="4" s="1"/>
  <c r="C1169" i="4"/>
  <c r="D1169" i="4" s="1"/>
  <c r="C1168" i="4"/>
  <c r="D1168" i="4" s="1"/>
  <c r="C1167" i="4"/>
  <c r="D1167" i="4" s="1"/>
  <c r="C1166" i="4"/>
  <c r="D1166" i="4" s="1"/>
  <c r="C1165" i="4"/>
  <c r="D1165" i="4" s="1"/>
  <c r="C1164" i="4"/>
  <c r="D1164" i="4" s="1"/>
  <c r="C1163" i="4"/>
  <c r="D1163" i="4" s="1"/>
  <c r="C1162" i="4"/>
  <c r="D1162" i="4" s="1"/>
  <c r="C1161" i="4"/>
  <c r="D1161" i="4" s="1"/>
  <c r="C1160" i="4"/>
  <c r="D1160" i="4" s="1"/>
  <c r="C1159" i="4"/>
  <c r="D1159" i="4" s="1"/>
  <c r="C1158" i="4"/>
  <c r="D1158" i="4" s="1"/>
  <c r="C1157" i="4"/>
  <c r="D1157" i="4" s="1"/>
  <c r="C1156" i="4"/>
  <c r="D1156" i="4" s="1"/>
  <c r="C1155" i="4"/>
  <c r="D1155" i="4" s="1"/>
  <c r="C1154" i="4"/>
  <c r="D1154" i="4" s="1"/>
  <c r="C1153" i="4"/>
  <c r="D1153" i="4" s="1"/>
  <c r="C1152" i="4"/>
  <c r="D1152" i="4" s="1"/>
  <c r="C1151" i="4"/>
  <c r="D1151" i="4" s="1"/>
  <c r="C1150" i="4"/>
  <c r="D1150" i="4" s="1"/>
  <c r="C1149" i="4"/>
  <c r="D1149" i="4" s="1"/>
  <c r="C1148" i="4"/>
  <c r="D1148" i="4" s="1"/>
  <c r="C1147" i="4"/>
  <c r="D1147" i="4" s="1"/>
  <c r="C1146" i="4"/>
  <c r="D1146" i="4" s="1"/>
  <c r="C1145" i="4"/>
  <c r="D1145" i="4" s="1"/>
  <c r="C1144" i="4"/>
  <c r="D1144" i="4" s="1"/>
  <c r="C1143" i="4"/>
  <c r="D1143" i="4" s="1"/>
  <c r="C1142" i="4"/>
  <c r="D1142" i="4" s="1"/>
  <c r="C1141" i="4"/>
  <c r="D1141" i="4" s="1"/>
  <c r="C1140" i="4"/>
  <c r="D1140" i="4" s="1"/>
  <c r="C1139" i="4"/>
  <c r="D1139" i="4" s="1"/>
  <c r="C1138" i="4"/>
  <c r="D1138" i="4" s="1"/>
  <c r="C1137" i="4"/>
  <c r="D1137" i="4" s="1"/>
  <c r="C1136" i="4"/>
  <c r="D1136" i="4" s="1"/>
  <c r="C1135" i="4"/>
  <c r="D1135" i="4" s="1"/>
  <c r="C1134" i="4"/>
  <c r="D1134" i="4" s="1"/>
  <c r="C1133" i="4"/>
  <c r="D1133" i="4" s="1"/>
  <c r="C1132" i="4"/>
  <c r="D1132" i="4" s="1"/>
  <c r="C1131" i="4"/>
  <c r="D1131" i="4" s="1"/>
  <c r="C1130" i="4"/>
  <c r="D1130" i="4" s="1"/>
  <c r="C1129" i="4"/>
  <c r="D1129" i="4" s="1"/>
  <c r="C1128" i="4"/>
  <c r="D1128" i="4" s="1"/>
  <c r="C1127" i="4"/>
  <c r="D1127" i="4" s="1"/>
  <c r="C1126" i="4"/>
  <c r="D1126" i="4" s="1"/>
  <c r="C1125" i="4"/>
  <c r="D1125" i="4" s="1"/>
  <c r="C1124" i="4"/>
  <c r="D1124" i="4" s="1"/>
  <c r="C1123" i="4"/>
  <c r="D1123" i="4" s="1"/>
  <c r="C1122" i="4"/>
  <c r="D1122" i="4" s="1"/>
  <c r="C1121" i="4"/>
  <c r="D1121" i="4" s="1"/>
  <c r="C1120" i="4"/>
  <c r="D1120" i="4" s="1"/>
  <c r="C1119" i="4"/>
  <c r="D1119" i="4" s="1"/>
  <c r="C1118" i="4"/>
  <c r="D1118" i="4" s="1"/>
  <c r="C1117" i="4"/>
  <c r="D1117" i="4" s="1"/>
  <c r="C1116" i="4"/>
  <c r="D1116" i="4" s="1"/>
  <c r="C1115" i="4"/>
  <c r="D1115" i="4" s="1"/>
  <c r="C1114" i="4"/>
  <c r="D1114" i="4" s="1"/>
  <c r="C1113" i="4"/>
  <c r="D1113" i="4" s="1"/>
  <c r="C1112" i="4"/>
  <c r="D1112" i="4" s="1"/>
  <c r="C1111" i="4"/>
  <c r="D1111" i="4" s="1"/>
  <c r="C1110" i="4"/>
  <c r="D1110" i="4" s="1"/>
  <c r="C1109" i="4"/>
  <c r="D1109" i="4" s="1"/>
  <c r="C1108" i="4"/>
  <c r="D1108" i="4" s="1"/>
  <c r="C1107" i="4"/>
  <c r="D1107" i="4" s="1"/>
  <c r="C1106" i="4"/>
  <c r="D1106" i="4" s="1"/>
  <c r="C1105" i="4"/>
  <c r="D1105" i="4" s="1"/>
  <c r="C1104" i="4"/>
  <c r="D1104" i="4" s="1"/>
  <c r="C1103" i="4"/>
  <c r="D1103" i="4" s="1"/>
  <c r="C1102" i="4"/>
  <c r="D1102" i="4" s="1"/>
  <c r="C1101" i="4"/>
  <c r="D1101" i="4" s="1"/>
  <c r="C1100" i="4"/>
  <c r="D1100" i="4" s="1"/>
  <c r="C1099" i="4"/>
  <c r="D1099" i="4" s="1"/>
  <c r="C1098" i="4"/>
  <c r="D1098" i="4" s="1"/>
  <c r="C1097" i="4"/>
  <c r="D1097" i="4" s="1"/>
  <c r="C1096" i="4"/>
  <c r="D1096" i="4" s="1"/>
  <c r="C1095" i="4"/>
  <c r="D1095" i="4" s="1"/>
  <c r="C1094" i="4"/>
  <c r="D1094" i="4" s="1"/>
  <c r="C1093" i="4"/>
  <c r="D1093" i="4" s="1"/>
  <c r="C1092" i="4"/>
  <c r="D1092" i="4" s="1"/>
  <c r="C1091" i="4"/>
  <c r="D1091" i="4" s="1"/>
  <c r="C1090" i="4"/>
  <c r="D1090" i="4" s="1"/>
  <c r="C1089" i="4"/>
  <c r="D1089" i="4" s="1"/>
  <c r="C1088" i="4"/>
  <c r="D1088" i="4" s="1"/>
  <c r="C1087" i="4"/>
  <c r="D1087" i="4" s="1"/>
  <c r="C1086" i="4"/>
  <c r="D1086" i="4" s="1"/>
  <c r="C1085" i="4"/>
  <c r="D1085" i="4" s="1"/>
  <c r="C1084" i="4"/>
  <c r="D1084" i="4" s="1"/>
  <c r="C1083" i="4"/>
  <c r="D1083" i="4" s="1"/>
  <c r="C1082" i="4"/>
  <c r="D1082" i="4" s="1"/>
  <c r="C1081" i="4"/>
  <c r="D1081" i="4" s="1"/>
  <c r="C1080" i="4"/>
  <c r="D1080" i="4" s="1"/>
  <c r="C1079" i="4"/>
  <c r="D1079" i="4" s="1"/>
  <c r="C1078" i="4"/>
  <c r="D1078" i="4" s="1"/>
  <c r="C1077" i="4"/>
  <c r="D1077" i="4" s="1"/>
  <c r="C1076" i="4"/>
  <c r="D1076" i="4" s="1"/>
  <c r="C1075" i="4"/>
  <c r="D1075" i="4" s="1"/>
  <c r="C1074" i="4"/>
  <c r="D1074" i="4" s="1"/>
  <c r="C1073" i="4"/>
  <c r="D1073" i="4" s="1"/>
  <c r="C1072" i="4"/>
  <c r="D1072" i="4" s="1"/>
  <c r="C1071" i="4"/>
  <c r="D1071" i="4" s="1"/>
  <c r="C1070" i="4"/>
  <c r="D1070" i="4" s="1"/>
  <c r="C1069" i="4"/>
  <c r="D1069" i="4" s="1"/>
  <c r="C1068" i="4"/>
  <c r="D1068" i="4" s="1"/>
  <c r="C1067" i="4"/>
  <c r="D1067" i="4" s="1"/>
  <c r="C1066" i="4"/>
  <c r="D1066" i="4" s="1"/>
  <c r="C1065" i="4"/>
  <c r="D1065" i="4" s="1"/>
  <c r="C1064" i="4"/>
  <c r="D1064" i="4" s="1"/>
  <c r="C1063" i="4"/>
  <c r="D1063" i="4" s="1"/>
  <c r="C1062" i="4"/>
  <c r="D1062" i="4" s="1"/>
  <c r="C1061" i="4"/>
  <c r="D1061" i="4" s="1"/>
  <c r="C1060" i="4"/>
  <c r="D1060" i="4" s="1"/>
  <c r="C1059" i="4"/>
  <c r="D1059" i="4" s="1"/>
  <c r="C1058" i="4"/>
  <c r="D1058" i="4" s="1"/>
  <c r="C1057" i="4"/>
  <c r="D1057" i="4" s="1"/>
  <c r="C1056" i="4"/>
  <c r="D1056" i="4" s="1"/>
  <c r="C1055" i="4"/>
  <c r="D1055" i="4" s="1"/>
  <c r="C1054" i="4"/>
  <c r="D1054" i="4" s="1"/>
  <c r="C1053" i="4"/>
  <c r="D1053" i="4" s="1"/>
  <c r="C1052" i="4"/>
  <c r="D1052" i="4" s="1"/>
  <c r="C1051" i="4"/>
  <c r="D1051" i="4" s="1"/>
  <c r="C1050" i="4"/>
  <c r="D1050" i="4" s="1"/>
  <c r="C1049" i="4"/>
  <c r="D1049" i="4" s="1"/>
  <c r="C1048" i="4"/>
  <c r="D1048" i="4" s="1"/>
  <c r="C1047" i="4"/>
  <c r="D1047" i="4" s="1"/>
  <c r="C1046" i="4"/>
  <c r="D1046" i="4" s="1"/>
  <c r="C1045" i="4"/>
  <c r="D1045" i="4" s="1"/>
  <c r="C1044" i="4"/>
  <c r="D1044" i="4" s="1"/>
  <c r="C1043" i="4"/>
  <c r="D1043" i="4" s="1"/>
  <c r="C1042" i="4"/>
  <c r="D1042" i="4" s="1"/>
  <c r="C1041" i="4"/>
  <c r="D1041" i="4" s="1"/>
  <c r="C1040" i="4"/>
  <c r="D1040" i="4" s="1"/>
  <c r="C1039" i="4"/>
  <c r="D1039" i="4" s="1"/>
  <c r="C1038" i="4"/>
  <c r="D1038" i="4" s="1"/>
  <c r="C1037" i="4"/>
  <c r="D1037" i="4" s="1"/>
  <c r="C1036" i="4"/>
  <c r="D1036" i="4" s="1"/>
  <c r="C1035" i="4"/>
  <c r="D1035" i="4" s="1"/>
  <c r="C1034" i="4"/>
  <c r="D1034" i="4" s="1"/>
  <c r="C1033" i="4"/>
  <c r="D1033" i="4" s="1"/>
  <c r="C1032" i="4"/>
  <c r="D1032" i="4" s="1"/>
  <c r="C1031" i="4"/>
  <c r="D1031" i="4" s="1"/>
  <c r="C1030" i="4"/>
  <c r="D1030" i="4" s="1"/>
  <c r="C1029" i="4"/>
  <c r="D1029" i="4" s="1"/>
  <c r="C1028" i="4"/>
  <c r="D1028" i="4" s="1"/>
  <c r="C1027" i="4"/>
  <c r="D1027" i="4" s="1"/>
  <c r="C1026" i="4"/>
  <c r="D1026" i="4" s="1"/>
  <c r="C1025" i="4"/>
  <c r="D1025" i="4" s="1"/>
  <c r="C1024" i="4"/>
  <c r="D1024" i="4" s="1"/>
  <c r="C1023" i="4"/>
  <c r="D1023" i="4" s="1"/>
  <c r="C1022" i="4"/>
  <c r="D1022" i="4" s="1"/>
  <c r="C1021" i="4"/>
  <c r="D1021" i="4" s="1"/>
  <c r="C1020" i="4"/>
  <c r="D1020" i="4" s="1"/>
  <c r="C1019" i="4"/>
  <c r="D1019" i="4" s="1"/>
  <c r="C1018" i="4"/>
  <c r="D1018" i="4" s="1"/>
  <c r="C1017" i="4"/>
  <c r="D1017" i="4" s="1"/>
  <c r="C1016" i="4"/>
  <c r="D1016" i="4" s="1"/>
  <c r="C1015" i="4"/>
  <c r="D1015" i="4" s="1"/>
  <c r="C1014" i="4"/>
  <c r="D1014" i="4" s="1"/>
  <c r="C1013" i="4"/>
  <c r="D1013" i="4" s="1"/>
  <c r="C1012" i="4"/>
  <c r="D1012" i="4" s="1"/>
  <c r="C1011" i="4"/>
  <c r="D1011" i="4" s="1"/>
  <c r="C1010" i="4"/>
  <c r="D1010" i="4" s="1"/>
  <c r="C1009" i="4"/>
  <c r="D1009" i="4" s="1"/>
  <c r="C1008" i="4"/>
  <c r="D1008" i="4" s="1"/>
  <c r="C1007" i="4"/>
  <c r="D1007" i="4" s="1"/>
  <c r="C1006" i="4"/>
  <c r="D1006" i="4" s="1"/>
  <c r="C1005" i="4"/>
  <c r="D1005" i="4" s="1"/>
  <c r="C1004" i="4"/>
  <c r="D1004" i="4" s="1"/>
  <c r="C1003" i="4"/>
  <c r="D1003" i="4" s="1"/>
  <c r="C1002" i="4"/>
  <c r="D1002" i="4" s="1"/>
  <c r="C1001" i="4"/>
  <c r="D1001" i="4" s="1"/>
  <c r="C1000" i="4"/>
  <c r="D1000" i="4" s="1"/>
  <c r="C999" i="4"/>
  <c r="D999" i="4" s="1"/>
  <c r="C998" i="4"/>
  <c r="D998" i="4" s="1"/>
  <c r="C997" i="4"/>
  <c r="D997" i="4" s="1"/>
  <c r="C996" i="4"/>
  <c r="D996" i="4" s="1"/>
  <c r="C995" i="4"/>
  <c r="D995" i="4" s="1"/>
  <c r="C994" i="4"/>
  <c r="D994" i="4" s="1"/>
  <c r="C993" i="4"/>
  <c r="D993" i="4" s="1"/>
  <c r="C992" i="4"/>
  <c r="D992" i="4" s="1"/>
  <c r="C991" i="4"/>
  <c r="D991" i="4" s="1"/>
  <c r="C990" i="4"/>
  <c r="D990" i="4" s="1"/>
  <c r="C989" i="4"/>
  <c r="D989" i="4" s="1"/>
  <c r="C988" i="4"/>
  <c r="D988" i="4" s="1"/>
  <c r="C987" i="4"/>
  <c r="D987" i="4" s="1"/>
  <c r="C986" i="4"/>
  <c r="D986" i="4" s="1"/>
  <c r="C985" i="4"/>
  <c r="D985" i="4" s="1"/>
  <c r="C984" i="4"/>
  <c r="D984" i="4" s="1"/>
  <c r="C983" i="4"/>
  <c r="D983" i="4" s="1"/>
  <c r="C982" i="4"/>
  <c r="D982" i="4" s="1"/>
  <c r="C981" i="4"/>
  <c r="D981" i="4" s="1"/>
  <c r="C980" i="4"/>
  <c r="D980" i="4" s="1"/>
  <c r="C979" i="4"/>
  <c r="D979" i="4" s="1"/>
  <c r="C978" i="4"/>
  <c r="D978" i="4" s="1"/>
  <c r="C977" i="4"/>
  <c r="D977" i="4" s="1"/>
  <c r="C976" i="4"/>
  <c r="D976" i="4" s="1"/>
  <c r="C975" i="4"/>
  <c r="D975" i="4" s="1"/>
  <c r="C974" i="4"/>
  <c r="D974" i="4" s="1"/>
  <c r="C973" i="4"/>
  <c r="D973" i="4" s="1"/>
  <c r="C972" i="4"/>
  <c r="D972" i="4" s="1"/>
  <c r="C971" i="4"/>
  <c r="D971" i="4" s="1"/>
  <c r="C970" i="4"/>
  <c r="D970" i="4" s="1"/>
  <c r="C969" i="4"/>
  <c r="D969" i="4" s="1"/>
  <c r="C968" i="4"/>
  <c r="D968" i="4" s="1"/>
  <c r="C967" i="4"/>
  <c r="D967" i="4" s="1"/>
  <c r="C966" i="4"/>
  <c r="D966" i="4" s="1"/>
  <c r="C965" i="4"/>
  <c r="D965" i="4" s="1"/>
  <c r="C964" i="4"/>
  <c r="D964" i="4" s="1"/>
  <c r="C963" i="4"/>
  <c r="D963" i="4" s="1"/>
  <c r="C962" i="4"/>
  <c r="D962" i="4" s="1"/>
  <c r="C961" i="4"/>
  <c r="D961" i="4" s="1"/>
  <c r="C960" i="4"/>
  <c r="D960" i="4" s="1"/>
  <c r="C959" i="4"/>
  <c r="D959" i="4" s="1"/>
  <c r="C958" i="4"/>
  <c r="D958" i="4" s="1"/>
  <c r="C957" i="4"/>
  <c r="D957" i="4" s="1"/>
  <c r="C956" i="4"/>
  <c r="D956" i="4" s="1"/>
  <c r="C955" i="4"/>
  <c r="D955" i="4" s="1"/>
  <c r="C954" i="4"/>
  <c r="D954" i="4" s="1"/>
  <c r="C953" i="4"/>
  <c r="D953" i="4" s="1"/>
  <c r="C952" i="4"/>
  <c r="D952" i="4" s="1"/>
  <c r="C951" i="4"/>
  <c r="D951" i="4" s="1"/>
  <c r="C950" i="4"/>
  <c r="D950" i="4" s="1"/>
  <c r="C949" i="4"/>
  <c r="D949" i="4" s="1"/>
  <c r="C948" i="4"/>
  <c r="D948" i="4" s="1"/>
  <c r="C947" i="4"/>
  <c r="D947" i="4" s="1"/>
  <c r="C946" i="4"/>
  <c r="D946" i="4" s="1"/>
  <c r="C945" i="4"/>
  <c r="D945" i="4" s="1"/>
  <c r="C944" i="4"/>
  <c r="D944" i="4" s="1"/>
  <c r="C943" i="4"/>
  <c r="D943" i="4" s="1"/>
  <c r="C942" i="4"/>
  <c r="D942" i="4" s="1"/>
  <c r="C941" i="4"/>
  <c r="D941" i="4" s="1"/>
  <c r="C940" i="4"/>
  <c r="D940" i="4" s="1"/>
  <c r="C939" i="4"/>
  <c r="D939" i="4" s="1"/>
  <c r="C938" i="4"/>
  <c r="D938" i="4" s="1"/>
  <c r="C937" i="4"/>
  <c r="D937" i="4" s="1"/>
  <c r="C936" i="4"/>
  <c r="D936" i="4" s="1"/>
  <c r="C935" i="4"/>
  <c r="D935" i="4" s="1"/>
  <c r="C934" i="4"/>
  <c r="D934" i="4" s="1"/>
  <c r="C933" i="4"/>
  <c r="D933" i="4" s="1"/>
  <c r="C932" i="4"/>
  <c r="D932" i="4" s="1"/>
  <c r="C931" i="4"/>
  <c r="D931" i="4" s="1"/>
  <c r="C930" i="4"/>
  <c r="D930" i="4" s="1"/>
  <c r="C929" i="4"/>
  <c r="D929" i="4" s="1"/>
  <c r="C928" i="4"/>
  <c r="D928" i="4" s="1"/>
  <c r="C927" i="4"/>
  <c r="D927" i="4" s="1"/>
  <c r="C926" i="4"/>
  <c r="D926" i="4" s="1"/>
  <c r="C925" i="4"/>
  <c r="D925" i="4" s="1"/>
  <c r="C924" i="4"/>
  <c r="D924" i="4" s="1"/>
  <c r="C923" i="4"/>
  <c r="D923" i="4" s="1"/>
  <c r="C922" i="4"/>
  <c r="D922" i="4" s="1"/>
  <c r="C921" i="4"/>
  <c r="D921" i="4" s="1"/>
  <c r="C920" i="4"/>
  <c r="D920" i="4" s="1"/>
  <c r="C919" i="4"/>
  <c r="D919" i="4" s="1"/>
  <c r="C918" i="4"/>
  <c r="D918" i="4" s="1"/>
  <c r="C917" i="4"/>
  <c r="D917" i="4" s="1"/>
  <c r="C916" i="4"/>
  <c r="D916" i="4" s="1"/>
  <c r="C915" i="4"/>
  <c r="D915" i="4" s="1"/>
  <c r="C914" i="4"/>
  <c r="D914" i="4" s="1"/>
  <c r="C913" i="4"/>
  <c r="D913" i="4" s="1"/>
  <c r="C912" i="4"/>
  <c r="D912" i="4" s="1"/>
  <c r="C911" i="4"/>
  <c r="D911" i="4" s="1"/>
  <c r="C910" i="4"/>
  <c r="D910" i="4" s="1"/>
  <c r="C909" i="4"/>
  <c r="D909" i="4" s="1"/>
  <c r="C908" i="4"/>
  <c r="D908" i="4" s="1"/>
  <c r="C907" i="4"/>
  <c r="D907" i="4" s="1"/>
  <c r="C906" i="4"/>
  <c r="D906" i="4" s="1"/>
  <c r="C905" i="4"/>
  <c r="D905" i="4" s="1"/>
  <c r="C904" i="4"/>
  <c r="D904" i="4" s="1"/>
  <c r="C903" i="4"/>
  <c r="D903" i="4" s="1"/>
  <c r="C902" i="4"/>
  <c r="D902" i="4" s="1"/>
  <c r="C901" i="4"/>
  <c r="D901" i="4" s="1"/>
  <c r="C900" i="4"/>
  <c r="D900" i="4" s="1"/>
  <c r="C899" i="4"/>
  <c r="D899" i="4" s="1"/>
  <c r="C898" i="4"/>
  <c r="D898" i="4" s="1"/>
  <c r="C897" i="4"/>
  <c r="D897" i="4" s="1"/>
  <c r="C896" i="4"/>
  <c r="D896" i="4" s="1"/>
  <c r="C895" i="4"/>
  <c r="D895" i="4" s="1"/>
  <c r="C894" i="4"/>
  <c r="D894" i="4" s="1"/>
  <c r="C893" i="4"/>
  <c r="D893" i="4" s="1"/>
  <c r="C892" i="4"/>
  <c r="D892" i="4" s="1"/>
  <c r="C891" i="4"/>
  <c r="D891" i="4" s="1"/>
  <c r="C890" i="4"/>
  <c r="D890" i="4" s="1"/>
  <c r="C889" i="4"/>
  <c r="D889" i="4" s="1"/>
  <c r="C888" i="4"/>
  <c r="D888" i="4" s="1"/>
  <c r="C887" i="4"/>
  <c r="D887" i="4" s="1"/>
  <c r="C886" i="4"/>
  <c r="D886" i="4" s="1"/>
  <c r="C885" i="4"/>
  <c r="D885" i="4" s="1"/>
  <c r="C884" i="4"/>
  <c r="D884" i="4" s="1"/>
  <c r="C883" i="4"/>
  <c r="D883" i="4" s="1"/>
  <c r="C882" i="4"/>
  <c r="D882" i="4" s="1"/>
  <c r="C881" i="4"/>
  <c r="D881" i="4" s="1"/>
  <c r="C880" i="4"/>
  <c r="D880" i="4" s="1"/>
  <c r="C879" i="4"/>
  <c r="D879" i="4" s="1"/>
  <c r="C878" i="4"/>
  <c r="D878" i="4" s="1"/>
  <c r="C877" i="4"/>
  <c r="D877" i="4" s="1"/>
  <c r="C876" i="4"/>
  <c r="D876" i="4" s="1"/>
  <c r="C875" i="4"/>
  <c r="D875" i="4" s="1"/>
  <c r="C874" i="4"/>
  <c r="D874" i="4" s="1"/>
  <c r="C873" i="4"/>
  <c r="D873" i="4" s="1"/>
  <c r="C872" i="4"/>
  <c r="D872" i="4" s="1"/>
  <c r="C871" i="4"/>
  <c r="D871" i="4" s="1"/>
  <c r="C870" i="4"/>
  <c r="D870" i="4" s="1"/>
  <c r="C869" i="4"/>
  <c r="D869" i="4" s="1"/>
  <c r="C868" i="4"/>
  <c r="D868" i="4" s="1"/>
  <c r="C867" i="4"/>
  <c r="D867" i="4" s="1"/>
  <c r="C866" i="4"/>
  <c r="D866" i="4" s="1"/>
  <c r="C865" i="4"/>
  <c r="D865" i="4" s="1"/>
  <c r="C864" i="4"/>
  <c r="D864" i="4" s="1"/>
  <c r="C863" i="4"/>
  <c r="D863" i="4" s="1"/>
  <c r="C862" i="4"/>
  <c r="D862" i="4" s="1"/>
  <c r="C861" i="4"/>
  <c r="D861" i="4" s="1"/>
  <c r="C860" i="4"/>
  <c r="D860" i="4" s="1"/>
  <c r="C859" i="4"/>
  <c r="D859" i="4" s="1"/>
  <c r="C858" i="4"/>
  <c r="D858" i="4" s="1"/>
  <c r="C857" i="4"/>
  <c r="D857" i="4" s="1"/>
  <c r="C856" i="4"/>
  <c r="D856" i="4" s="1"/>
  <c r="C855" i="4"/>
  <c r="D855" i="4" s="1"/>
  <c r="C854" i="4"/>
  <c r="D854" i="4" s="1"/>
  <c r="C853" i="4"/>
  <c r="D853" i="4" s="1"/>
  <c r="C852" i="4"/>
  <c r="D852" i="4" s="1"/>
  <c r="C851" i="4"/>
  <c r="D851" i="4" s="1"/>
  <c r="C850" i="4"/>
  <c r="D850" i="4" s="1"/>
  <c r="C849" i="4"/>
  <c r="D849" i="4" s="1"/>
  <c r="C848" i="4"/>
  <c r="D848" i="4" s="1"/>
  <c r="C847" i="4"/>
  <c r="D847" i="4" s="1"/>
  <c r="C846" i="4"/>
  <c r="D846" i="4" s="1"/>
  <c r="C845" i="4"/>
  <c r="D845" i="4" s="1"/>
  <c r="C844" i="4"/>
  <c r="D844" i="4" s="1"/>
  <c r="C843" i="4"/>
  <c r="D843" i="4" s="1"/>
  <c r="C842" i="4"/>
  <c r="D842" i="4" s="1"/>
  <c r="C841" i="4"/>
  <c r="D841" i="4" s="1"/>
  <c r="C840" i="4"/>
  <c r="D840" i="4" s="1"/>
  <c r="C839" i="4"/>
  <c r="D839" i="4" s="1"/>
  <c r="C838" i="4"/>
  <c r="D838" i="4" s="1"/>
  <c r="C837" i="4"/>
  <c r="D837" i="4" s="1"/>
  <c r="C836" i="4"/>
  <c r="D836" i="4" s="1"/>
  <c r="C835" i="4"/>
  <c r="D835" i="4" s="1"/>
  <c r="C834" i="4"/>
  <c r="D834" i="4" s="1"/>
  <c r="C833" i="4"/>
  <c r="D833" i="4" s="1"/>
  <c r="C832" i="4"/>
  <c r="D832" i="4" s="1"/>
  <c r="C831" i="4"/>
  <c r="D831" i="4" s="1"/>
  <c r="C830" i="4"/>
  <c r="D830" i="4" s="1"/>
  <c r="C829" i="4"/>
  <c r="D829" i="4" s="1"/>
  <c r="C828" i="4"/>
  <c r="D828" i="4" s="1"/>
  <c r="C827" i="4"/>
  <c r="D827" i="4" s="1"/>
  <c r="C826" i="4"/>
  <c r="D826" i="4" s="1"/>
  <c r="C825" i="4"/>
  <c r="D825" i="4" s="1"/>
  <c r="C824" i="4"/>
  <c r="D824" i="4" s="1"/>
  <c r="C823" i="4"/>
  <c r="D823" i="4" s="1"/>
  <c r="C822" i="4"/>
  <c r="D822" i="4" s="1"/>
  <c r="C821" i="4"/>
  <c r="D821" i="4" s="1"/>
  <c r="C820" i="4"/>
  <c r="D820" i="4" s="1"/>
  <c r="C819" i="4"/>
  <c r="D819" i="4" s="1"/>
  <c r="C818" i="4"/>
  <c r="D818" i="4" s="1"/>
  <c r="C817" i="4"/>
  <c r="D817" i="4" s="1"/>
  <c r="C816" i="4"/>
  <c r="D816" i="4" s="1"/>
  <c r="C815" i="4"/>
  <c r="D815" i="4" s="1"/>
  <c r="C814" i="4"/>
  <c r="D814" i="4" s="1"/>
  <c r="C813" i="4"/>
  <c r="D813" i="4" s="1"/>
  <c r="C812" i="4"/>
  <c r="D812" i="4" s="1"/>
  <c r="C811" i="4"/>
  <c r="D811" i="4" s="1"/>
  <c r="C810" i="4"/>
  <c r="D810" i="4" s="1"/>
  <c r="C809" i="4"/>
  <c r="D809" i="4" s="1"/>
  <c r="C808" i="4"/>
  <c r="D808" i="4" s="1"/>
  <c r="C807" i="4"/>
  <c r="D807" i="4" s="1"/>
  <c r="C806" i="4"/>
  <c r="D806" i="4" s="1"/>
  <c r="C805" i="4"/>
  <c r="D805" i="4" s="1"/>
  <c r="C804" i="4"/>
  <c r="D804" i="4" s="1"/>
  <c r="C803" i="4"/>
  <c r="D803" i="4" s="1"/>
  <c r="C802" i="4"/>
  <c r="D802" i="4" s="1"/>
  <c r="C801" i="4"/>
  <c r="D801" i="4" s="1"/>
  <c r="C800" i="4"/>
  <c r="D800" i="4" s="1"/>
  <c r="C799" i="4"/>
  <c r="D799" i="4" s="1"/>
  <c r="C798" i="4"/>
  <c r="D798" i="4" s="1"/>
  <c r="C797" i="4"/>
  <c r="D797" i="4" s="1"/>
  <c r="C796" i="4"/>
  <c r="D796" i="4" s="1"/>
  <c r="C795" i="4"/>
  <c r="D795" i="4" s="1"/>
  <c r="C794" i="4"/>
  <c r="D794" i="4" s="1"/>
  <c r="C793" i="4"/>
  <c r="D793" i="4" s="1"/>
  <c r="C792" i="4"/>
  <c r="D792" i="4" s="1"/>
  <c r="C791" i="4"/>
  <c r="D791" i="4" s="1"/>
  <c r="C790" i="4"/>
  <c r="D790" i="4" s="1"/>
  <c r="C789" i="4"/>
  <c r="D789" i="4" s="1"/>
  <c r="C788" i="4"/>
  <c r="D788" i="4" s="1"/>
  <c r="C787" i="4"/>
  <c r="D787" i="4" s="1"/>
  <c r="C786" i="4"/>
  <c r="D786" i="4" s="1"/>
  <c r="C785" i="4"/>
  <c r="D785" i="4" s="1"/>
  <c r="C784" i="4"/>
  <c r="D784" i="4" s="1"/>
  <c r="C783" i="4"/>
  <c r="D783" i="4" s="1"/>
  <c r="C782" i="4"/>
  <c r="D782" i="4" s="1"/>
  <c r="C781" i="4"/>
  <c r="D781" i="4" s="1"/>
  <c r="C780" i="4"/>
  <c r="D780" i="4" s="1"/>
  <c r="C779" i="4"/>
  <c r="D779" i="4" s="1"/>
  <c r="C778" i="4"/>
  <c r="D778" i="4" s="1"/>
  <c r="C777" i="4"/>
  <c r="D777" i="4" s="1"/>
  <c r="C776" i="4"/>
  <c r="D776" i="4" s="1"/>
  <c r="C775" i="4"/>
  <c r="D775" i="4" s="1"/>
  <c r="C774" i="4"/>
  <c r="D774" i="4" s="1"/>
  <c r="C773" i="4"/>
  <c r="D773" i="4" s="1"/>
  <c r="C772" i="4"/>
  <c r="D772" i="4" s="1"/>
  <c r="C771" i="4"/>
  <c r="D771" i="4" s="1"/>
  <c r="C770" i="4"/>
  <c r="D770" i="4" s="1"/>
  <c r="C769" i="4"/>
  <c r="D769" i="4" s="1"/>
  <c r="C768" i="4"/>
  <c r="D768" i="4" s="1"/>
  <c r="C767" i="4"/>
  <c r="D767" i="4" s="1"/>
  <c r="C766" i="4"/>
  <c r="D766" i="4" s="1"/>
  <c r="C765" i="4"/>
  <c r="D765" i="4" s="1"/>
  <c r="C764" i="4"/>
  <c r="D764" i="4" s="1"/>
  <c r="C763" i="4"/>
  <c r="D763" i="4" s="1"/>
  <c r="C762" i="4"/>
  <c r="D762" i="4" s="1"/>
  <c r="C761" i="4"/>
  <c r="D761" i="4" s="1"/>
  <c r="C760" i="4"/>
  <c r="D760" i="4" s="1"/>
  <c r="C759" i="4"/>
  <c r="D759" i="4" s="1"/>
  <c r="C758" i="4"/>
  <c r="D758" i="4" s="1"/>
  <c r="C757" i="4"/>
  <c r="D757" i="4" s="1"/>
  <c r="C756" i="4"/>
  <c r="D756" i="4" s="1"/>
  <c r="C755" i="4"/>
  <c r="D755" i="4" s="1"/>
  <c r="C754" i="4"/>
  <c r="D754" i="4" s="1"/>
  <c r="C753" i="4"/>
  <c r="D753" i="4" s="1"/>
  <c r="C752" i="4"/>
  <c r="D752" i="4" s="1"/>
  <c r="C751" i="4"/>
  <c r="D751" i="4" s="1"/>
  <c r="C750" i="4"/>
  <c r="D750" i="4" s="1"/>
  <c r="C749" i="4"/>
  <c r="D749" i="4" s="1"/>
  <c r="C748" i="4"/>
  <c r="D748" i="4" s="1"/>
  <c r="C747" i="4"/>
  <c r="D747" i="4" s="1"/>
  <c r="C746" i="4"/>
  <c r="D746" i="4" s="1"/>
  <c r="C745" i="4"/>
  <c r="D745" i="4" s="1"/>
  <c r="C744" i="4"/>
  <c r="D744" i="4" s="1"/>
  <c r="C743" i="4"/>
  <c r="D743" i="4" s="1"/>
  <c r="C742" i="4"/>
  <c r="D742" i="4" s="1"/>
  <c r="C741" i="4"/>
  <c r="D741" i="4" s="1"/>
  <c r="C740" i="4"/>
  <c r="D740" i="4" s="1"/>
  <c r="C739" i="4"/>
  <c r="D739" i="4" s="1"/>
  <c r="C738" i="4"/>
  <c r="D738" i="4" s="1"/>
  <c r="C737" i="4"/>
  <c r="D737" i="4" s="1"/>
  <c r="C736" i="4"/>
  <c r="D736" i="4" s="1"/>
  <c r="C735" i="4"/>
  <c r="D735" i="4" s="1"/>
  <c r="C734" i="4"/>
  <c r="D734" i="4" s="1"/>
  <c r="C733" i="4"/>
  <c r="D733" i="4" s="1"/>
  <c r="C732" i="4"/>
  <c r="D732" i="4" s="1"/>
  <c r="C731" i="4"/>
  <c r="D731" i="4" s="1"/>
  <c r="C730" i="4"/>
  <c r="D730" i="4" s="1"/>
  <c r="C729" i="4"/>
  <c r="D729" i="4" s="1"/>
  <c r="C728" i="4"/>
  <c r="D728" i="4" s="1"/>
  <c r="C727" i="4"/>
  <c r="D727" i="4" s="1"/>
  <c r="C726" i="4"/>
  <c r="D726" i="4" s="1"/>
  <c r="C725" i="4"/>
  <c r="D725" i="4" s="1"/>
  <c r="C724" i="4"/>
  <c r="D724" i="4" s="1"/>
  <c r="C723" i="4"/>
  <c r="D723" i="4" s="1"/>
  <c r="C722" i="4"/>
  <c r="D722" i="4" s="1"/>
  <c r="C721" i="4"/>
  <c r="D721" i="4" s="1"/>
  <c r="C720" i="4"/>
  <c r="D720" i="4" s="1"/>
  <c r="C719" i="4"/>
  <c r="D719" i="4" s="1"/>
  <c r="C718" i="4"/>
  <c r="D718" i="4" s="1"/>
  <c r="C717" i="4"/>
  <c r="D717" i="4" s="1"/>
  <c r="C716" i="4"/>
  <c r="D716" i="4" s="1"/>
  <c r="C715" i="4"/>
  <c r="D715" i="4" s="1"/>
  <c r="C714" i="4"/>
  <c r="D714" i="4" s="1"/>
  <c r="C713" i="4"/>
  <c r="D713" i="4" s="1"/>
  <c r="C712" i="4"/>
  <c r="D712" i="4" s="1"/>
  <c r="C711" i="4"/>
  <c r="D711" i="4" s="1"/>
  <c r="C710" i="4"/>
  <c r="D710" i="4" s="1"/>
  <c r="C709" i="4"/>
  <c r="D709" i="4" s="1"/>
  <c r="C708" i="4"/>
  <c r="D708" i="4" s="1"/>
  <c r="C707" i="4"/>
  <c r="D707" i="4" s="1"/>
  <c r="C706" i="4"/>
  <c r="D706" i="4" s="1"/>
  <c r="C705" i="4"/>
  <c r="D705" i="4" s="1"/>
  <c r="C704" i="4"/>
  <c r="D704" i="4" s="1"/>
  <c r="C703" i="4"/>
  <c r="D703" i="4" s="1"/>
  <c r="C702" i="4"/>
  <c r="D702" i="4" s="1"/>
  <c r="C701" i="4"/>
  <c r="D701" i="4" s="1"/>
  <c r="C700" i="4"/>
  <c r="D700" i="4" s="1"/>
  <c r="C699" i="4"/>
  <c r="D699" i="4" s="1"/>
  <c r="C698" i="4"/>
  <c r="D698" i="4" s="1"/>
  <c r="C697" i="4"/>
  <c r="D697" i="4" s="1"/>
  <c r="C696" i="4"/>
  <c r="D696" i="4" s="1"/>
  <c r="C695" i="4"/>
  <c r="D695" i="4" s="1"/>
  <c r="C694" i="4"/>
  <c r="D694" i="4" s="1"/>
  <c r="C693" i="4"/>
  <c r="D693" i="4" s="1"/>
  <c r="C692" i="4"/>
  <c r="D692" i="4" s="1"/>
  <c r="C691" i="4"/>
  <c r="D691" i="4" s="1"/>
  <c r="C690" i="4"/>
  <c r="D690" i="4" s="1"/>
  <c r="C689" i="4"/>
  <c r="D689" i="4" s="1"/>
  <c r="C688" i="4"/>
  <c r="D688" i="4" s="1"/>
  <c r="C687" i="4"/>
  <c r="D687" i="4" s="1"/>
  <c r="C686" i="4"/>
  <c r="D686" i="4" s="1"/>
  <c r="C685" i="4"/>
  <c r="D685" i="4" s="1"/>
  <c r="C684" i="4"/>
  <c r="D684" i="4" s="1"/>
  <c r="C683" i="4"/>
  <c r="D683" i="4" s="1"/>
  <c r="C682" i="4"/>
  <c r="D682" i="4" s="1"/>
  <c r="C681" i="4"/>
  <c r="D681" i="4" s="1"/>
  <c r="C680" i="4"/>
  <c r="D680" i="4" s="1"/>
  <c r="C679" i="4"/>
  <c r="D679" i="4" s="1"/>
  <c r="C678" i="4"/>
  <c r="D678" i="4" s="1"/>
  <c r="C677" i="4"/>
  <c r="D677" i="4" s="1"/>
  <c r="C676" i="4"/>
  <c r="D676" i="4" s="1"/>
  <c r="C675" i="4"/>
  <c r="D675" i="4" s="1"/>
  <c r="C674" i="4"/>
  <c r="D674" i="4" s="1"/>
  <c r="C673" i="4"/>
  <c r="D673" i="4" s="1"/>
  <c r="C672" i="4"/>
  <c r="D672" i="4" s="1"/>
  <c r="C671" i="4"/>
  <c r="D671" i="4" s="1"/>
  <c r="C670" i="4"/>
  <c r="D670" i="4" s="1"/>
  <c r="C669" i="4"/>
  <c r="D669" i="4" s="1"/>
  <c r="C668" i="4"/>
  <c r="D668" i="4" s="1"/>
  <c r="C667" i="4"/>
  <c r="D667" i="4" s="1"/>
  <c r="C666" i="4"/>
  <c r="D666" i="4" s="1"/>
  <c r="C665" i="4"/>
  <c r="D665" i="4" s="1"/>
  <c r="C664" i="4"/>
  <c r="D664" i="4" s="1"/>
  <c r="C663" i="4"/>
  <c r="D663" i="4" s="1"/>
  <c r="C662" i="4"/>
  <c r="D662" i="4" s="1"/>
  <c r="C661" i="4"/>
  <c r="D661" i="4" s="1"/>
  <c r="C660" i="4"/>
  <c r="D660" i="4" s="1"/>
  <c r="C659" i="4"/>
  <c r="D659" i="4" s="1"/>
  <c r="C658" i="4"/>
  <c r="D658" i="4" s="1"/>
  <c r="C657" i="4"/>
  <c r="D657" i="4" s="1"/>
  <c r="C656" i="4"/>
  <c r="D656" i="4" s="1"/>
  <c r="C655" i="4"/>
  <c r="D655" i="4" s="1"/>
  <c r="C654" i="4"/>
  <c r="D654" i="4" s="1"/>
  <c r="C653" i="4"/>
  <c r="D653" i="4" s="1"/>
  <c r="C652" i="4"/>
  <c r="D652" i="4" s="1"/>
  <c r="C651" i="4"/>
  <c r="D651" i="4" s="1"/>
  <c r="C650" i="4"/>
  <c r="D650" i="4" s="1"/>
  <c r="C649" i="4"/>
  <c r="D649" i="4" s="1"/>
  <c r="C648" i="4"/>
  <c r="D648" i="4" s="1"/>
  <c r="C647" i="4"/>
  <c r="D647" i="4" s="1"/>
  <c r="C646" i="4"/>
  <c r="D646" i="4" s="1"/>
  <c r="C645" i="4"/>
  <c r="D645" i="4" s="1"/>
  <c r="C644" i="4"/>
  <c r="D644" i="4" s="1"/>
  <c r="C643" i="4"/>
  <c r="D643" i="4" s="1"/>
  <c r="C642" i="4"/>
  <c r="D642" i="4" s="1"/>
  <c r="C641" i="4"/>
  <c r="D641" i="4" s="1"/>
  <c r="C640" i="4"/>
  <c r="D640" i="4" s="1"/>
  <c r="C639" i="4"/>
  <c r="D639" i="4" s="1"/>
  <c r="C638" i="4"/>
  <c r="D638" i="4" s="1"/>
  <c r="C637" i="4"/>
  <c r="D637" i="4" s="1"/>
  <c r="C636" i="4"/>
  <c r="D636" i="4" s="1"/>
  <c r="C635" i="4"/>
  <c r="D635" i="4" s="1"/>
  <c r="C634" i="4"/>
  <c r="D634" i="4" s="1"/>
  <c r="C633" i="4"/>
  <c r="D633" i="4" s="1"/>
  <c r="C632" i="4"/>
  <c r="D632" i="4" s="1"/>
  <c r="C631" i="4"/>
  <c r="D631" i="4" s="1"/>
  <c r="C630" i="4"/>
  <c r="D630" i="4" s="1"/>
  <c r="C629" i="4"/>
  <c r="D629" i="4" s="1"/>
  <c r="C628" i="4"/>
  <c r="D628" i="4" s="1"/>
  <c r="C627" i="4"/>
  <c r="D627" i="4" s="1"/>
  <c r="C626" i="4"/>
  <c r="D626" i="4" s="1"/>
  <c r="C625" i="4"/>
  <c r="D625" i="4" s="1"/>
  <c r="C624" i="4"/>
  <c r="D624" i="4" s="1"/>
  <c r="C623" i="4"/>
  <c r="D623" i="4" s="1"/>
  <c r="C622" i="4"/>
  <c r="D622" i="4" s="1"/>
  <c r="C621" i="4"/>
  <c r="D621" i="4" s="1"/>
  <c r="C620" i="4"/>
  <c r="D620" i="4" s="1"/>
  <c r="C619" i="4"/>
  <c r="D619" i="4" s="1"/>
  <c r="C618" i="4"/>
  <c r="D618" i="4" s="1"/>
  <c r="C617" i="4"/>
  <c r="D617" i="4" s="1"/>
  <c r="C616" i="4"/>
  <c r="D616" i="4" s="1"/>
  <c r="C615" i="4"/>
  <c r="D615" i="4" s="1"/>
  <c r="C614" i="4"/>
  <c r="D614" i="4" s="1"/>
  <c r="C613" i="4"/>
  <c r="D613" i="4" s="1"/>
  <c r="C612" i="4"/>
  <c r="D612" i="4" s="1"/>
  <c r="C611" i="4"/>
  <c r="D611" i="4" s="1"/>
  <c r="C610" i="4"/>
  <c r="D610" i="4" s="1"/>
  <c r="C609" i="4"/>
  <c r="D609" i="4" s="1"/>
  <c r="C608" i="4"/>
  <c r="D608" i="4" s="1"/>
  <c r="C607" i="4"/>
  <c r="D607" i="4" s="1"/>
  <c r="C606" i="4"/>
  <c r="D606" i="4" s="1"/>
  <c r="C605" i="4"/>
  <c r="D605" i="4" s="1"/>
  <c r="C604" i="4"/>
  <c r="D604" i="4" s="1"/>
  <c r="C603" i="4"/>
  <c r="D603" i="4" s="1"/>
  <c r="C602" i="4"/>
  <c r="D602" i="4" s="1"/>
  <c r="C601" i="4"/>
  <c r="D601" i="4" s="1"/>
  <c r="C600" i="4"/>
  <c r="D600" i="4" s="1"/>
  <c r="C599" i="4"/>
  <c r="D599" i="4" s="1"/>
  <c r="C598" i="4"/>
  <c r="D598" i="4" s="1"/>
  <c r="C597" i="4"/>
  <c r="D597" i="4" s="1"/>
  <c r="C596" i="4"/>
  <c r="D596" i="4" s="1"/>
  <c r="C595" i="4"/>
  <c r="D595" i="4" s="1"/>
  <c r="C594" i="4"/>
  <c r="D594" i="4" s="1"/>
  <c r="C593" i="4"/>
  <c r="D593" i="4" s="1"/>
  <c r="C592" i="4"/>
  <c r="D592" i="4" s="1"/>
  <c r="C591" i="4"/>
  <c r="D591" i="4" s="1"/>
  <c r="C590" i="4"/>
  <c r="D590" i="4" s="1"/>
  <c r="C589" i="4"/>
  <c r="D589" i="4" s="1"/>
  <c r="C588" i="4"/>
  <c r="D588" i="4" s="1"/>
  <c r="C587" i="4"/>
  <c r="D587" i="4" s="1"/>
  <c r="C586" i="4"/>
  <c r="D586" i="4" s="1"/>
  <c r="C585" i="4"/>
  <c r="D585" i="4" s="1"/>
  <c r="C584" i="4"/>
  <c r="D584" i="4" s="1"/>
  <c r="C583" i="4"/>
  <c r="D583" i="4" s="1"/>
  <c r="C582" i="4"/>
  <c r="D582" i="4" s="1"/>
  <c r="C581" i="4"/>
  <c r="D581" i="4" s="1"/>
  <c r="C580" i="4"/>
  <c r="D580" i="4" s="1"/>
  <c r="C579" i="4"/>
  <c r="D579" i="4" s="1"/>
  <c r="C578" i="4"/>
  <c r="D578" i="4" s="1"/>
  <c r="C577" i="4"/>
  <c r="D577" i="4" s="1"/>
  <c r="C576" i="4"/>
  <c r="D576" i="4" s="1"/>
  <c r="C575" i="4"/>
  <c r="D575" i="4" s="1"/>
  <c r="C574" i="4"/>
  <c r="D574" i="4" s="1"/>
  <c r="C573" i="4"/>
  <c r="D573" i="4" s="1"/>
  <c r="C572" i="4"/>
  <c r="D572" i="4" s="1"/>
  <c r="C571" i="4"/>
  <c r="D571" i="4" s="1"/>
  <c r="C570" i="4"/>
  <c r="D570" i="4" s="1"/>
  <c r="C569" i="4"/>
  <c r="D569" i="4" s="1"/>
  <c r="C568" i="4"/>
  <c r="D568" i="4" s="1"/>
  <c r="C567" i="4"/>
  <c r="D567" i="4" s="1"/>
  <c r="C566" i="4"/>
  <c r="D566" i="4" s="1"/>
  <c r="C565" i="4"/>
  <c r="D565" i="4" s="1"/>
  <c r="C564" i="4"/>
  <c r="D564" i="4" s="1"/>
  <c r="C563" i="4"/>
  <c r="D563" i="4" s="1"/>
  <c r="C562" i="4"/>
  <c r="D562" i="4" s="1"/>
  <c r="C561" i="4"/>
  <c r="D561" i="4" s="1"/>
  <c r="C560" i="4"/>
  <c r="D560" i="4" s="1"/>
  <c r="C559" i="4"/>
  <c r="D559" i="4" s="1"/>
  <c r="C558" i="4"/>
  <c r="D558" i="4" s="1"/>
  <c r="C557" i="4"/>
  <c r="D557" i="4" s="1"/>
  <c r="C556" i="4"/>
  <c r="D556" i="4" s="1"/>
  <c r="C555" i="4"/>
  <c r="D555" i="4" s="1"/>
  <c r="C554" i="4"/>
  <c r="D554" i="4" s="1"/>
  <c r="C553" i="4"/>
  <c r="D553" i="4" s="1"/>
  <c r="C552" i="4"/>
  <c r="D552" i="4" s="1"/>
  <c r="C551" i="4"/>
  <c r="D551" i="4" s="1"/>
  <c r="C550" i="4"/>
  <c r="D550" i="4" s="1"/>
  <c r="C549" i="4"/>
  <c r="D549" i="4" s="1"/>
  <c r="C548" i="4"/>
  <c r="D548" i="4" s="1"/>
  <c r="C547" i="4"/>
  <c r="D547" i="4" s="1"/>
  <c r="C546" i="4"/>
  <c r="D546" i="4" s="1"/>
  <c r="C545" i="4"/>
  <c r="D545" i="4" s="1"/>
  <c r="C544" i="4"/>
  <c r="D544" i="4" s="1"/>
  <c r="C543" i="4"/>
  <c r="D543" i="4" s="1"/>
  <c r="C542" i="4"/>
  <c r="D542" i="4" s="1"/>
  <c r="C541" i="4"/>
  <c r="D541" i="4" s="1"/>
  <c r="C540" i="4"/>
  <c r="D540" i="4" s="1"/>
  <c r="C539" i="4"/>
  <c r="D539" i="4" s="1"/>
  <c r="C538" i="4"/>
  <c r="D538" i="4" s="1"/>
  <c r="C537" i="4"/>
  <c r="D537" i="4" s="1"/>
  <c r="C536" i="4"/>
  <c r="D536" i="4" s="1"/>
  <c r="C535" i="4"/>
  <c r="D535" i="4" s="1"/>
  <c r="C534" i="4"/>
  <c r="D534" i="4" s="1"/>
  <c r="C533" i="4"/>
  <c r="D533" i="4" s="1"/>
  <c r="C532" i="4"/>
  <c r="D532" i="4" s="1"/>
  <c r="C531" i="4"/>
  <c r="D531" i="4" s="1"/>
  <c r="C530" i="4"/>
  <c r="D530" i="4" s="1"/>
  <c r="C529" i="4"/>
  <c r="D529" i="4" s="1"/>
  <c r="C528" i="4"/>
  <c r="D528" i="4" s="1"/>
  <c r="C527" i="4"/>
  <c r="D527" i="4" s="1"/>
  <c r="C526" i="4"/>
  <c r="D526" i="4" s="1"/>
  <c r="C525" i="4"/>
  <c r="D525" i="4" s="1"/>
  <c r="C524" i="4"/>
  <c r="D524" i="4" s="1"/>
  <c r="C523" i="4"/>
  <c r="D523" i="4" s="1"/>
  <c r="C522" i="4"/>
  <c r="D522" i="4" s="1"/>
  <c r="C521" i="4"/>
  <c r="D521" i="4" s="1"/>
  <c r="C520" i="4"/>
  <c r="D520" i="4" s="1"/>
  <c r="C519" i="4"/>
  <c r="D519" i="4" s="1"/>
  <c r="C518" i="4"/>
  <c r="D518" i="4" s="1"/>
  <c r="C517" i="4"/>
  <c r="D517" i="4" s="1"/>
  <c r="C516" i="4"/>
  <c r="D516" i="4" s="1"/>
  <c r="C515" i="4"/>
  <c r="D515" i="4" s="1"/>
  <c r="C514" i="4"/>
  <c r="D514" i="4" s="1"/>
  <c r="C513" i="4"/>
  <c r="D513" i="4" s="1"/>
  <c r="C512" i="4"/>
  <c r="D512" i="4" s="1"/>
  <c r="C511" i="4"/>
  <c r="D511" i="4" s="1"/>
  <c r="C510" i="4"/>
  <c r="D510" i="4" s="1"/>
  <c r="C509" i="4"/>
  <c r="D509" i="4" s="1"/>
  <c r="C508" i="4"/>
  <c r="D508" i="4" s="1"/>
  <c r="C507" i="4"/>
  <c r="D507" i="4" s="1"/>
  <c r="C506" i="4"/>
  <c r="D506" i="4" s="1"/>
  <c r="C505" i="4"/>
  <c r="D505" i="4" s="1"/>
  <c r="C504" i="4"/>
  <c r="D504" i="4" s="1"/>
  <c r="C503" i="4"/>
  <c r="D503" i="4" s="1"/>
  <c r="C502" i="4"/>
  <c r="D502" i="4" s="1"/>
  <c r="C501" i="4"/>
  <c r="D501" i="4" s="1"/>
  <c r="C500" i="4"/>
  <c r="D500" i="4" s="1"/>
  <c r="C499" i="4"/>
  <c r="D499" i="4" s="1"/>
  <c r="C498" i="4"/>
  <c r="D498" i="4" s="1"/>
  <c r="C497" i="4"/>
  <c r="D497" i="4" s="1"/>
  <c r="C496" i="4"/>
  <c r="D496" i="4" s="1"/>
  <c r="C495" i="4"/>
  <c r="D495" i="4" s="1"/>
  <c r="C494" i="4"/>
  <c r="D494" i="4" s="1"/>
  <c r="C493" i="4"/>
  <c r="D493" i="4" s="1"/>
  <c r="C492" i="4"/>
  <c r="D492" i="4" s="1"/>
  <c r="C491" i="4"/>
  <c r="D491" i="4" s="1"/>
  <c r="C490" i="4"/>
  <c r="D490" i="4" s="1"/>
  <c r="C489" i="4"/>
  <c r="D489" i="4" s="1"/>
  <c r="C488" i="4"/>
  <c r="D488" i="4" s="1"/>
  <c r="C487" i="4"/>
  <c r="D487" i="4" s="1"/>
  <c r="C486" i="4"/>
  <c r="D486" i="4" s="1"/>
  <c r="C485" i="4"/>
  <c r="D485" i="4" s="1"/>
  <c r="C484" i="4"/>
  <c r="D484" i="4" s="1"/>
  <c r="C483" i="4"/>
  <c r="D483" i="4" s="1"/>
  <c r="C482" i="4"/>
  <c r="D482" i="4" s="1"/>
  <c r="C481" i="4"/>
  <c r="D481" i="4" s="1"/>
  <c r="C480" i="4"/>
  <c r="D480" i="4" s="1"/>
  <c r="C479" i="4"/>
  <c r="D479" i="4" s="1"/>
  <c r="C478" i="4"/>
  <c r="D478" i="4" s="1"/>
  <c r="C477" i="4"/>
  <c r="D477" i="4" s="1"/>
  <c r="C476" i="4"/>
  <c r="D476" i="4" s="1"/>
  <c r="C475" i="4"/>
  <c r="D475" i="4" s="1"/>
  <c r="C474" i="4"/>
  <c r="D474" i="4" s="1"/>
  <c r="C473" i="4"/>
  <c r="D473" i="4" s="1"/>
  <c r="C472" i="4"/>
  <c r="D472" i="4" s="1"/>
  <c r="C471" i="4"/>
  <c r="D471" i="4" s="1"/>
  <c r="C470" i="4"/>
  <c r="D470" i="4" s="1"/>
  <c r="C469" i="4"/>
  <c r="D469" i="4" s="1"/>
  <c r="C468" i="4"/>
  <c r="D468" i="4" s="1"/>
  <c r="C467" i="4"/>
  <c r="D467" i="4" s="1"/>
  <c r="C466" i="4"/>
  <c r="D466" i="4" s="1"/>
  <c r="C465" i="4"/>
  <c r="D465" i="4" s="1"/>
  <c r="C464" i="4"/>
  <c r="D464" i="4" s="1"/>
  <c r="C463" i="4"/>
  <c r="D463" i="4" s="1"/>
  <c r="C462" i="4"/>
  <c r="D462" i="4" s="1"/>
  <c r="C461" i="4"/>
  <c r="D461" i="4" s="1"/>
  <c r="C460" i="4"/>
  <c r="D460" i="4" s="1"/>
  <c r="C459" i="4"/>
  <c r="D459" i="4" s="1"/>
  <c r="C458" i="4"/>
  <c r="D458" i="4" s="1"/>
  <c r="C457" i="4"/>
  <c r="D457" i="4" s="1"/>
  <c r="C456" i="4"/>
  <c r="D456" i="4" s="1"/>
  <c r="C455" i="4"/>
  <c r="D455" i="4" s="1"/>
  <c r="C454" i="4"/>
  <c r="D454" i="4" s="1"/>
  <c r="C453" i="4"/>
  <c r="D453" i="4" s="1"/>
  <c r="C452" i="4"/>
  <c r="D452" i="4" s="1"/>
  <c r="C451" i="4"/>
  <c r="D451" i="4" s="1"/>
  <c r="C450" i="4"/>
  <c r="D450" i="4" s="1"/>
  <c r="C449" i="4"/>
  <c r="D449" i="4" s="1"/>
  <c r="C448" i="4"/>
  <c r="D448" i="4" s="1"/>
  <c r="C447" i="4"/>
  <c r="D447" i="4" s="1"/>
  <c r="C446" i="4"/>
  <c r="D446" i="4" s="1"/>
  <c r="C445" i="4"/>
  <c r="D445" i="4" s="1"/>
  <c r="C444" i="4"/>
  <c r="D444" i="4" s="1"/>
  <c r="C443" i="4"/>
  <c r="D443" i="4" s="1"/>
  <c r="C442" i="4"/>
  <c r="D442" i="4" s="1"/>
  <c r="C441" i="4"/>
  <c r="D441" i="4" s="1"/>
  <c r="C440" i="4"/>
  <c r="D440" i="4" s="1"/>
  <c r="C439" i="4"/>
  <c r="D439" i="4" s="1"/>
  <c r="C438" i="4"/>
  <c r="D438" i="4" s="1"/>
  <c r="C437" i="4"/>
  <c r="D437" i="4" s="1"/>
  <c r="C436" i="4"/>
  <c r="D436" i="4" s="1"/>
  <c r="C435" i="4"/>
  <c r="D435" i="4" s="1"/>
  <c r="C434" i="4"/>
  <c r="D434" i="4" s="1"/>
  <c r="C433" i="4"/>
  <c r="D433" i="4" s="1"/>
  <c r="C432" i="4"/>
  <c r="D432" i="4" s="1"/>
  <c r="C431" i="4"/>
  <c r="D431" i="4" s="1"/>
  <c r="C430" i="4"/>
  <c r="D430" i="4" s="1"/>
  <c r="C429" i="4"/>
  <c r="D429" i="4" s="1"/>
  <c r="C428" i="4"/>
  <c r="D428" i="4" s="1"/>
  <c r="C427" i="4"/>
  <c r="D427" i="4" s="1"/>
  <c r="C426" i="4"/>
  <c r="D426" i="4" s="1"/>
  <c r="C425" i="4"/>
  <c r="D425" i="4" s="1"/>
  <c r="C424" i="4"/>
  <c r="D424" i="4" s="1"/>
  <c r="C423" i="4"/>
  <c r="D423" i="4" s="1"/>
  <c r="C422" i="4"/>
  <c r="D422" i="4" s="1"/>
  <c r="C421" i="4"/>
  <c r="D421" i="4" s="1"/>
  <c r="C420" i="4"/>
  <c r="D420" i="4" s="1"/>
  <c r="C419" i="4"/>
  <c r="D419" i="4" s="1"/>
  <c r="C418" i="4"/>
  <c r="D418" i="4" s="1"/>
  <c r="C417" i="4"/>
  <c r="D417" i="4" s="1"/>
  <c r="C416" i="4"/>
  <c r="D416" i="4" s="1"/>
  <c r="C415" i="4"/>
  <c r="D415" i="4" s="1"/>
  <c r="C414" i="4"/>
  <c r="D414" i="4" s="1"/>
  <c r="C413" i="4"/>
  <c r="D413" i="4" s="1"/>
  <c r="C412" i="4"/>
  <c r="D412" i="4" s="1"/>
  <c r="C411" i="4"/>
  <c r="D411" i="4" s="1"/>
  <c r="C410" i="4"/>
  <c r="D410" i="4" s="1"/>
  <c r="C409" i="4"/>
  <c r="D409" i="4" s="1"/>
  <c r="C408" i="4"/>
  <c r="D408" i="4" s="1"/>
  <c r="C407" i="4"/>
  <c r="D407" i="4" s="1"/>
  <c r="C406" i="4"/>
  <c r="D406" i="4" s="1"/>
  <c r="C405" i="4"/>
  <c r="D405" i="4" s="1"/>
  <c r="C404" i="4"/>
  <c r="D404" i="4" s="1"/>
  <c r="C403" i="4"/>
  <c r="D403" i="4" s="1"/>
  <c r="C402" i="4"/>
  <c r="D402" i="4" s="1"/>
  <c r="C401" i="4"/>
  <c r="D401" i="4" s="1"/>
  <c r="C400" i="4"/>
  <c r="D400" i="4" s="1"/>
  <c r="C399" i="4"/>
  <c r="D399" i="4" s="1"/>
  <c r="C398" i="4"/>
  <c r="D398" i="4" s="1"/>
  <c r="C397" i="4"/>
  <c r="D397" i="4" s="1"/>
  <c r="C396" i="4"/>
  <c r="D396" i="4" s="1"/>
  <c r="C395" i="4"/>
  <c r="D395" i="4" s="1"/>
  <c r="C394" i="4"/>
  <c r="D394" i="4" s="1"/>
  <c r="C393" i="4"/>
  <c r="D393" i="4" s="1"/>
  <c r="C392" i="4"/>
  <c r="D392" i="4" s="1"/>
  <c r="C391" i="4"/>
  <c r="D391" i="4" s="1"/>
  <c r="C390" i="4"/>
  <c r="D390" i="4" s="1"/>
  <c r="C389" i="4"/>
  <c r="D389" i="4" s="1"/>
  <c r="C388" i="4"/>
  <c r="D388" i="4" s="1"/>
  <c r="C387" i="4"/>
  <c r="D387" i="4" s="1"/>
  <c r="C386" i="4"/>
  <c r="D386" i="4" s="1"/>
  <c r="C385" i="4"/>
  <c r="D385" i="4" s="1"/>
  <c r="C384" i="4"/>
  <c r="D384" i="4" s="1"/>
  <c r="C383" i="4"/>
  <c r="D383" i="4" s="1"/>
  <c r="C382" i="4"/>
  <c r="D382" i="4" s="1"/>
  <c r="C381" i="4"/>
  <c r="D381" i="4" s="1"/>
  <c r="C380" i="4"/>
  <c r="D380" i="4" s="1"/>
  <c r="C379" i="4"/>
  <c r="D379" i="4" s="1"/>
  <c r="C378" i="4"/>
  <c r="D378" i="4" s="1"/>
  <c r="C377" i="4"/>
  <c r="D377" i="4" s="1"/>
  <c r="C376" i="4"/>
  <c r="D376" i="4" s="1"/>
  <c r="C375" i="4"/>
  <c r="D375" i="4" s="1"/>
  <c r="C374" i="4"/>
  <c r="D374" i="4" s="1"/>
  <c r="C373" i="4"/>
  <c r="D373" i="4" s="1"/>
  <c r="C372" i="4"/>
  <c r="D372" i="4" s="1"/>
  <c r="C371" i="4"/>
  <c r="D371" i="4" s="1"/>
  <c r="C370" i="4"/>
  <c r="D370" i="4" s="1"/>
  <c r="C369" i="4"/>
  <c r="D369" i="4" s="1"/>
  <c r="C368" i="4"/>
  <c r="D368" i="4" s="1"/>
  <c r="C367" i="4"/>
  <c r="D367" i="4" s="1"/>
  <c r="C366" i="4"/>
  <c r="D366" i="4" s="1"/>
  <c r="C365" i="4"/>
  <c r="D365" i="4" s="1"/>
  <c r="C364" i="4"/>
  <c r="D364" i="4" s="1"/>
  <c r="C363" i="4"/>
  <c r="D363" i="4" s="1"/>
  <c r="C362" i="4"/>
  <c r="D362" i="4" s="1"/>
  <c r="C361" i="4"/>
  <c r="D361" i="4" s="1"/>
  <c r="C360" i="4"/>
  <c r="D360" i="4" s="1"/>
  <c r="C359" i="4"/>
  <c r="D359" i="4" s="1"/>
  <c r="C358" i="4"/>
  <c r="D358" i="4" s="1"/>
  <c r="C357" i="4"/>
  <c r="D357" i="4" s="1"/>
  <c r="C356" i="4"/>
  <c r="D356" i="4" s="1"/>
  <c r="C355" i="4"/>
  <c r="D355" i="4" s="1"/>
  <c r="C354" i="4"/>
  <c r="D354" i="4" s="1"/>
  <c r="C353" i="4"/>
  <c r="D353" i="4" s="1"/>
  <c r="C352" i="4"/>
  <c r="D352" i="4" s="1"/>
  <c r="C351" i="4"/>
  <c r="D351" i="4" s="1"/>
  <c r="C350" i="4"/>
  <c r="D350" i="4" s="1"/>
  <c r="C349" i="4"/>
  <c r="D349" i="4" s="1"/>
  <c r="C348" i="4"/>
  <c r="D348" i="4" s="1"/>
  <c r="C347" i="4"/>
  <c r="D347" i="4" s="1"/>
  <c r="C346" i="4"/>
  <c r="D346" i="4" s="1"/>
  <c r="C345" i="4"/>
  <c r="D345" i="4" s="1"/>
  <c r="C344" i="4"/>
  <c r="D344" i="4" s="1"/>
  <c r="C343" i="4"/>
  <c r="D343" i="4" s="1"/>
  <c r="C342" i="4"/>
  <c r="D342" i="4" s="1"/>
  <c r="C341" i="4"/>
  <c r="D341" i="4" s="1"/>
  <c r="C340" i="4"/>
  <c r="D340" i="4" s="1"/>
  <c r="C339" i="4"/>
  <c r="D339" i="4" s="1"/>
  <c r="C338" i="4"/>
  <c r="D338" i="4" s="1"/>
  <c r="C337" i="4"/>
  <c r="D337" i="4" s="1"/>
  <c r="C336" i="4"/>
  <c r="D336" i="4" s="1"/>
  <c r="C335" i="4"/>
  <c r="D335" i="4" s="1"/>
  <c r="C334" i="4"/>
  <c r="D334" i="4" s="1"/>
  <c r="C333" i="4"/>
  <c r="D333" i="4" s="1"/>
  <c r="C332" i="4"/>
  <c r="D332" i="4" s="1"/>
  <c r="C331" i="4"/>
  <c r="D331" i="4" s="1"/>
  <c r="C330" i="4"/>
  <c r="D330" i="4" s="1"/>
  <c r="C329" i="4"/>
  <c r="D329" i="4" s="1"/>
  <c r="C328" i="4"/>
  <c r="D328" i="4" s="1"/>
  <c r="C327" i="4"/>
  <c r="D327" i="4" s="1"/>
  <c r="C326" i="4"/>
  <c r="D326" i="4" s="1"/>
  <c r="C325" i="4"/>
  <c r="D325" i="4" s="1"/>
  <c r="C324" i="4"/>
  <c r="D324" i="4" s="1"/>
  <c r="C323" i="4"/>
  <c r="D323" i="4" s="1"/>
  <c r="C322" i="4"/>
  <c r="D322" i="4" s="1"/>
  <c r="C321" i="4"/>
  <c r="D321" i="4" s="1"/>
  <c r="C320" i="4"/>
  <c r="D320" i="4" s="1"/>
  <c r="C319" i="4"/>
  <c r="D319" i="4" s="1"/>
  <c r="C318" i="4"/>
  <c r="D318" i="4" s="1"/>
  <c r="C317" i="4"/>
  <c r="D317" i="4" s="1"/>
  <c r="C316" i="4"/>
  <c r="D316" i="4" s="1"/>
  <c r="C315" i="4"/>
  <c r="D315" i="4" s="1"/>
  <c r="C314" i="4"/>
  <c r="D314" i="4" s="1"/>
  <c r="C313" i="4"/>
  <c r="D313" i="4" s="1"/>
  <c r="C312" i="4"/>
  <c r="D312" i="4" s="1"/>
  <c r="C311" i="4"/>
  <c r="D311" i="4" s="1"/>
  <c r="C310" i="4"/>
  <c r="D310" i="4" s="1"/>
  <c r="C309" i="4"/>
  <c r="D309" i="4" s="1"/>
  <c r="C308" i="4"/>
  <c r="D308" i="4" s="1"/>
  <c r="C307" i="4"/>
  <c r="D307" i="4" s="1"/>
  <c r="C306" i="4"/>
  <c r="D306" i="4" s="1"/>
  <c r="C305" i="4"/>
  <c r="D305" i="4" s="1"/>
  <c r="C304" i="4"/>
  <c r="D304" i="4" s="1"/>
  <c r="C303" i="4"/>
  <c r="D303" i="4" s="1"/>
  <c r="C302" i="4"/>
  <c r="D302" i="4" s="1"/>
  <c r="C301" i="4"/>
  <c r="D301" i="4" s="1"/>
  <c r="C300" i="4"/>
  <c r="D300" i="4" s="1"/>
  <c r="C299" i="4"/>
  <c r="D299" i="4" s="1"/>
  <c r="C298" i="4"/>
  <c r="D298" i="4" s="1"/>
  <c r="C297" i="4"/>
  <c r="D297" i="4" s="1"/>
  <c r="C296" i="4"/>
  <c r="D296" i="4" s="1"/>
  <c r="C295" i="4"/>
  <c r="D295" i="4" s="1"/>
  <c r="C294" i="4"/>
  <c r="D294" i="4" s="1"/>
  <c r="C293" i="4"/>
  <c r="D293" i="4" s="1"/>
  <c r="C292" i="4"/>
  <c r="D292" i="4" s="1"/>
  <c r="C291" i="4"/>
  <c r="D291" i="4" s="1"/>
  <c r="C290" i="4"/>
  <c r="D290" i="4" s="1"/>
  <c r="C289" i="4"/>
  <c r="D289" i="4" s="1"/>
  <c r="C288" i="4"/>
  <c r="D288" i="4" s="1"/>
  <c r="C287" i="4"/>
  <c r="D287" i="4" s="1"/>
  <c r="C286" i="4"/>
  <c r="D286" i="4" s="1"/>
  <c r="C285" i="4"/>
  <c r="D285" i="4" s="1"/>
  <c r="C284" i="4"/>
  <c r="D284" i="4" s="1"/>
  <c r="C283" i="4"/>
  <c r="D283" i="4" s="1"/>
  <c r="C282" i="4"/>
  <c r="D282" i="4" s="1"/>
  <c r="C281" i="4"/>
  <c r="D281" i="4" s="1"/>
  <c r="C280" i="4"/>
  <c r="D280" i="4" s="1"/>
  <c r="C279" i="4"/>
  <c r="D279" i="4" s="1"/>
  <c r="C278" i="4"/>
  <c r="D278" i="4" s="1"/>
  <c r="C277" i="4"/>
  <c r="D277" i="4" s="1"/>
  <c r="C276" i="4"/>
  <c r="D276" i="4" s="1"/>
  <c r="C275" i="4"/>
  <c r="D275" i="4" s="1"/>
  <c r="C274" i="4"/>
  <c r="D274" i="4" s="1"/>
  <c r="C273" i="4"/>
  <c r="D273" i="4" s="1"/>
  <c r="C272" i="4"/>
  <c r="D272" i="4" s="1"/>
  <c r="C271" i="4"/>
  <c r="D271" i="4" s="1"/>
  <c r="C270" i="4"/>
  <c r="D270" i="4" s="1"/>
  <c r="C269" i="4"/>
  <c r="D269" i="4" s="1"/>
  <c r="C268" i="4"/>
  <c r="D268" i="4" s="1"/>
  <c r="C267" i="4"/>
  <c r="D267" i="4" s="1"/>
  <c r="C266" i="4"/>
  <c r="D266" i="4" s="1"/>
  <c r="C265" i="4"/>
  <c r="D265" i="4" s="1"/>
  <c r="C264" i="4"/>
  <c r="D264" i="4" s="1"/>
  <c r="C263" i="4"/>
  <c r="D263" i="4" s="1"/>
  <c r="C262" i="4"/>
  <c r="D262" i="4" s="1"/>
  <c r="C261" i="4"/>
  <c r="D261" i="4" s="1"/>
  <c r="C260" i="4"/>
  <c r="D260" i="4" s="1"/>
  <c r="C259" i="4"/>
  <c r="D259" i="4" s="1"/>
  <c r="C258" i="4"/>
  <c r="D258" i="4" s="1"/>
  <c r="C257" i="4"/>
  <c r="D257" i="4" s="1"/>
  <c r="C256" i="4"/>
  <c r="D256" i="4" s="1"/>
  <c r="C255" i="4"/>
  <c r="D255" i="4" s="1"/>
  <c r="C254" i="4"/>
  <c r="D254" i="4" s="1"/>
  <c r="C253" i="4"/>
  <c r="D253" i="4" s="1"/>
  <c r="C252" i="4"/>
  <c r="D252" i="4" s="1"/>
  <c r="C251" i="4"/>
  <c r="D251" i="4" s="1"/>
  <c r="C250" i="4"/>
  <c r="D250" i="4" s="1"/>
  <c r="C249" i="4"/>
  <c r="D249" i="4" s="1"/>
  <c r="C248" i="4"/>
  <c r="D248" i="4" s="1"/>
  <c r="C247" i="4"/>
  <c r="D247" i="4" s="1"/>
  <c r="C246" i="4"/>
  <c r="D246" i="4" s="1"/>
  <c r="C245" i="4"/>
  <c r="D245" i="4" s="1"/>
  <c r="C244" i="4"/>
  <c r="D244" i="4" s="1"/>
  <c r="C243" i="4"/>
  <c r="D243" i="4" s="1"/>
  <c r="C242" i="4"/>
  <c r="D242" i="4" s="1"/>
  <c r="C241" i="4"/>
  <c r="D241" i="4" s="1"/>
  <c r="C240" i="4"/>
  <c r="D240" i="4" s="1"/>
  <c r="C239" i="4"/>
  <c r="D239" i="4" s="1"/>
  <c r="C238" i="4"/>
  <c r="D238" i="4" s="1"/>
  <c r="C237" i="4"/>
  <c r="D237" i="4" s="1"/>
  <c r="C236" i="4"/>
  <c r="D236" i="4" s="1"/>
  <c r="C235" i="4"/>
  <c r="D235" i="4" s="1"/>
  <c r="C234" i="4"/>
  <c r="D234" i="4" s="1"/>
  <c r="C233" i="4"/>
  <c r="D233" i="4" s="1"/>
  <c r="C232" i="4"/>
  <c r="D232" i="4" s="1"/>
  <c r="C231" i="4"/>
  <c r="D231" i="4" s="1"/>
  <c r="C230" i="4"/>
  <c r="D230" i="4" s="1"/>
  <c r="C229" i="4"/>
  <c r="D229" i="4" s="1"/>
  <c r="C228" i="4"/>
  <c r="D228" i="4" s="1"/>
  <c r="C227" i="4"/>
  <c r="D227" i="4" s="1"/>
  <c r="C226" i="4"/>
  <c r="D226" i="4" s="1"/>
  <c r="C225" i="4"/>
  <c r="D225" i="4" s="1"/>
  <c r="C224" i="4"/>
  <c r="D224" i="4" s="1"/>
  <c r="C223" i="4"/>
  <c r="D223" i="4" s="1"/>
  <c r="C222" i="4"/>
  <c r="D222" i="4" s="1"/>
  <c r="C221" i="4"/>
  <c r="D221" i="4" s="1"/>
  <c r="C220" i="4"/>
  <c r="D220" i="4" s="1"/>
  <c r="C219" i="4"/>
  <c r="D219" i="4" s="1"/>
  <c r="C218" i="4"/>
  <c r="D218" i="4" s="1"/>
  <c r="C217" i="4"/>
  <c r="D217" i="4" s="1"/>
  <c r="C216" i="4"/>
  <c r="D216" i="4" s="1"/>
  <c r="C215" i="4"/>
  <c r="D215" i="4" s="1"/>
  <c r="C214" i="4"/>
  <c r="D214" i="4" s="1"/>
  <c r="C213" i="4"/>
  <c r="D213" i="4" s="1"/>
  <c r="C212" i="4"/>
  <c r="D212" i="4" s="1"/>
  <c r="C211" i="4"/>
  <c r="D211" i="4" s="1"/>
  <c r="C210" i="4"/>
  <c r="D210" i="4" s="1"/>
  <c r="C209" i="4"/>
  <c r="D209" i="4" s="1"/>
  <c r="C208" i="4"/>
  <c r="D208" i="4" s="1"/>
  <c r="C207" i="4"/>
  <c r="D207" i="4" s="1"/>
  <c r="C206" i="4"/>
  <c r="D206" i="4" s="1"/>
  <c r="C205" i="4"/>
  <c r="D205" i="4" s="1"/>
  <c r="C204" i="4"/>
  <c r="D204" i="4" s="1"/>
  <c r="C203" i="4"/>
  <c r="D203" i="4" s="1"/>
  <c r="C202" i="4"/>
  <c r="D202" i="4" s="1"/>
  <c r="C201" i="4"/>
  <c r="D201" i="4" s="1"/>
  <c r="C200" i="4"/>
  <c r="D200" i="4" s="1"/>
  <c r="C199" i="4"/>
  <c r="D199" i="4" s="1"/>
  <c r="C198" i="4"/>
  <c r="D198" i="4" s="1"/>
  <c r="C197" i="4"/>
  <c r="D197" i="4" s="1"/>
  <c r="C196" i="4"/>
  <c r="D196" i="4" s="1"/>
  <c r="C195" i="4"/>
  <c r="D195" i="4" s="1"/>
  <c r="C194" i="4"/>
  <c r="D194" i="4" s="1"/>
  <c r="C193" i="4"/>
  <c r="D193" i="4" s="1"/>
  <c r="C192" i="4"/>
  <c r="D192" i="4" s="1"/>
  <c r="C191" i="4"/>
  <c r="D191" i="4" s="1"/>
  <c r="C190" i="4"/>
  <c r="D190" i="4" s="1"/>
  <c r="C189" i="4"/>
  <c r="D189" i="4" s="1"/>
  <c r="C188" i="4"/>
  <c r="D188" i="4" s="1"/>
  <c r="C187" i="4"/>
  <c r="D187" i="4" s="1"/>
  <c r="C186" i="4"/>
  <c r="D186" i="4" s="1"/>
  <c r="C185" i="4"/>
  <c r="D185" i="4" s="1"/>
  <c r="C184" i="4"/>
  <c r="D184" i="4" s="1"/>
  <c r="C183" i="4"/>
  <c r="D183" i="4" s="1"/>
  <c r="C182" i="4"/>
  <c r="D182" i="4" s="1"/>
  <c r="C181" i="4"/>
  <c r="D181" i="4" s="1"/>
  <c r="C180" i="4"/>
  <c r="D180" i="4" s="1"/>
  <c r="C179" i="4"/>
  <c r="D179" i="4" s="1"/>
  <c r="C178" i="4"/>
  <c r="D178" i="4" s="1"/>
  <c r="C177" i="4"/>
  <c r="D177" i="4" s="1"/>
  <c r="C176" i="4"/>
  <c r="D176" i="4" s="1"/>
  <c r="C175" i="4"/>
  <c r="D175" i="4" s="1"/>
  <c r="C174" i="4"/>
  <c r="D174" i="4" s="1"/>
  <c r="C173" i="4"/>
  <c r="D173" i="4" s="1"/>
  <c r="C172" i="4"/>
  <c r="D172" i="4" s="1"/>
  <c r="C171" i="4"/>
  <c r="D171" i="4" s="1"/>
  <c r="C170" i="4"/>
  <c r="D170" i="4" s="1"/>
  <c r="C169" i="4"/>
  <c r="D169" i="4" s="1"/>
  <c r="C168" i="4"/>
  <c r="D168" i="4" s="1"/>
  <c r="C167" i="4"/>
  <c r="D167" i="4" s="1"/>
  <c r="C166" i="4"/>
  <c r="D166" i="4" s="1"/>
  <c r="C165" i="4"/>
  <c r="D165" i="4" s="1"/>
  <c r="C164" i="4"/>
  <c r="D164" i="4" s="1"/>
  <c r="C163" i="4"/>
  <c r="D163" i="4" s="1"/>
  <c r="C162" i="4"/>
  <c r="D162" i="4" s="1"/>
  <c r="C161" i="4"/>
  <c r="D161" i="4" s="1"/>
  <c r="C160" i="4"/>
  <c r="D160" i="4" s="1"/>
  <c r="C159" i="4"/>
  <c r="D159" i="4" s="1"/>
  <c r="C158" i="4"/>
  <c r="D158" i="4" s="1"/>
  <c r="C157" i="4"/>
  <c r="D157" i="4" s="1"/>
  <c r="C156" i="4"/>
  <c r="D156" i="4" s="1"/>
  <c r="C155" i="4"/>
  <c r="D155" i="4" s="1"/>
  <c r="C154" i="4"/>
  <c r="D154" i="4" s="1"/>
  <c r="C153" i="4"/>
  <c r="D153" i="4" s="1"/>
  <c r="C152" i="4"/>
  <c r="D152" i="4" s="1"/>
  <c r="C151" i="4"/>
  <c r="D151" i="4" s="1"/>
  <c r="C150" i="4"/>
  <c r="D150" i="4" s="1"/>
  <c r="C149" i="4"/>
  <c r="D149" i="4" s="1"/>
  <c r="C148" i="4"/>
  <c r="D148" i="4" s="1"/>
  <c r="C147" i="4"/>
  <c r="D147" i="4" s="1"/>
  <c r="C146" i="4"/>
  <c r="D146" i="4" s="1"/>
  <c r="C145" i="4"/>
  <c r="D145" i="4" s="1"/>
  <c r="C144" i="4"/>
  <c r="D144" i="4" s="1"/>
  <c r="C143" i="4"/>
  <c r="D143" i="4" s="1"/>
  <c r="C142" i="4"/>
  <c r="D142" i="4" s="1"/>
  <c r="C141" i="4"/>
  <c r="D141" i="4" s="1"/>
  <c r="C140" i="4"/>
  <c r="D140" i="4" s="1"/>
  <c r="C139" i="4"/>
  <c r="D139" i="4" s="1"/>
  <c r="C138" i="4"/>
  <c r="D138" i="4" s="1"/>
  <c r="C137" i="4"/>
  <c r="D137" i="4" s="1"/>
  <c r="C136" i="4"/>
  <c r="D136" i="4" s="1"/>
  <c r="C135" i="4"/>
  <c r="D135" i="4" s="1"/>
  <c r="C134" i="4"/>
  <c r="D134" i="4" s="1"/>
  <c r="C133" i="4"/>
  <c r="D133" i="4" s="1"/>
  <c r="C132" i="4"/>
  <c r="D132" i="4" s="1"/>
  <c r="C131" i="4"/>
  <c r="D131" i="4" s="1"/>
  <c r="C130" i="4"/>
  <c r="D130" i="4" s="1"/>
  <c r="C129" i="4"/>
  <c r="D129" i="4" s="1"/>
  <c r="C128" i="4"/>
  <c r="D128" i="4" s="1"/>
  <c r="C127" i="4"/>
  <c r="D127" i="4" s="1"/>
  <c r="C126" i="4"/>
  <c r="D126" i="4" s="1"/>
  <c r="C125" i="4"/>
  <c r="D125" i="4" s="1"/>
  <c r="C124" i="4"/>
  <c r="D124" i="4" s="1"/>
  <c r="C123" i="4"/>
  <c r="D123" i="4" s="1"/>
  <c r="C122" i="4"/>
  <c r="D122" i="4" s="1"/>
  <c r="C121" i="4"/>
  <c r="D121" i="4" s="1"/>
  <c r="C120" i="4"/>
  <c r="D120" i="4" s="1"/>
  <c r="C119" i="4"/>
  <c r="D119" i="4" s="1"/>
  <c r="C118" i="4"/>
  <c r="D118" i="4" s="1"/>
  <c r="C117" i="4"/>
  <c r="D117" i="4" s="1"/>
  <c r="C116" i="4"/>
  <c r="D116" i="4" s="1"/>
  <c r="C115" i="4"/>
  <c r="D115" i="4" s="1"/>
  <c r="C114" i="4"/>
  <c r="D114" i="4" s="1"/>
  <c r="C113" i="4"/>
  <c r="D113" i="4" s="1"/>
  <c r="C112" i="4"/>
  <c r="D112" i="4" s="1"/>
  <c r="C111" i="4"/>
  <c r="D111" i="4" s="1"/>
  <c r="C110" i="4"/>
  <c r="D110" i="4" s="1"/>
  <c r="C109" i="4"/>
  <c r="D109" i="4" s="1"/>
  <c r="C108" i="4"/>
  <c r="D108" i="4" s="1"/>
  <c r="C107" i="4"/>
  <c r="D107" i="4" s="1"/>
  <c r="C106" i="4"/>
  <c r="D106" i="4" s="1"/>
  <c r="C105" i="4"/>
  <c r="D105" i="4" s="1"/>
  <c r="C104" i="4"/>
  <c r="D104" i="4" s="1"/>
  <c r="C103" i="4"/>
  <c r="D103" i="4" s="1"/>
  <c r="C102" i="4"/>
  <c r="D102" i="4" s="1"/>
  <c r="C101" i="4"/>
  <c r="D101" i="4" s="1"/>
  <c r="C100" i="4"/>
  <c r="D100" i="4" s="1"/>
  <c r="C99" i="4"/>
  <c r="D99" i="4" s="1"/>
  <c r="C98" i="4"/>
  <c r="D98" i="4" s="1"/>
  <c r="C97" i="4"/>
  <c r="D97" i="4" s="1"/>
  <c r="C96" i="4"/>
  <c r="D96" i="4" s="1"/>
  <c r="C95" i="4"/>
  <c r="D95" i="4" s="1"/>
  <c r="C94" i="4"/>
  <c r="D94" i="4" s="1"/>
  <c r="C93" i="4"/>
  <c r="D93" i="4" s="1"/>
  <c r="C92" i="4"/>
  <c r="D92" i="4" s="1"/>
  <c r="C91" i="4"/>
  <c r="D91" i="4" s="1"/>
  <c r="C90" i="4"/>
  <c r="D90" i="4" s="1"/>
  <c r="C89" i="4"/>
  <c r="D89" i="4" s="1"/>
  <c r="C88" i="4"/>
  <c r="D88" i="4" s="1"/>
  <c r="C87" i="4"/>
  <c r="D87" i="4" s="1"/>
  <c r="C86" i="4"/>
  <c r="D86" i="4" s="1"/>
  <c r="C85" i="4"/>
  <c r="D85" i="4" s="1"/>
  <c r="C84" i="4"/>
  <c r="D84" i="4" s="1"/>
  <c r="C83" i="4"/>
  <c r="D83" i="4" s="1"/>
  <c r="C82" i="4"/>
  <c r="D82" i="4" s="1"/>
  <c r="C81" i="4"/>
  <c r="D81" i="4" s="1"/>
  <c r="C80" i="4"/>
  <c r="D80" i="4" s="1"/>
  <c r="C79" i="4"/>
  <c r="D79" i="4" s="1"/>
  <c r="C78" i="4"/>
  <c r="D78" i="4" s="1"/>
  <c r="C77" i="4"/>
  <c r="D77" i="4" s="1"/>
  <c r="C76" i="4"/>
  <c r="D76" i="4" s="1"/>
  <c r="C75" i="4"/>
  <c r="D75" i="4" s="1"/>
  <c r="C74" i="4"/>
  <c r="D74" i="4" s="1"/>
  <c r="C73" i="4"/>
  <c r="D73" i="4" s="1"/>
  <c r="C72" i="4"/>
  <c r="D72" i="4" s="1"/>
  <c r="C71" i="4"/>
  <c r="D71" i="4" s="1"/>
  <c r="C70" i="4"/>
  <c r="D70" i="4" s="1"/>
  <c r="C69" i="4"/>
  <c r="D69" i="4" s="1"/>
  <c r="C68" i="4"/>
  <c r="D68" i="4" s="1"/>
  <c r="C67" i="4"/>
  <c r="D67" i="4" s="1"/>
  <c r="C66" i="4"/>
  <c r="D66" i="4" s="1"/>
  <c r="C65" i="4"/>
  <c r="D65" i="4" s="1"/>
  <c r="C64" i="4"/>
  <c r="D64" i="4" s="1"/>
  <c r="C63" i="4"/>
  <c r="D63" i="4" s="1"/>
  <c r="C62" i="4"/>
  <c r="D62" i="4" s="1"/>
  <c r="C61" i="4"/>
  <c r="D61" i="4" s="1"/>
  <c r="C60" i="4"/>
  <c r="D60" i="4" s="1"/>
  <c r="C59" i="4"/>
  <c r="D59" i="4" s="1"/>
  <c r="C58" i="4"/>
  <c r="D58" i="4" s="1"/>
  <c r="C57" i="4"/>
  <c r="D57" i="4" s="1"/>
  <c r="C56" i="4"/>
  <c r="D56" i="4" s="1"/>
  <c r="C55" i="4"/>
  <c r="D55" i="4" s="1"/>
  <c r="C54" i="4"/>
  <c r="D54" i="4" s="1"/>
  <c r="C53" i="4"/>
  <c r="D53" i="4" s="1"/>
  <c r="C52" i="4"/>
  <c r="D52" i="4" s="1"/>
  <c r="C51" i="4"/>
  <c r="D51" i="4" s="1"/>
  <c r="C50" i="4"/>
  <c r="D50" i="4" s="1"/>
  <c r="C49" i="4"/>
  <c r="D49" i="4" s="1"/>
  <c r="C48" i="4"/>
  <c r="D48" i="4" s="1"/>
  <c r="C47" i="4"/>
  <c r="D47" i="4" s="1"/>
  <c r="C46" i="4"/>
  <c r="D46" i="4" s="1"/>
  <c r="C45" i="4"/>
  <c r="D45" i="4" s="1"/>
  <c r="C44" i="4"/>
  <c r="D44" i="4" s="1"/>
  <c r="C43" i="4"/>
  <c r="D43" i="4" s="1"/>
  <c r="C42" i="4"/>
  <c r="D42" i="4" s="1"/>
  <c r="C41" i="4"/>
  <c r="D41" i="4" s="1"/>
  <c r="C40" i="4"/>
  <c r="D40" i="4" s="1"/>
  <c r="C39" i="4"/>
  <c r="D39" i="4" s="1"/>
  <c r="C38" i="4"/>
  <c r="D38" i="4" s="1"/>
  <c r="C37" i="4"/>
  <c r="D37" i="4" s="1"/>
  <c r="C36" i="4"/>
  <c r="D36" i="4" s="1"/>
  <c r="C35" i="4"/>
  <c r="D35" i="4" s="1"/>
  <c r="C34" i="4"/>
  <c r="D34" i="4" s="1"/>
  <c r="C33" i="4"/>
  <c r="D33" i="4" s="1"/>
  <c r="C32" i="4"/>
  <c r="D32" i="4" s="1"/>
  <c r="C31" i="4"/>
  <c r="D31" i="4" s="1"/>
  <c r="C30" i="4"/>
  <c r="D30" i="4" s="1"/>
  <c r="C29" i="4"/>
  <c r="D29" i="4" s="1"/>
  <c r="C28" i="4"/>
  <c r="D28" i="4" s="1"/>
  <c r="C27" i="4"/>
  <c r="D27" i="4" s="1"/>
  <c r="C26" i="4"/>
  <c r="D26" i="4" s="1"/>
  <c r="C25" i="4"/>
  <c r="D25" i="4" s="1"/>
  <c r="C24" i="4"/>
  <c r="D24" i="4" s="1"/>
  <c r="C23" i="4"/>
  <c r="D23" i="4" s="1"/>
  <c r="C22" i="4"/>
  <c r="D22" i="4" s="1"/>
  <c r="C21" i="4"/>
  <c r="D21" i="4" s="1"/>
  <c r="C20" i="4"/>
  <c r="D20" i="4" s="1"/>
  <c r="C19" i="4"/>
  <c r="D19" i="4" s="1"/>
  <c r="C18" i="4"/>
  <c r="D18" i="4" s="1"/>
  <c r="C17" i="4"/>
  <c r="D17" i="4" s="1"/>
  <c r="C16" i="4"/>
  <c r="D16" i="4" s="1"/>
  <c r="C15" i="4"/>
  <c r="D15" i="4" s="1"/>
  <c r="C14" i="4"/>
  <c r="D14" i="4" s="1"/>
  <c r="C13" i="4"/>
  <c r="D13" i="4" s="1"/>
  <c r="C12" i="4"/>
  <c r="D12" i="4" s="1"/>
  <c r="C11" i="4"/>
  <c r="D11" i="4" s="1"/>
  <c r="C10" i="4"/>
  <c r="D10" i="4" s="1"/>
  <c r="C9" i="4"/>
  <c r="D9" i="4" s="1"/>
  <c r="C8" i="4"/>
  <c r="D8" i="4" s="1"/>
  <c r="B4" i="4" l="1"/>
  <c r="B3" i="4"/>
</calcChain>
</file>

<file path=xl/sharedStrings.xml><?xml version="1.0" encoding="utf-8"?>
<sst xmlns="http://schemas.openxmlformats.org/spreadsheetml/2006/main" count="88" uniqueCount="65">
  <si>
    <t>The discount Rate</t>
  </si>
  <si>
    <t>Interest rate Reserve Banks charge commercial banks for short-term loans.</t>
  </si>
  <si>
    <t xml:space="preserve"> =&gt;</t>
  </si>
  <si>
    <t>Lending Creation</t>
  </si>
  <si>
    <t>Higher Spending from Household and Private Sector</t>
  </si>
  <si>
    <t>Lower Rates</t>
  </si>
  <si>
    <t>Higher Rates</t>
  </si>
  <si>
    <t>Less Lending</t>
  </si>
  <si>
    <t>Lower Spending from Household and Private Sector</t>
  </si>
  <si>
    <t>https://www.federalreserve.gov/data.htm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</si>
  <si>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</si>
  <si>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</si>
  <si>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</si>
  <si>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</si>
  <si>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</si>
  <si>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</si>
  <si>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</si>
  <si>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</si>
  <si>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</si>
  <si>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Fed Funds Rate</t>
  </si>
  <si>
    <t>Month</t>
  </si>
  <si>
    <t>https://fred.stlouisfed.org/series/FEDFUNDS</t>
  </si>
  <si>
    <t>Discount Rate</t>
  </si>
  <si>
    <t>Money Supply</t>
  </si>
  <si>
    <t>https://www.federalreserve.gov/faqs/money_12845.htm</t>
  </si>
  <si>
    <t>https://data.oecd.org/money/broad-money-m3.htm</t>
  </si>
  <si>
    <t>Broad Money M3</t>
  </si>
  <si>
    <t>M2 Money Stock</t>
  </si>
  <si>
    <t>https://fred.stlouisfed.org/series/M2</t>
  </si>
  <si>
    <t>Average</t>
  </si>
  <si>
    <t>Date</t>
  </si>
  <si>
    <t>M2 Money Stock, Billions of Dollars, Weekly, Seasonally Adjusted</t>
  </si>
  <si>
    <t>Weekly change</t>
  </si>
  <si>
    <t>Annualized return</t>
  </si>
  <si>
    <t>Fed Balance Sheet</t>
  </si>
  <si>
    <t>ECB</t>
  </si>
  <si>
    <t>BOJ</t>
  </si>
  <si>
    <t>https://fred.stlouisfed.org/series/ECBASSETS</t>
  </si>
  <si>
    <t>https://fred.stlouisfed.org/series/WALCL</t>
  </si>
  <si>
    <t>https://fred.stlouisfed.org/series/JPNASSETS</t>
  </si>
  <si>
    <t>FRED Graph Observations</t>
  </si>
  <si>
    <t>WALCL</t>
  </si>
  <si>
    <t>Assets: Total Assets: Total Assets (Less Eliminations From Consolidation): Wednesday Level, Millions of U.S. Dollars, Weekly, Not Seasonally Adjusted</t>
  </si>
  <si>
    <t>Frequency: Weekly, As of Wednesday</t>
  </si>
  <si>
    <t>JPNASSETS</t>
  </si>
  <si>
    <t>Bank of Japan: Total Assets for Japan, 100 Million Yen, Monthly, Not Seasonally Adjusted</t>
  </si>
  <si>
    <t>Frequency: Monthly, End of Period</t>
  </si>
  <si>
    <t>Nikkei 225</t>
  </si>
  <si>
    <t>GDP qoq</t>
  </si>
  <si>
    <t>Fed Balance Sheet as % U.S. GDP</t>
  </si>
  <si>
    <t>BOJ Balance sheet as % of Japanese GDP</t>
  </si>
  <si>
    <t>Bank of Japan: Total Assets for Japan, 100 Million Yen</t>
  </si>
  <si>
    <t>https://fred.stlouisfed.org/series/ECBASSETSW</t>
  </si>
  <si>
    <t>ECBASSETSW</t>
  </si>
  <si>
    <t>Central Bank Assets for Euro Area (11-19 Countries), Millions of Euros, Weekly, Not Seasonally Adjusted</t>
  </si>
  <si>
    <t>Central Bank Assets for Euro Area (11-19 Countries), Millions of Euros. Source: FRED</t>
  </si>
  <si>
    <t>http://www.pbc.gov.cn/en/3688247/3688975/index.html</t>
  </si>
  <si>
    <t>China</t>
  </si>
  <si>
    <t>Weekly Change</t>
  </si>
  <si>
    <t>https://fred.stlouisfed.org/series/INTDSRUSM193N</t>
  </si>
  <si>
    <t>Central Banks</t>
  </si>
  <si>
    <t>YoY Change</t>
  </si>
  <si>
    <t>https://fred.stlouisfed.org/series/M2SL</t>
  </si>
  <si>
    <t>Monthly change</t>
  </si>
  <si>
    <t>Annualized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</si>
</sst>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0.0"/>
    <numFmt numFmtId="166" formatCode="0.0%"/>
  </numFmts>
  <fonts count="10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8" fillId="0" borderId="0"/>
  </cellStyleXfs>
  <cellXfs count="80">
    <xf numFmtId="0" fontId="0" fillId="0" borderId="0" xfId="0"/>
    <xf numFmtId="0" fontId="0" fillId="2" borderId="0" xfId="0" applyFill="1"/>
    <xf numFmtId="0" fontId="1" fillId="0" borderId="0" xfId="0" applyFont="1"/>
    <xf numFmtId="0" fontId="5" fillId="0" borderId="0" xfId="3"/>
    <xf numFmtId="0" fontId="4" fillId="2" borderId="0" xfId="2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" fontId="0" fillId="4" borderId="0" xfId="0" applyNumberFormat="1" applyFill="1"/>
    <xf numFmtId="14" fontId="0" fillId="4" borderId="0" xfId="0" applyNumberFormat="1" applyFill="1"/>
    <xf numFmtId="0" fontId="0" fillId="2" borderId="1" xfId="0" applyFont="1" applyFill="1" applyBorder="1"/>
    <xf numFmtId="14" fontId="0" fillId="2" borderId="1" xfId="0" applyNumberFormat="1" applyFont="1" applyFill="1" applyBorder="1"/>
    <xf numFmtId="0" fontId="0" fillId="5" borderId="0" xfId="0" applyFont="1" applyFill="1"/>
    <xf numFmtId="166" fontId="0" fillId="2" borderId="0" xfId="1" applyNumberFormat="1" applyFont="1" applyFill="1"/>
    <xf numFmtId="14" fontId="0" fillId="2" borderId="0" xfId="0" applyNumberFormat="1" applyFill="1"/>
    <xf numFmtId="1" fontId="8" fillId="0" borderId="0" xfId="4" applyNumberFormat="1"/>
    <xf numFmtId="0" fontId="0" fillId="0" borderId="0" xfId="0" applyAlignment="1">
      <alignment vertical="center"/>
    </xf>
    <xf numFmtId="0" fontId="4" fillId="2" borderId="0" xfId="2" applyFill="1"/>
    <xf numFmtId="164" fontId="0" fillId="2" borderId="9" xfId="0" applyNumberFormat="1" applyFill="1" applyBorder="1" applyAlignment="1">
      <alignment horizontal="center"/>
    </xf>
    <xf numFmtId="1" fontId="0" fillId="2" borderId="10" xfId="0" applyNumberFormat="1" applyFill="1" applyBorder="1" applyAlignment="1">
      <alignment horizontal="center"/>
    </xf>
    <xf numFmtId="164" fontId="4" fillId="2" borderId="9" xfId="2" applyNumberFormat="1" applyFill="1" applyBorder="1" applyAlignment="1">
      <alignment horizontal="center"/>
    </xf>
    <xf numFmtId="1" fontId="4" fillId="2" borderId="10" xfId="2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" fontId="4" fillId="2" borderId="12" xfId="2" applyNumberFormat="1" applyFill="1" applyBorder="1" applyAlignment="1">
      <alignment horizontal="center"/>
    </xf>
    <xf numFmtId="0" fontId="4" fillId="3" borderId="7" xfId="2" applyFill="1" applyBorder="1" applyAlignment="1">
      <alignment horizontal="center"/>
    </xf>
    <xf numFmtId="0" fontId="4" fillId="3" borderId="8" xfId="2" applyFill="1" applyBorder="1" applyAlignment="1">
      <alignment horizontal="center" wrapText="1"/>
    </xf>
    <xf numFmtId="0" fontId="4" fillId="2" borderId="13" xfId="2" applyFill="1" applyBorder="1" applyAlignment="1">
      <alignment horizontal="center"/>
    </xf>
    <xf numFmtId="1" fontId="4" fillId="2" borderId="2" xfId="2" applyNumberFormat="1" applyFill="1" applyBorder="1" applyAlignment="1">
      <alignment horizontal="center"/>
    </xf>
    <xf numFmtId="0" fontId="4" fillId="2" borderId="2" xfId="2" applyFill="1" applyBorder="1" applyAlignment="1">
      <alignment horizontal="center"/>
    </xf>
    <xf numFmtId="166" fontId="4" fillId="2" borderId="10" xfId="1" applyNumberFormat="1" applyFont="1" applyFill="1" applyBorder="1" applyAlignment="1">
      <alignment horizontal="center"/>
    </xf>
    <xf numFmtId="164" fontId="4" fillId="2" borderId="11" xfId="2" applyNumberFormat="1" applyFill="1" applyBorder="1" applyAlignment="1">
      <alignment horizontal="center"/>
    </xf>
    <xf numFmtId="1" fontId="4" fillId="2" borderId="14" xfId="2" applyNumberFormat="1" applyFill="1" applyBorder="1" applyAlignment="1">
      <alignment horizontal="center"/>
    </xf>
    <xf numFmtId="0" fontId="4" fillId="2" borderId="14" xfId="2" applyFill="1" applyBorder="1" applyAlignment="1">
      <alignment horizontal="center"/>
    </xf>
    <xf numFmtId="166" fontId="4" fillId="2" borderId="12" xfId="1" applyNumberFormat="1" applyFont="1" applyFill="1" applyBorder="1" applyAlignment="1">
      <alignment horizontal="center"/>
    </xf>
    <xf numFmtId="164" fontId="4" fillId="2" borderId="7" xfId="2" applyNumberFormat="1" applyFill="1" applyBorder="1" applyAlignment="1">
      <alignment horizontal="center"/>
    </xf>
    <xf numFmtId="1" fontId="4" fillId="2" borderId="13" xfId="2" applyNumberFormat="1" applyFill="1" applyBorder="1" applyAlignment="1">
      <alignment horizontal="center"/>
    </xf>
    <xf numFmtId="166" fontId="4" fillId="2" borderId="8" xfId="1" applyNumberFormat="1" applyFont="1" applyFill="1" applyBorder="1" applyAlignment="1">
      <alignment horizontal="center"/>
    </xf>
    <xf numFmtId="0" fontId="4" fillId="3" borderId="15" xfId="2" applyFill="1" applyBorder="1" applyAlignment="1">
      <alignment horizontal="center" wrapText="1"/>
    </xf>
    <xf numFmtId="0" fontId="4" fillId="3" borderId="16" xfId="2" applyFill="1" applyBorder="1" applyAlignment="1">
      <alignment horizontal="center" wrapText="1"/>
    </xf>
    <xf numFmtId="0" fontId="4" fillId="3" borderId="17" xfId="2" applyFill="1" applyBorder="1" applyAlignment="1">
      <alignment horizontal="center" wrapText="1"/>
    </xf>
    <xf numFmtId="2" fontId="4" fillId="2" borderId="10" xfId="2" applyNumberFormat="1" applyFill="1" applyBorder="1" applyAlignment="1">
      <alignment horizontal="center"/>
    </xf>
    <xf numFmtId="2" fontId="4" fillId="2" borderId="12" xfId="2" applyNumberFormat="1" applyFill="1" applyBorder="1" applyAlignment="1">
      <alignment horizontal="center"/>
    </xf>
    <xf numFmtId="2" fontId="4" fillId="2" borderId="8" xfId="2" applyNumberFormat="1" applyFill="1" applyBorder="1" applyAlignment="1">
      <alignment horizontal="center"/>
    </xf>
    <xf numFmtId="0" fontId="4" fillId="3" borderId="15" xfId="2" applyFill="1" applyBorder="1" applyAlignment="1">
      <alignment horizontal="center"/>
    </xf>
    <xf numFmtId="0" fontId="4" fillId="3" borderId="17" xfId="2" applyFill="1" applyBorder="1" applyAlignment="1">
      <alignment horizontal="center"/>
    </xf>
    <xf numFmtId="164" fontId="8" fillId="0" borderId="9" xfId="4" applyNumberFormat="1" applyBorder="1" applyAlignment="1">
      <alignment horizontal="center"/>
    </xf>
    <xf numFmtId="2" fontId="8" fillId="0" borderId="10" xfId="4" applyNumberFormat="1" applyBorder="1" applyAlignment="1">
      <alignment horizontal="center"/>
    </xf>
    <xf numFmtId="14" fontId="4" fillId="2" borderId="2" xfId="2" applyNumberFormat="1" applyFont="1" applyFill="1" applyBorder="1" applyAlignment="1" applyProtection="1">
      <alignment horizontal="center"/>
    </xf>
    <xf numFmtId="165" fontId="4" fillId="2" borderId="2" xfId="2" applyNumberFormat="1" applyFill="1" applyBorder="1" applyAlignment="1">
      <alignment horizontal="center"/>
    </xf>
    <xf numFmtId="0" fontId="4" fillId="2" borderId="2" xfId="2" applyFont="1" applyFill="1" applyBorder="1" applyAlignment="1" applyProtection="1">
      <alignment horizontal="center"/>
    </xf>
    <xf numFmtId="10" fontId="4" fillId="2" borderId="2" xfId="1" applyNumberFormat="1" applyFont="1" applyFill="1" applyBorder="1" applyAlignment="1" applyProtection="1">
      <alignment horizontal="center"/>
    </xf>
    <xf numFmtId="10" fontId="4" fillId="2" borderId="2" xfId="2" applyNumberFormat="1" applyFont="1" applyFill="1" applyBorder="1" applyAlignment="1" applyProtection="1">
      <alignment horizontal="center"/>
    </xf>
    <xf numFmtId="164" fontId="0" fillId="2" borderId="2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6" fontId="4" fillId="2" borderId="2" xfId="1" applyNumberFormat="1" applyFont="1" applyFill="1" applyBorder="1" applyAlignment="1" applyProtection="1">
      <alignment horizontal="center"/>
    </xf>
    <xf numFmtId="14" fontId="4" fillId="2" borderId="13" xfId="2" applyNumberFormat="1" applyFont="1" applyFill="1" applyBorder="1" applyAlignment="1" applyProtection="1">
      <alignment horizontal="center"/>
    </xf>
    <xf numFmtId="165" fontId="4" fillId="2" borderId="13" xfId="2" applyNumberFormat="1" applyFill="1" applyBorder="1" applyAlignment="1">
      <alignment horizontal="center"/>
    </xf>
    <xf numFmtId="0" fontId="4" fillId="2" borderId="13" xfId="2" applyFont="1" applyFill="1" applyBorder="1" applyAlignment="1" applyProtection="1">
      <alignment horizontal="center"/>
    </xf>
    <xf numFmtId="0" fontId="6" fillId="3" borderId="15" xfId="0" applyFont="1" applyFill="1" applyBorder="1" applyAlignment="1">
      <alignment horizontal="center" wrapText="1"/>
    </xf>
    <xf numFmtId="0" fontId="4" fillId="3" borderId="16" xfId="2" applyFont="1" applyFill="1" applyBorder="1" applyAlignment="1">
      <alignment horizontal="center" wrapText="1"/>
    </xf>
    <xf numFmtId="0" fontId="6" fillId="3" borderId="16" xfId="0" applyFont="1" applyFill="1" applyBorder="1" applyAlignment="1">
      <alignment horizontal="center" wrapText="1"/>
    </xf>
    <xf numFmtId="0" fontId="6" fillId="3" borderId="17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" fontId="4" fillId="0" borderId="0" xfId="2" applyNumberFormat="1"/>
    <xf numFmtId="1" fontId="4" fillId="0" borderId="0" xfId="2" applyNumberFormat="1"/>
    <xf numFmtId="1" fontId="0" fillId="2" borderId="2" xfId="0" applyNumberForma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 applyAlignment="1">
      <alignment wrapText="1"/>
    </xf>
    <xf numFmtId="0" fontId="0" fillId="0" borderId="0" xfId="0"/>
  </cellXfs>
  <cellStyles count="5">
    <cellStyle name="Hyperlink" xfId="3" builtinId="8"/>
    <cellStyle name="Normal" xfId="0" builtinId="0"/>
    <cellStyle name="Normal 2" xfId="2" xr:uid="{FFF84E31-5CF4-4A21-9DDA-F0FE27D87798}"/>
    <cellStyle name="Normal 3" xfId="4" xr:uid="{EDA3F1CE-79D6-4B54-AA02-096F2FD9608E}"/>
    <cellStyle name="Per cent" xfId="1" builtinId="5"/>
  </cellStyles>
  <dxfs count="56">
    <dxf>
      <numFmt numFmtId="1" formatCode="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7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7" formatCode="dd/mm/yyyy"/>
    </dxf>
    <dxf>
      <numFmt numFmtId="1" formatCode="0"/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numFmt numFmtId="167" formatCode="dd/mm/yyyy"/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d/mm/yyyy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0.0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d/mm/yyyy"/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baseline="0">
                <a:effectLst/>
              </a:rPr>
              <a:t>Discount Rate</a:t>
            </a:r>
            <a:r>
              <a:rPr lang="en-GB" sz="14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'Discount Rate'!$A$8:$A$868</c:f>
              <c:numCache>
                <c:formatCode>yyyy\-mm\-dd</c:formatCode>
                <c:ptCount val="861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</c:numCache>
            </c:numRef>
          </c:cat>
          <c:val>
            <c:numRef>
              <c:f>'Discount Rate'!$B$8:$B$868</c:f>
              <c:numCache>
                <c:formatCode>0.00</c:formatCode>
                <c:ptCount val="86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CB-4725-A821-D74A12FF6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1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u="none" strike="noStrike" baseline="0">
                <a:effectLst/>
              </a:rPr>
              <a:t>Fed Funds Rate</a:t>
            </a:r>
            <a:r>
              <a:rPr lang="en-GB" sz="14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'Fed Funds Rate'!$A$8:$A$813</c:f>
              <c:numCache>
                <c:formatCode>yyyy\-mm\-dd</c:formatCode>
                <c:ptCount val="806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</c:numCache>
            </c:numRef>
          </c:cat>
          <c:val>
            <c:numRef>
              <c:f>'Fed Funds Rate'!$B$8:$B$813</c:f>
              <c:numCache>
                <c:formatCode>0.00</c:formatCode>
                <c:ptCount val="806"/>
                <c:pt idx="0">
                  <c:v>0.8</c:v>
                </c:pt>
                <c:pt idx="1">
                  <c:v>1.22</c:v>
                </c:pt>
                <c:pt idx="2">
                  <c:v>1.06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4.04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4.04</c:v>
                </c:pt>
                <c:pt idx="132">
                  <c:v>4.09</c:v>
                </c:pt>
                <c:pt idx="133">
                  <c:v>4.12</c:v>
                </c:pt>
                <c:pt idx="134">
                  <c:v>4.01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4.6500000000000004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4.5999999999999996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6.11</c:v>
                </c:pt>
                <c:pt idx="167">
                  <c:v>6.07</c:v>
                </c:pt>
                <c:pt idx="168">
                  <c:v>6.02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7.94</c:v>
                </c:pt>
                <c:pt idx="191">
                  <c:v>7.6</c:v>
                </c:pt>
                <c:pt idx="192">
                  <c:v>7.21</c:v>
                </c:pt>
                <c:pt idx="193">
                  <c:v>6.61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4.1500000000000004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5.56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</c:v>
                </c:pt>
                <c:pt idx="211">
                  <c:v>3.29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</c:v>
                </c:pt>
                <c:pt idx="218">
                  <c:v>4.87</c:v>
                </c:pt>
                <c:pt idx="219">
                  <c:v>5.04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9-4E0C-8FC0-D976AD36B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1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u="none" strike="noStrike" baseline="0">
                <a:effectLst/>
              </a:rPr>
              <a:t>M2 Money Stock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'M2 new'!$A$7:$A$757</c:f>
              <c:numCache>
                <c:formatCode>m/d/yy</c:formatCode>
                <c:ptCount val="751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</c:numCache>
            </c:numRef>
          </c:cat>
          <c:val>
            <c:numRef>
              <c:f>'M2 new'!$B$7:$B$757</c:f>
              <c:numCache>
                <c:formatCode>0.0</c:formatCode>
                <c:ptCount val="751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19665.5</c:v>
                </c:pt>
                <c:pt idx="746">
                  <c:v>19913.5</c:v>
                </c:pt>
                <c:pt idx="747">
                  <c:v>20122.900000000001</c:v>
                </c:pt>
                <c:pt idx="748">
                  <c:v>20372.7</c:v>
                </c:pt>
                <c:pt idx="749">
                  <c:v>20387.400000000001</c:v>
                </c:pt>
                <c:pt idx="750">
                  <c:v>20534.599999999999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6-4C33-836B-623C37D6B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1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0.18213261415076265</c:v>
                </c:pt>
                <c:pt idx="61">
                  <c:v>0.16228134086525636</c:v>
                </c:pt>
                <c:pt idx="62">
                  <c:v>0.13374568464130188</c:v>
                </c:pt>
                <c:pt idx="63">
                  <c:v>0.15956808054973437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D9-4059-99EF-92F916DB9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1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89-43B5-903B-2189AEDFA959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89-43B5-903B-2189AEDFA959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89-43B5-903B-2189AEDFA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1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'Fed Balance Sheet'!$A$12:$A$990</c:f>
              <c:numCache>
                <c:formatCode>m/d/yy</c:formatCode>
                <c:ptCount val="97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Balance Sheet'!$B$12:$B$990</c:f>
              <c:numCache>
                <c:formatCode>0</c:formatCode>
                <c:ptCount val="97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E-413B-9035-7AAC8B67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1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Sheet'!$D$11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'Fed Balance Sheet'!$A$12:$A$950</c:f>
              <c:numCache>
                <c:formatCode>m/d/yy</c:formatCode>
                <c:ptCount val="9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</c:numCache>
            </c:numRef>
          </c:cat>
          <c:val>
            <c:numRef>
              <c:f>'Fed Balance Sheet'!$D$12:$D$950</c:f>
              <c:numCache>
                <c:formatCode>0.00%</c:formatCode>
                <c:ptCount val="9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6-4559-B9B4-4445D865F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  <c:extLst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1"/>
        <c:lblOffset val="100"/>
        <c:baseTimeUnit val="days"/>
      </c:dateAx>
      <c:valAx>
        <c:axId val="930252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6-44FE-9AEF-01B5661C7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Sheet'!$C$6:$C$286</c:f>
              <c:numCache>
                <c:formatCode>General</c:formatCode>
                <c:ptCount val="281"/>
                <c:pt idx="0">
                  <c:v>15641.259765999999</c:v>
                </c:pt>
                <c:pt idx="1">
                  <c:v>15670.780273</c:v>
                </c:pt>
                <c:pt idx="2">
                  <c:v>15830.269531</c:v>
                </c:pt>
                <c:pt idx="3">
                  <c:v>16378.969727</c:v>
                </c:pt>
                <c:pt idx="4">
                  <c:v>14107.889648</c:v>
                </c:pt>
                <c:pt idx="5">
                  <c:v>13406.389648</c:v>
                </c:pt>
                <c:pt idx="6">
                  <c:v>13564.509765999999</c:v>
                </c:pt>
                <c:pt idx="7">
                  <c:v>14883.700194999999</c:v>
                </c:pt>
                <c:pt idx="8">
                  <c:v>13842.169921999999</c:v>
                </c:pt>
                <c:pt idx="9">
                  <c:v>14499.25</c:v>
                </c:pt>
                <c:pt idx="10">
                  <c:v>14367.540039</c:v>
                </c:pt>
                <c:pt idx="11">
                  <c:v>15836.589844</c:v>
                </c:pt>
                <c:pt idx="12">
                  <c:v>16701.529297000001</c:v>
                </c:pt>
                <c:pt idx="13">
                  <c:v>16111.650390999999</c:v>
                </c:pt>
                <c:pt idx="14">
                  <c:v>17529.740234000001</c:v>
                </c:pt>
                <c:pt idx="15">
                  <c:v>17861.859375</c:v>
                </c:pt>
                <c:pt idx="16">
                  <c:v>17436.560547000001</c:v>
                </c:pt>
                <c:pt idx="17">
                  <c:v>17605.460938</c:v>
                </c:pt>
                <c:pt idx="18">
                  <c:v>17942.080077999999</c:v>
                </c:pt>
                <c:pt idx="19">
                  <c:v>18558.230468999998</c:v>
                </c:pt>
                <c:pt idx="20">
                  <c:v>18934.339843999998</c:v>
                </c:pt>
                <c:pt idx="21">
                  <c:v>19539.699218999998</c:v>
                </c:pt>
                <c:pt idx="22">
                  <c:v>19959.519531000002</c:v>
                </c:pt>
                <c:pt idx="23">
                  <c:v>20337.320313</c:v>
                </c:pt>
                <c:pt idx="24">
                  <c:v>17973.699218999998</c:v>
                </c:pt>
                <c:pt idx="25">
                  <c:v>16332.450194999999</c:v>
                </c:pt>
                <c:pt idx="26">
                  <c:v>17411.050781000002</c:v>
                </c:pt>
                <c:pt idx="27">
                  <c:v>15727.490234000001</c:v>
                </c:pt>
                <c:pt idx="28">
                  <c:v>16861.259765999999</c:v>
                </c:pt>
                <c:pt idx="29">
                  <c:v>15747.259765999999</c:v>
                </c:pt>
                <c:pt idx="30">
                  <c:v>14539.599609000001</c:v>
                </c:pt>
                <c:pt idx="31">
                  <c:v>14648.509765999999</c:v>
                </c:pt>
                <c:pt idx="32">
                  <c:v>13785.690430000001</c:v>
                </c:pt>
                <c:pt idx="33">
                  <c:v>13843.549805000001</c:v>
                </c:pt>
                <c:pt idx="34">
                  <c:v>12883.540039</c:v>
                </c:pt>
                <c:pt idx="35">
                  <c:v>12999.700194999999</c:v>
                </c:pt>
                <c:pt idx="36">
                  <c:v>13934.320313</c:v>
                </c:pt>
                <c:pt idx="37">
                  <c:v>13262.139648</c:v>
                </c:pt>
                <c:pt idx="38">
                  <c:v>12969.049805000001</c:v>
                </c:pt>
                <c:pt idx="39">
                  <c:v>11860.769531</c:v>
                </c:pt>
                <c:pt idx="40">
                  <c:v>10713.509765999999</c:v>
                </c:pt>
                <c:pt idx="41">
                  <c:v>9774.6796880000002</c:v>
                </c:pt>
                <c:pt idx="42">
                  <c:v>10366.339844</c:v>
                </c:pt>
                <c:pt idx="43">
                  <c:v>10697.440430000001</c:v>
                </c:pt>
                <c:pt idx="44">
                  <c:v>10542.620117</c:v>
                </c:pt>
                <c:pt idx="45">
                  <c:v>9997.7998050000006</c:v>
                </c:pt>
                <c:pt idx="46">
                  <c:v>10587.830078000001</c:v>
                </c:pt>
                <c:pt idx="47">
                  <c:v>11024.940430000001</c:v>
                </c:pt>
                <c:pt idx="48">
                  <c:v>11492.540039</c:v>
                </c:pt>
                <c:pt idx="49">
                  <c:v>11763.700194999999</c:v>
                </c:pt>
                <c:pt idx="50">
                  <c:v>10621.839844</c:v>
                </c:pt>
                <c:pt idx="51">
                  <c:v>9877.9404300000006</c:v>
                </c:pt>
                <c:pt idx="52">
                  <c:v>9619.2998050000006</c:v>
                </c:pt>
                <c:pt idx="53">
                  <c:v>9383.2900389999995</c:v>
                </c:pt>
                <c:pt idx="54">
                  <c:v>8640.4804690000001</c:v>
                </c:pt>
                <c:pt idx="55">
                  <c:v>9215.5595699999994</c:v>
                </c:pt>
                <c:pt idx="56">
                  <c:v>8578.9501949999994</c:v>
                </c:pt>
                <c:pt idx="57">
                  <c:v>8339.9404300000006</c:v>
                </c:pt>
                <c:pt idx="58">
                  <c:v>8363.0400389999995</c:v>
                </c:pt>
                <c:pt idx="59">
                  <c:v>7972.7099609999996</c:v>
                </c:pt>
                <c:pt idx="60">
                  <c:v>7831.419922</c:v>
                </c:pt>
                <c:pt idx="61">
                  <c:v>8424.5097659999992</c:v>
                </c:pt>
                <c:pt idx="62">
                  <c:v>9083.1103519999997</c:v>
                </c:pt>
                <c:pt idx="63">
                  <c:v>9563.2099610000005</c:v>
                </c:pt>
                <c:pt idx="64">
                  <c:v>10343.549805000001</c:v>
                </c:pt>
                <c:pt idx="65">
                  <c:v>10219.049805000001</c:v>
                </c:pt>
                <c:pt idx="66">
                  <c:v>10559.589844</c:v>
                </c:pt>
                <c:pt idx="67">
                  <c:v>10100.570313</c:v>
                </c:pt>
                <c:pt idx="68">
                  <c:v>10676.639648</c:v>
                </c:pt>
                <c:pt idx="69">
                  <c:v>10783.610352</c:v>
                </c:pt>
                <c:pt idx="70">
                  <c:v>11041.919921999999</c:v>
                </c:pt>
                <c:pt idx="71">
                  <c:v>11715.389648</c:v>
                </c:pt>
                <c:pt idx="72">
                  <c:v>11761.790039</c:v>
                </c:pt>
                <c:pt idx="73">
                  <c:v>11236.370117</c:v>
                </c:pt>
                <c:pt idx="74">
                  <c:v>11858.870117</c:v>
                </c:pt>
                <c:pt idx="75">
                  <c:v>11325.780273</c:v>
                </c:pt>
                <c:pt idx="76">
                  <c:v>11081.790039</c:v>
                </c:pt>
                <c:pt idx="77">
                  <c:v>10823.570313</c:v>
                </c:pt>
                <c:pt idx="78">
                  <c:v>10771.419921999999</c:v>
                </c:pt>
                <c:pt idx="79">
                  <c:v>10899.25</c:v>
                </c:pt>
                <c:pt idx="80">
                  <c:v>11488.759765999999</c:v>
                </c:pt>
                <c:pt idx="81">
                  <c:v>11387.589844</c:v>
                </c:pt>
                <c:pt idx="82">
                  <c:v>11740.599609000001</c:v>
                </c:pt>
                <c:pt idx="83">
                  <c:v>11668.950194999999</c:v>
                </c:pt>
                <c:pt idx="84">
                  <c:v>11008.900390999999</c:v>
                </c:pt>
                <c:pt idx="85">
                  <c:v>11276.589844</c:v>
                </c:pt>
                <c:pt idx="86">
                  <c:v>11584.009765999999</c:v>
                </c:pt>
                <c:pt idx="87">
                  <c:v>11899.599609000001</c:v>
                </c:pt>
                <c:pt idx="88">
                  <c:v>12413.599609000001</c:v>
                </c:pt>
                <c:pt idx="89">
                  <c:v>13574.299805000001</c:v>
                </c:pt>
                <c:pt idx="90">
                  <c:v>13606.5</c:v>
                </c:pt>
                <c:pt idx="91">
                  <c:v>14872.150390999999</c:v>
                </c:pt>
                <c:pt idx="92">
                  <c:v>16111.429688</c:v>
                </c:pt>
                <c:pt idx="93">
                  <c:v>16649.820313</c:v>
                </c:pt>
                <c:pt idx="94">
                  <c:v>16205.429688</c:v>
                </c:pt>
                <c:pt idx="95">
                  <c:v>17059.660156000002</c:v>
                </c:pt>
                <c:pt idx="96">
                  <c:v>16906.230468999998</c:v>
                </c:pt>
                <c:pt idx="97">
                  <c:v>15467.330078000001</c:v>
                </c:pt>
                <c:pt idx="98">
                  <c:v>15505.179688</c:v>
                </c:pt>
                <c:pt idx="99">
                  <c:v>15456.809569999999</c:v>
                </c:pt>
                <c:pt idx="100">
                  <c:v>16140.759765999999</c:v>
                </c:pt>
                <c:pt idx="101">
                  <c:v>16127.580078000001</c:v>
                </c:pt>
                <c:pt idx="102">
                  <c:v>16399.390625</c:v>
                </c:pt>
                <c:pt idx="103">
                  <c:v>16274.330078000001</c:v>
                </c:pt>
                <c:pt idx="104">
                  <c:v>17225.830077999999</c:v>
                </c:pt>
                <c:pt idx="105">
                  <c:v>17383.419922000001</c:v>
                </c:pt>
                <c:pt idx="106">
                  <c:v>17604.119140999999</c:v>
                </c:pt>
                <c:pt idx="107">
                  <c:v>17287.650390999999</c:v>
                </c:pt>
                <c:pt idx="108">
                  <c:v>17400.410156000002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16569.089843999998</c:v>
                </c:pt>
                <c:pt idx="113">
                  <c:v>16785.689452999999</c:v>
                </c:pt>
                <c:pt idx="114">
                  <c:v>16737.630859000001</c:v>
                </c:pt>
                <c:pt idx="115">
                  <c:v>15680.669921999999</c:v>
                </c:pt>
                <c:pt idx="116">
                  <c:v>15307.780273</c:v>
                </c:pt>
                <c:pt idx="117">
                  <c:v>13592.469727</c:v>
                </c:pt>
                <c:pt idx="118">
                  <c:v>13603.019531</c:v>
                </c:pt>
                <c:pt idx="119">
                  <c:v>12525.540039</c:v>
                </c:pt>
                <c:pt idx="120">
                  <c:v>13849.990234000001</c:v>
                </c:pt>
                <c:pt idx="121">
                  <c:v>14338.540039</c:v>
                </c:pt>
                <c:pt idx="122">
                  <c:v>13481.379883</c:v>
                </c:pt>
                <c:pt idx="123">
                  <c:v>13376.809569999999</c:v>
                </c:pt>
                <c:pt idx="124">
                  <c:v>13072.870117</c:v>
                </c:pt>
                <c:pt idx="125">
                  <c:v>11259.860352</c:v>
                </c:pt>
                <c:pt idx="126">
                  <c:v>8576.9804690000001</c:v>
                </c:pt>
                <c:pt idx="127">
                  <c:v>8512.2695309999999</c:v>
                </c:pt>
                <c:pt idx="128">
                  <c:v>8859.5595699999994</c:v>
                </c:pt>
                <c:pt idx="129">
                  <c:v>7994.0498049999997</c:v>
                </c:pt>
                <c:pt idx="130">
                  <c:v>7568.419922</c:v>
                </c:pt>
                <c:pt idx="131">
                  <c:v>8109.5297849999997</c:v>
                </c:pt>
                <c:pt idx="132">
                  <c:v>8828.2597659999992</c:v>
                </c:pt>
                <c:pt idx="133">
                  <c:v>9522.5</c:v>
                </c:pt>
                <c:pt idx="134">
                  <c:v>9958.4404300000006</c:v>
                </c:pt>
                <c:pt idx="135">
                  <c:v>10356.830078000001</c:v>
                </c:pt>
                <c:pt idx="136">
                  <c:v>10492.530273</c:v>
                </c:pt>
                <c:pt idx="137">
                  <c:v>10133.230469</c:v>
                </c:pt>
                <c:pt idx="138">
                  <c:v>10034.740234000001</c:v>
                </c:pt>
                <c:pt idx="139">
                  <c:v>9345.5498050000006</c:v>
                </c:pt>
                <c:pt idx="140">
                  <c:v>10546.440430000001</c:v>
                </c:pt>
                <c:pt idx="141">
                  <c:v>10198.040039</c:v>
                </c:pt>
                <c:pt idx="142">
                  <c:v>10126.030273</c:v>
                </c:pt>
                <c:pt idx="143">
                  <c:v>11089.940430000001</c:v>
                </c:pt>
                <c:pt idx="144">
                  <c:v>11057.400390999999</c:v>
                </c:pt>
                <c:pt idx="145">
                  <c:v>9768.7001949999994</c:v>
                </c:pt>
                <c:pt idx="146">
                  <c:v>9382.6396480000003</c:v>
                </c:pt>
                <c:pt idx="147">
                  <c:v>9537.2998050000006</c:v>
                </c:pt>
                <c:pt idx="148">
                  <c:v>8824.0595699999994</c:v>
                </c:pt>
                <c:pt idx="149">
                  <c:v>9369.3496090000008</c:v>
                </c:pt>
                <c:pt idx="150">
                  <c:v>9202.4501949999994</c:v>
                </c:pt>
                <c:pt idx="151">
                  <c:v>9937.0400389999995</c:v>
                </c:pt>
                <c:pt idx="152">
                  <c:v>10228.919921999999</c:v>
                </c:pt>
                <c:pt idx="153">
                  <c:v>10237.919921999999</c:v>
                </c:pt>
                <c:pt idx="154">
                  <c:v>10624.089844</c:v>
                </c:pt>
                <c:pt idx="155">
                  <c:v>9755.0996090000008</c:v>
                </c:pt>
                <c:pt idx="156">
                  <c:v>9849.7402340000008</c:v>
                </c:pt>
                <c:pt idx="157">
                  <c:v>9693.7304690000001</c:v>
                </c:pt>
                <c:pt idx="158">
                  <c:v>9816.0898440000001</c:v>
                </c:pt>
                <c:pt idx="159">
                  <c:v>9833.0302730000003</c:v>
                </c:pt>
                <c:pt idx="160">
                  <c:v>8955.2001949999994</c:v>
                </c:pt>
                <c:pt idx="161">
                  <c:v>8700.2900389999995</c:v>
                </c:pt>
                <c:pt idx="162">
                  <c:v>8988.3896480000003</c:v>
                </c:pt>
                <c:pt idx="163">
                  <c:v>8434.6103519999997</c:v>
                </c:pt>
                <c:pt idx="164">
                  <c:v>8455.3496090000008</c:v>
                </c:pt>
                <c:pt idx="165">
                  <c:v>8802.5097659999992</c:v>
                </c:pt>
                <c:pt idx="166">
                  <c:v>9723.2402340000008</c:v>
                </c:pt>
                <c:pt idx="167">
                  <c:v>10083.559569999999</c:v>
                </c:pt>
                <c:pt idx="168">
                  <c:v>9520.8896480000003</c:v>
                </c:pt>
                <c:pt idx="169">
                  <c:v>8542.7304690000001</c:v>
                </c:pt>
                <c:pt idx="170">
                  <c:v>9006.7802730000003</c:v>
                </c:pt>
                <c:pt idx="171">
                  <c:v>8695.0595699999994</c:v>
                </c:pt>
                <c:pt idx="172">
                  <c:v>8839.9101559999999</c:v>
                </c:pt>
                <c:pt idx="173">
                  <c:v>8870.1601559999999</c:v>
                </c:pt>
                <c:pt idx="174">
                  <c:v>8928.2900389999995</c:v>
                </c:pt>
                <c:pt idx="175">
                  <c:v>9446.0097659999992</c:v>
                </c:pt>
                <c:pt idx="176">
                  <c:v>10395.179688</c:v>
                </c:pt>
                <c:pt idx="177">
                  <c:v>11138.660156</c:v>
                </c:pt>
                <c:pt idx="178">
                  <c:v>11559.360352</c:v>
                </c:pt>
                <c:pt idx="179">
                  <c:v>12397.910156</c:v>
                </c:pt>
                <c:pt idx="180">
                  <c:v>13860.860352</c:v>
                </c:pt>
                <c:pt idx="181">
                  <c:v>13774.540039</c:v>
                </c:pt>
                <c:pt idx="182">
                  <c:v>13677.320313</c:v>
                </c:pt>
                <c:pt idx="183">
                  <c:v>13668.320313</c:v>
                </c:pt>
                <c:pt idx="184">
                  <c:v>13388.860352</c:v>
                </c:pt>
                <c:pt idx="185">
                  <c:v>14455.799805000001</c:v>
                </c:pt>
                <c:pt idx="186">
                  <c:v>14327.940430000001</c:v>
                </c:pt>
                <c:pt idx="187">
                  <c:v>15661.870117</c:v>
                </c:pt>
                <c:pt idx="188">
                  <c:v>16291.309569999999</c:v>
                </c:pt>
                <c:pt idx="189">
                  <c:v>14914.530273</c:v>
                </c:pt>
                <c:pt idx="190">
                  <c:v>14841.070313</c:v>
                </c:pt>
                <c:pt idx="191">
                  <c:v>14827.830078000001</c:v>
                </c:pt>
                <c:pt idx="192">
                  <c:v>14304.110352</c:v>
                </c:pt>
                <c:pt idx="193">
                  <c:v>14632.379883</c:v>
                </c:pt>
                <c:pt idx="194">
                  <c:v>15162.099609000001</c:v>
                </c:pt>
                <c:pt idx="195">
                  <c:v>15620.769531</c:v>
                </c:pt>
                <c:pt idx="196">
                  <c:v>15424.589844</c:v>
                </c:pt>
                <c:pt idx="197">
                  <c:v>16173.519531</c:v>
                </c:pt>
                <c:pt idx="198">
                  <c:v>16413.759765999999</c:v>
                </c:pt>
                <c:pt idx="199">
                  <c:v>17459.849609000001</c:v>
                </c:pt>
                <c:pt idx="200">
                  <c:v>17450.769531000002</c:v>
                </c:pt>
                <c:pt idx="201">
                  <c:v>17674.390625</c:v>
                </c:pt>
                <c:pt idx="202">
                  <c:v>18797.939452999999</c:v>
                </c:pt>
                <c:pt idx="203">
                  <c:v>19206.990234000001</c:v>
                </c:pt>
                <c:pt idx="204">
                  <c:v>19520.009765999999</c:v>
                </c:pt>
                <c:pt idx="205">
                  <c:v>20563.150390999999</c:v>
                </c:pt>
                <c:pt idx="206">
                  <c:v>20235.730468999998</c:v>
                </c:pt>
                <c:pt idx="207">
                  <c:v>20585.240234000001</c:v>
                </c:pt>
                <c:pt idx="208">
                  <c:v>18890.480468999998</c:v>
                </c:pt>
                <c:pt idx="209">
                  <c:v>17388.150390999999</c:v>
                </c:pt>
                <c:pt idx="210">
                  <c:v>19083.099609000001</c:v>
                </c:pt>
                <c:pt idx="211">
                  <c:v>19747.470702999999</c:v>
                </c:pt>
                <c:pt idx="212">
                  <c:v>19033.710938</c:v>
                </c:pt>
                <c:pt idx="213">
                  <c:v>17518.300781000002</c:v>
                </c:pt>
                <c:pt idx="214">
                  <c:v>16026.759765999999</c:v>
                </c:pt>
                <c:pt idx="215">
                  <c:v>16758.669922000001</c:v>
                </c:pt>
                <c:pt idx="216">
                  <c:v>16666.050781000002</c:v>
                </c:pt>
                <c:pt idx="217">
                  <c:v>17234.980468999998</c:v>
                </c:pt>
                <c:pt idx="218">
                  <c:v>15575.919921999999</c:v>
                </c:pt>
                <c:pt idx="219">
                  <c:v>16569.269531000002</c:v>
                </c:pt>
                <c:pt idx="220">
                  <c:v>16887.400390999999</c:v>
                </c:pt>
                <c:pt idx="221">
                  <c:v>16449.839843999998</c:v>
                </c:pt>
                <c:pt idx="222">
                  <c:v>17425.019531000002</c:v>
                </c:pt>
                <c:pt idx="223">
                  <c:v>18308.480468999998</c:v>
                </c:pt>
                <c:pt idx="224">
                  <c:v>19114.369140999999</c:v>
                </c:pt>
                <c:pt idx="225">
                  <c:v>19041.339843999998</c:v>
                </c:pt>
                <c:pt idx="226">
                  <c:v>19118.990234000001</c:v>
                </c:pt>
                <c:pt idx="227">
                  <c:v>18909.259765999999</c:v>
                </c:pt>
                <c:pt idx="228">
                  <c:v>19196.740234000001</c:v>
                </c:pt>
                <c:pt idx="229">
                  <c:v>19650.570313</c:v>
                </c:pt>
                <c:pt idx="230">
                  <c:v>20033.429688</c:v>
                </c:pt>
                <c:pt idx="231">
                  <c:v>19925.179688</c:v>
                </c:pt>
                <c:pt idx="232">
                  <c:v>19646.240234000001</c:v>
                </c:pt>
                <c:pt idx="233">
                  <c:v>20356.279297000001</c:v>
                </c:pt>
                <c:pt idx="234">
                  <c:v>22011.609375</c:v>
                </c:pt>
                <c:pt idx="235">
                  <c:v>22724.960938</c:v>
                </c:pt>
                <c:pt idx="236">
                  <c:v>22764.939452999999</c:v>
                </c:pt>
                <c:pt idx="237">
                  <c:v>23098.289063</c:v>
                </c:pt>
                <c:pt idx="238">
                  <c:v>22068.240234000001</c:v>
                </c:pt>
                <c:pt idx="239">
                  <c:v>21454.300781000002</c:v>
                </c:pt>
                <c:pt idx="240">
                  <c:v>22467.869140999999</c:v>
                </c:pt>
                <c:pt idx="241">
                  <c:v>22201.820313</c:v>
                </c:pt>
                <c:pt idx="242">
                  <c:v>22304.509765999999</c:v>
                </c:pt>
                <c:pt idx="243">
                  <c:v>22553.720702999999</c:v>
                </c:pt>
                <c:pt idx="244">
                  <c:v>22865.150390999999</c:v>
                </c:pt>
                <c:pt idx="245">
                  <c:v>24120.039063</c:v>
                </c:pt>
                <c:pt idx="246">
                  <c:v>21920.460938</c:v>
                </c:pt>
                <c:pt idx="247">
                  <c:v>22351.060547000001</c:v>
                </c:pt>
                <c:pt idx="248">
                  <c:v>20014.769531000002</c:v>
                </c:pt>
                <c:pt idx="249">
                  <c:v>20773.490234000001</c:v>
                </c:pt>
                <c:pt idx="250">
                  <c:v>21385.160156000002</c:v>
                </c:pt>
                <c:pt idx="251">
                  <c:v>21205.810547000001</c:v>
                </c:pt>
                <c:pt idx="252">
                  <c:v>22258.730468999998</c:v>
                </c:pt>
                <c:pt idx="253">
                  <c:v>20601.189452999999</c:v>
                </c:pt>
                <c:pt idx="254">
                  <c:v>21275.919922000001</c:v>
                </c:pt>
                <c:pt idx="255">
                  <c:v>21521.529297000001</c:v>
                </c:pt>
                <c:pt idx="256">
                  <c:v>20704.369140999999</c:v>
                </c:pt>
                <c:pt idx="257">
                  <c:v>21755.839843999998</c:v>
                </c:pt>
                <c:pt idx="258">
                  <c:v>22927.039063</c:v>
                </c:pt>
                <c:pt idx="259">
                  <c:v>23293.910156000002</c:v>
                </c:pt>
                <c:pt idx="260">
                  <c:v>23656.619140999999</c:v>
                </c:pt>
                <c:pt idx="261">
                  <c:v>23205.179688</c:v>
                </c:pt>
                <c:pt idx="262">
                  <c:v>21142.960938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E6-44FE-9AEF-01B5661C7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1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8B-42B5-87F5-AB3D4F4DF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'BOJ Balance Sheet'!$C$5</c15:sqref>
                        </c15:formulaRef>
                      </c:ext>
                    </c:extLst>
                    <c:strCache>
                      <c:ptCount val="1"/>
                      <c:pt idx="0">
                        <c:v>Nikkei 225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'BOJ Balance Sheet'!$A$6:$A$286</c15:sqref>
                        </c15:formulaRef>
                      </c:ext>
                    </c:extLst>
                    <c:numCache>
                      <c:formatCode>yyyy\-mm\-dd</c:formatCode>
                      <c:ptCount val="281"/>
                      <c:pt idx="0">
                        <c:v>35886</c:v>
                      </c:pt>
                      <c:pt idx="1">
                        <c:v>35916</c:v>
                      </c:pt>
                      <c:pt idx="2">
                        <c:v>35947</c:v>
                      </c:pt>
                      <c:pt idx="3">
                        <c:v>35977</c:v>
                      </c:pt>
                      <c:pt idx="4">
                        <c:v>36008</c:v>
                      </c:pt>
                      <c:pt idx="5">
                        <c:v>36039</c:v>
                      </c:pt>
                      <c:pt idx="6">
                        <c:v>36069</c:v>
                      </c:pt>
                      <c:pt idx="7">
                        <c:v>36100</c:v>
                      </c:pt>
                      <c:pt idx="8">
                        <c:v>36130</c:v>
                      </c:pt>
                      <c:pt idx="9">
                        <c:v>36161</c:v>
                      </c:pt>
                      <c:pt idx="10">
                        <c:v>36192</c:v>
                      </c:pt>
                      <c:pt idx="11">
                        <c:v>36220</c:v>
                      </c:pt>
                      <c:pt idx="12">
                        <c:v>36251</c:v>
                      </c:pt>
                      <c:pt idx="13">
                        <c:v>36281</c:v>
                      </c:pt>
                      <c:pt idx="14">
                        <c:v>36312</c:v>
                      </c:pt>
                      <c:pt idx="15">
                        <c:v>36342</c:v>
                      </c:pt>
                      <c:pt idx="16">
                        <c:v>36373</c:v>
                      </c:pt>
                      <c:pt idx="17">
                        <c:v>36404</c:v>
                      </c:pt>
                      <c:pt idx="18">
                        <c:v>36434</c:v>
                      </c:pt>
                      <c:pt idx="19">
                        <c:v>36465</c:v>
                      </c:pt>
                      <c:pt idx="20">
                        <c:v>36495</c:v>
                      </c:pt>
                      <c:pt idx="21">
                        <c:v>36526</c:v>
                      </c:pt>
                      <c:pt idx="22">
                        <c:v>36557</c:v>
                      </c:pt>
                      <c:pt idx="23">
                        <c:v>36586</c:v>
                      </c:pt>
                      <c:pt idx="24">
                        <c:v>36617</c:v>
                      </c:pt>
                      <c:pt idx="25">
                        <c:v>36647</c:v>
                      </c:pt>
                      <c:pt idx="26">
                        <c:v>36678</c:v>
                      </c:pt>
                      <c:pt idx="27">
                        <c:v>36708</c:v>
                      </c:pt>
                      <c:pt idx="28">
                        <c:v>36739</c:v>
                      </c:pt>
                      <c:pt idx="29">
                        <c:v>36770</c:v>
                      </c:pt>
                      <c:pt idx="30">
                        <c:v>36800</c:v>
                      </c:pt>
                      <c:pt idx="31">
                        <c:v>36831</c:v>
                      </c:pt>
                      <c:pt idx="32">
                        <c:v>36861</c:v>
                      </c:pt>
                      <c:pt idx="33">
                        <c:v>36892</c:v>
                      </c:pt>
                      <c:pt idx="34">
                        <c:v>36923</c:v>
                      </c:pt>
                      <c:pt idx="35">
                        <c:v>36951</c:v>
                      </c:pt>
                      <c:pt idx="36">
                        <c:v>36982</c:v>
                      </c:pt>
                      <c:pt idx="37">
                        <c:v>37012</c:v>
                      </c:pt>
                      <c:pt idx="38">
                        <c:v>37043</c:v>
                      </c:pt>
                      <c:pt idx="39">
                        <c:v>37073</c:v>
                      </c:pt>
                      <c:pt idx="40">
                        <c:v>37104</c:v>
                      </c:pt>
                      <c:pt idx="41">
                        <c:v>37135</c:v>
                      </c:pt>
                      <c:pt idx="42">
                        <c:v>37165</c:v>
                      </c:pt>
                      <c:pt idx="43">
                        <c:v>37196</c:v>
                      </c:pt>
                      <c:pt idx="44">
                        <c:v>37226</c:v>
                      </c:pt>
                      <c:pt idx="45">
                        <c:v>37257</c:v>
                      </c:pt>
                      <c:pt idx="46">
                        <c:v>37288</c:v>
                      </c:pt>
                      <c:pt idx="47">
                        <c:v>37316</c:v>
                      </c:pt>
                      <c:pt idx="48">
                        <c:v>37347</c:v>
                      </c:pt>
                      <c:pt idx="49">
                        <c:v>37377</c:v>
                      </c:pt>
                      <c:pt idx="50">
                        <c:v>37408</c:v>
                      </c:pt>
                      <c:pt idx="51">
                        <c:v>37438</c:v>
                      </c:pt>
                      <c:pt idx="52">
                        <c:v>37469</c:v>
                      </c:pt>
                      <c:pt idx="53">
                        <c:v>37500</c:v>
                      </c:pt>
                      <c:pt idx="54">
                        <c:v>37530</c:v>
                      </c:pt>
                      <c:pt idx="55">
                        <c:v>37561</c:v>
                      </c:pt>
                      <c:pt idx="56">
                        <c:v>37591</c:v>
                      </c:pt>
                      <c:pt idx="57">
                        <c:v>37622</c:v>
                      </c:pt>
                      <c:pt idx="58">
                        <c:v>37653</c:v>
                      </c:pt>
                      <c:pt idx="59">
                        <c:v>37681</c:v>
                      </c:pt>
                      <c:pt idx="60">
                        <c:v>37712</c:v>
                      </c:pt>
                      <c:pt idx="61">
                        <c:v>37742</c:v>
                      </c:pt>
                      <c:pt idx="62">
                        <c:v>37773</c:v>
                      </c:pt>
                      <c:pt idx="63">
                        <c:v>37803</c:v>
                      </c:pt>
                      <c:pt idx="64">
                        <c:v>37834</c:v>
                      </c:pt>
                      <c:pt idx="65">
                        <c:v>37865</c:v>
                      </c:pt>
                      <c:pt idx="66">
                        <c:v>37895</c:v>
                      </c:pt>
                      <c:pt idx="67">
                        <c:v>37926</c:v>
                      </c:pt>
                      <c:pt idx="68">
                        <c:v>37956</c:v>
                      </c:pt>
                      <c:pt idx="69">
                        <c:v>37987</c:v>
                      </c:pt>
                      <c:pt idx="70">
                        <c:v>38018</c:v>
                      </c:pt>
                      <c:pt idx="71">
                        <c:v>38047</c:v>
                      </c:pt>
                      <c:pt idx="72">
                        <c:v>38078</c:v>
                      </c:pt>
                      <c:pt idx="73">
                        <c:v>38108</c:v>
                      </c:pt>
                      <c:pt idx="74">
                        <c:v>38139</c:v>
                      </c:pt>
                      <c:pt idx="75">
                        <c:v>38169</c:v>
                      </c:pt>
                      <c:pt idx="76">
                        <c:v>38200</c:v>
                      </c:pt>
                      <c:pt idx="77">
                        <c:v>38231</c:v>
                      </c:pt>
                      <c:pt idx="78">
                        <c:v>38261</c:v>
                      </c:pt>
                      <c:pt idx="79">
                        <c:v>38292</c:v>
                      </c:pt>
                      <c:pt idx="80">
                        <c:v>38322</c:v>
                      </c:pt>
                      <c:pt idx="81">
                        <c:v>38353</c:v>
                      </c:pt>
                      <c:pt idx="82">
                        <c:v>38384</c:v>
                      </c:pt>
                      <c:pt idx="83">
                        <c:v>38412</c:v>
                      </c:pt>
                      <c:pt idx="84">
                        <c:v>38443</c:v>
                      </c:pt>
                      <c:pt idx="85">
                        <c:v>38473</c:v>
                      </c:pt>
                      <c:pt idx="86">
                        <c:v>38504</c:v>
                      </c:pt>
                      <c:pt idx="87">
                        <c:v>38534</c:v>
                      </c:pt>
                      <c:pt idx="88">
                        <c:v>38565</c:v>
                      </c:pt>
                      <c:pt idx="89">
                        <c:v>38596</c:v>
                      </c:pt>
                      <c:pt idx="90">
                        <c:v>38626</c:v>
                      </c:pt>
                      <c:pt idx="91">
                        <c:v>38657</c:v>
                      </c:pt>
                      <c:pt idx="92">
                        <c:v>38687</c:v>
                      </c:pt>
                      <c:pt idx="93">
                        <c:v>38718</c:v>
                      </c:pt>
                      <c:pt idx="94">
                        <c:v>38749</c:v>
                      </c:pt>
                      <c:pt idx="95">
                        <c:v>38777</c:v>
                      </c:pt>
                      <c:pt idx="96">
                        <c:v>38808</c:v>
                      </c:pt>
                      <c:pt idx="97">
                        <c:v>38838</c:v>
                      </c:pt>
                      <c:pt idx="98">
                        <c:v>38869</c:v>
                      </c:pt>
                      <c:pt idx="99">
                        <c:v>38899</c:v>
                      </c:pt>
                      <c:pt idx="100">
                        <c:v>38930</c:v>
                      </c:pt>
                      <c:pt idx="101">
                        <c:v>38961</c:v>
                      </c:pt>
                      <c:pt idx="102">
                        <c:v>38991</c:v>
                      </c:pt>
                      <c:pt idx="103">
                        <c:v>39022</c:v>
                      </c:pt>
                      <c:pt idx="104">
                        <c:v>39052</c:v>
                      </c:pt>
                      <c:pt idx="105">
                        <c:v>39083</c:v>
                      </c:pt>
                      <c:pt idx="106">
                        <c:v>39114</c:v>
                      </c:pt>
                      <c:pt idx="107">
                        <c:v>39142</c:v>
                      </c:pt>
                      <c:pt idx="108">
                        <c:v>39173</c:v>
                      </c:pt>
                      <c:pt idx="109">
                        <c:v>39203</c:v>
                      </c:pt>
                      <c:pt idx="110">
                        <c:v>39234</c:v>
                      </c:pt>
                      <c:pt idx="111">
                        <c:v>39264</c:v>
                      </c:pt>
                      <c:pt idx="112">
                        <c:v>39295</c:v>
                      </c:pt>
                      <c:pt idx="113">
                        <c:v>39326</c:v>
                      </c:pt>
                      <c:pt idx="114">
                        <c:v>39356</c:v>
                      </c:pt>
                      <c:pt idx="115">
                        <c:v>39387</c:v>
                      </c:pt>
                      <c:pt idx="116">
                        <c:v>39417</c:v>
                      </c:pt>
                      <c:pt idx="117">
                        <c:v>39448</c:v>
                      </c:pt>
                      <c:pt idx="118">
                        <c:v>39479</c:v>
                      </c:pt>
                      <c:pt idx="119">
                        <c:v>39508</c:v>
                      </c:pt>
                      <c:pt idx="120">
                        <c:v>39539</c:v>
                      </c:pt>
                      <c:pt idx="121">
                        <c:v>39569</c:v>
                      </c:pt>
                      <c:pt idx="122">
                        <c:v>39600</c:v>
                      </c:pt>
                      <c:pt idx="123">
                        <c:v>39630</c:v>
                      </c:pt>
                      <c:pt idx="124">
                        <c:v>39661</c:v>
                      </c:pt>
                      <c:pt idx="125">
                        <c:v>39692</c:v>
                      </c:pt>
                      <c:pt idx="126">
                        <c:v>39722</c:v>
                      </c:pt>
                      <c:pt idx="127">
                        <c:v>39753</c:v>
                      </c:pt>
                      <c:pt idx="128">
                        <c:v>39783</c:v>
                      </c:pt>
                      <c:pt idx="129">
                        <c:v>39814</c:v>
                      </c:pt>
                      <c:pt idx="130">
                        <c:v>39845</c:v>
                      </c:pt>
                      <c:pt idx="131">
                        <c:v>39873</c:v>
                      </c:pt>
                      <c:pt idx="132">
                        <c:v>39904</c:v>
                      </c:pt>
                      <c:pt idx="133">
                        <c:v>39934</c:v>
                      </c:pt>
                      <c:pt idx="134">
                        <c:v>39965</c:v>
                      </c:pt>
                      <c:pt idx="135">
                        <c:v>39995</c:v>
                      </c:pt>
                      <c:pt idx="136">
                        <c:v>40026</c:v>
                      </c:pt>
                      <c:pt idx="137">
                        <c:v>40057</c:v>
                      </c:pt>
                      <c:pt idx="138">
                        <c:v>40087</c:v>
                      </c:pt>
                      <c:pt idx="139">
                        <c:v>40118</c:v>
                      </c:pt>
                      <c:pt idx="140">
                        <c:v>40148</c:v>
                      </c:pt>
                      <c:pt idx="141">
                        <c:v>40179</c:v>
                      </c:pt>
                      <c:pt idx="142">
                        <c:v>40210</c:v>
                      </c:pt>
                      <c:pt idx="143">
                        <c:v>40238</c:v>
                      </c:pt>
                      <c:pt idx="144">
                        <c:v>40269</c:v>
                      </c:pt>
                      <c:pt idx="145">
                        <c:v>40299</c:v>
                      </c:pt>
                      <c:pt idx="146">
                        <c:v>40330</c:v>
                      </c:pt>
                      <c:pt idx="147">
                        <c:v>40360</c:v>
                      </c:pt>
                      <c:pt idx="148">
                        <c:v>40391</c:v>
                      </c:pt>
                      <c:pt idx="149">
                        <c:v>40422</c:v>
                      </c:pt>
                      <c:pt idx="150">
                        <c:v>40452</c:v>
                      </c:pt>
                      <c:pt idx="151">
                        <c:v>40483</c:v>
                      </c:pt>
                      <c:pt idx="152">
                        <c:v>40513</c:v>
                      </c:pt>
                      <c:pt idx="153">
                        <c:v>40544</c:v>
                      </c:pt>
                      <c:pt idx="154">
                        <c:v>40575</c:v>
                      </c:pt>
                      <c:pt idx="155">
                        <c:v>40603</c:v>
                      </c:pt>
                      <c:pt idx="156">
                        <c:v>40634</c:v>
                      </c:pt>
                      <c:pt idx="157">
                        <c:v>40664</c:v>
                      </c:pt>
                      <c:pt idx="158">
                        <c:v>40695</c:v>
                      </c:pt>
                      <c:pt idx="159">
                        <c:v>40725</c:v>
                      </c:pt>
                      <c:pt idx="160">
                        <c:v>40756</c:v>
                      </c:pt>
                      <c:pt idx="161">
                        <c:v>40787</c:v>
                      </c:pt>
                      <c:pt idx="162">
                        <c:v>40817</c:v>
                      </c:pt>
                      <c:pt idx="163">
                        <c:v>40848</c:v>
                      </c:pt>
                      <c:pt idx="164">
                        <c:v>40878</c:v>
                      </c:pt>
                      <c:pt idx="165">
                        <c:v>40909</c:v>
                      </c:pt>
                      <c:pt idx="166">
                        <c:v>40940</c:v>
                      </c:pt>
                      <c:pt idx="167">
                        <c:v>40969</c:v>
                      </c:pt>
                      <c:pt idx="168">
                        <c:v>41000</c:v>
                      </c:pt>
                      <c:pt idx="169">
                        <c:v>41030</c:v>
                      </c:pt>
                      <c:pt idx="170">
                        <c:v>41061</c:v>
                      </c:pt>
                      <c:pt idx="171">
                        <c:v>41091</c:v>
                      </c:pt>
                      <c:pt idx="172">
                        <c:v>41122</c:v>
                      </c:pt>
                      <c:pt idx="173">
                        <c:v>41153</c:v>
                      </c:pt>
                      <c:pt idx="174">
                        <c:v>41183</c:v>
                      </c:pt>
                      <c:pt idx="175">
                        <c:v>41214</c:v>
                      </c:pt>
                      <c:pt idx="176">
                        <c:v>41244</c:v>
                      </c:pt>
                      <c:pt idx="177">
                        <c:v>41275</c:v>
                      </c:pt>
                      <c:pt idx="178">
                        <c:v>41306</c:v>
                      </c:pt>
                      <c:pt idx="179">
                        <c:v>41334</c:v>
                      </c:pt>
                      <c:pt idx="180">
                        <c:v>41365</c:v>
                      </c:pt>
                      <c:pt idx="181">
                        <c:v>41395</c:v>
                      </c:pt>
                      <c:pt idx="182">
                        <c:v>41426</c:v>
                      </c:pt>
                      <c:pt idx="183">
                        <c:v>41456</c:v>
                      </c:pt>
                      <c:pt idx="184">
                        <c:v>41487</c:v>
                      </c:pt>
                      <c:pt idx="185">
                        <c:v>41518</c:v>
                      </c:pt>
                      <c:pt idx="186">
                        <c:v>41548</c:v>
                      </c:pt>
                      <c:pt idx="187">
                        <c:v>41579</c:v>
                      </c:pt>
                      <c:pt idx="188">
                        <c:v>41609</c:v>
                      </c:pt>
                      <c:pt idx="189">
                        <c:v>41640</c:v>
                      </c:pt>
                      <c:pt idx="190">
                        <c:v>41671</c:v>
                      </c:pt>
                      <c:pt idx="191">
                        <c:v>41699</c:v>
                      </c:pt>
                      <c:pt idx="192">
                        <c:v>41730</c:v>
                      </c:pt>
                      <c:pt idx="193">
                        <c:v>41760</c:v>
                      </c:pt>
                      <c:pt idx="194">
                        <c:v>41791</c:v>
                      </c:pt>
                      <c:pt idx="195">
                        <c:v>41821</c:v>
                      </c:pt>
                      <c:pt idx="196">
                        <c:v>41852</c:v>
                      </c:pt>
                      <c:pt idx="197">
                        <c:v>41883</c:v>
                      </c:pt>
                      <c:pt idx="198">
                        <c:v>41913</c:v>
                      </c:pt>
                      <c:pt idx="199">
                        <c:v>41944</c:v>
                      </c:pt>
                      <c:pt idx="200">
                        <c:v>41974</c:v>
                      </c:pt>
                      <c:pt idx="201">
                        <c:v>42005</c:v>
                      </c:pt>
                      <c:pt idx="202">
                        <c:v>42036</c:v>
                      </c:pt>
                      <c:pt idx="203">
                        <c:v>42064</c:v>
                      </c:pt>
                      <c:pt idx="204">
                        <c:v>42095</c:v>
                      </c:pt>
                      <c:pt idx="205">
                        <c:v>42125</c:v>
                      </c:pt>
                      <c:pt idx="206">
                        <c:v>42156</c:v>
                      </c:pt>
                      <c:pt idx="207">
                        <c:v>42186</c:v>
                      </c:pt>
                      <c:pt idx="208">
                        <c:v>42217</c:v>
                      </c:pt>
                      <c:pt idx="209">
                        <c:v>42248</c:v>
                      </c:pt>
                      <c:pt idx="210">
                        <c:v>42278</c:v>
                      </c:pt>
                      <c:pt idx="211">
                        <c:v>42309</c:v>
                      </c:pt>
                      <c:pt idx="212">
                        <c:v>42339</c:v>
                      </c:pt>
                      <c:pt idx="213">
                        <c:v>42370</c:v>
                      </c:pt>
                      <c:pt idx="214">
                        <c:v>42401</c:v>
                      </c:pt>
                      <c:pt idx="215">
                        <c:v>42430</c:v>
                      </c:pt>
                      <c:pt idx="216">
                        <c:v>42461</c:v>
                      </c:pt>
                      <c:pt idx="217">
                        <c:v>42491</c:v>
                      </c:pt>
                      <c:pt idx="218">
                        <c:v>42522</c:v>
                      </c:pt>
                      <c:pt idx="219">
                        <c:v>42552</c:v>
                      </c:pt>
                      <c:pt idx="220">
                        <c:v>42583</c:v>
                      </c:pt>
                      <c:pt idx="221">
                        <c:v>42614</c:v>
                      </c:pt>
                      <c:pt idx="222">
                        <c:v>42644</c:v>
                      </c:pt>
                      <c:pt idx="223">
                        <c:v>42675</c:v>
                      </c:pt>
                      <c:pt idx="224">
                        <c:v>42705</c:v>
                      </c:pt>
                      <c:pt idx="225">
                        <c:v>42736</c:v>
                      </c:pt>
                      <c:pt idx="226">
                        <c:v>42767</c:v>
                      </c:pt>
                      <c:pt idx="227">
                        <c:v>42795</c:v>
                      </c:pt>
                      <c:pt idx="228">
                        <c:v>42826</c:v>
                      </c:pt>
                      <c:pt idx="229">
                        <c:v>42856</c:v>
                      </c:pt>
                      <c:pt idx="230">
                        <c:v>42887</c:v>
                      </c:pt>
                      <c:pt idx="231">
                        <c:v>42917</c:v>
                      </c:pt>
                      <c:pt idx="232">
                        <c:v>42948</c:v>
                      </c:pt>
                      <c:pt idx="233">
                        <c:v>42979</c:v>
                      </c:pt>
                      <c:pt idx="234">
                        <c:v>43009</c:v>
                      </c:pt>
                      <c:pt idx="235">
                        <c:v>43040</c:v>
                      </c:pt>
                      <c:pt idx="236">
                        <c:v>43070</c:v>
                      </c:pt>
                      <c:pt idx="237">
                        <c:v>43101</c:v>
                      </c:pt>
                      <c:pt idx="238">
                        <c:v>43132</c:v>
                      </c:pt>
                      <c:pt idx="239">
                        <c:v>43160</c:v>
                      </c:pt>
                      <c:pt idx="240">
                        <c:v>43191</c:v>
                      </c:pt>
                      <c:pt idx="241">
                        <c:v>43221</c:v>
                      </c:pt>
                      <c:pt idx="242">
                        <c:v>43252</c:v>
                      </c:pt>
                      <c:pt idx="243">
                        <c:v>43282</c:v>
                      </c:pt>
                      <c:pt idx="244">
                        <c:v>43313</c:v>
                      </c:pt>
                      <c:pt idx="245">
                        <c:v>43344</c:v>
                      </c:pt>
                      <c:pt idx="246">
                        <c:v>43374</c:v>
                      </c:pt>
                      <c:pt idx="247">
                        <c:v>43405</c:v>
                      </c:pt>
                      <c:pt idx="248">
                        <c:v>43435</c:v>
                      </c:pt>
                      <c:pt idx="249">
                        <c:v>43466</c:v>
                      </c:pt>
                      <c:pt idx="250">
                        <c:v>43497</c:v>
                      </c:pt>
                      <c:pt idx="251">
                        <c:v>43525</c:v>
                      </c:pt>
                      <c:pt idx="252">
                        <c:v>43556</c:v>
                      </c:pt>
                      <c:pt idx="253">
                        <c:v>43586</c:v>
                      </c:pt>
                      <c:pt idx="254">
                        <c:v>43617</c:v>
                      </c:pt>
                      <c:pt idx="255">
                        <c:v>43647</c:v>
                      </c:pt>
                      <c:pt idx="256">
                        <c:v>43678</c:v>
                      </c:pt>
                      <c:pt idx="257">
                        <c:v>43709</c:v>
                      </c:pt>
                      <c:pt idx="258">
                        <c:v>43739</c:v>
                      </c:pt>
                      <c:pt idx="259">
                        <c:v>43770</c:v>
                      </c:pt>
                      <c:pt idx="260">
                        <c:v>43800</c:v>
                      </c:pt>
                      <c:pt idx="261">
                        <c:v>43831</c:v>
                      </c:pt>
                      <c:pt idx="262">
                        <c:v>43862</c:v>
                      </c:pt>
                      <c:pt idx="263">
                        <c:v>43891</c:v>
                      </c:pt>
                      <c:pt idx="264">
                        <c:v>43922</c:v>
                      </c:pt>
                      <c:pt idx="265">
                        <c:v>43952</c:v>
                      </c:pt>
                      <c:pt idx="266">
                        <c:v>43983</c:v>
                      </c:pt>
                      <c:pt idx="267">
                        <c:v>44013</c:v>
                      </c:pt>
                      <c:pt idx="268">
                        <c:v>44044</c:v>
                      </c:pt>
                      <c:pt idx="269">
                        <c:v>44075</c:v>
                      </c:pt>
                      <c:pt idx="270">
                        <c:v>44105</c:v>
                      </c:pt>
                      <c:pt idx="271">
                        <c:v>44136</c:v>
                      </c:pt>
                      <c:pt idx="272">
                        <c:v>44166</c:v>
                      </c:pt>
                      <c:pt idx="273">
                        <c:v>44197</c:v>
                      </c:pt>
                      <c:pt idx="274">
                        <c:v>44228</c:v>
                      </c:pt>
                      <c:pt idx="275">
                        <c:v>44256</c:v>
                      </c:pt>
                      <c:pt idx="276">
                        <c:v>44287</c:v>
                      </c:pt>
                      <c:pt idx="277">
                        <c:v>44317</c:v>
                      </c:pt>
                      <c:pt idx="278">
                        <c:v>44348</c:v>
                      </c:pt>
                      <c:pt idx="279">
                        <c:v>44378</c:v>
                      </c:pt>
                      <c:pt idx="280">
                        <c:v>44409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'BOJ Balance Sheet'!$C$6:$C$286</c15:sqref>
                        </c15:formulaRef>
                      </c:ext>
                    </c:extLst>
                    <c:numCache>
                      <c:formatCode>General</c:formatCode>
                      <c:ptCount val="281"/>
                      <c:pt idx="0">
                        <c:v>15641.259765999999</c:v>
                      </c:pt>
                      <c:pt idx="1">
                        <c:v>15670.780273</c:v>
                      </c:pt>
                      <c:pt idx="2">
                        <c:v>15830.269531</c:v>
                      </c:pt>
                      <c:pt idx="3">
                        <c:v>16378.969727</c:v>
                      </c:pt>
                      <c:pt idx="4">
                        <c:v>14107.889648</c:v>
                      </c:pt>
                      <c:pt idx="5">
                        <c:v>13406.389648</c:v>
                      </c:pt>
                      <c:pt idx="6">
                        <c:v>13564.509765999999</c:v>
                      </c:pt>
                      <c:pt idx="7">
                        <c:v>14883.700194999999</c:v>
                      </c:pt>
                      <c:pt idx="8">
                        <c:v>13842.169921999999</c:v>
                      </c:pt>
                      <c:pt idx="9">
                        <c:v>14499.25</c:v>
                      </c:pt>
                      <c:pt idx="10">
                        <c:v>14367.540039</c:v>
                      </c:pt>
                      <c:pt idx="11">
                        <c:v>15836.589844</c:v>
                      </c:pt>
                      <c:pt idx="12">
                        <c:v>16701.529297000001</c:v>
                      </c:pt>
                      <c:pt idx="13">
                        <c:v>16111.650390999999</c:v>
                      </c:pt>
                      <c:pt idx="14">
                        <c:v>17529.740234000001</c:v>
                      </c:pt>
                      <c:pt idx="15">
                        <c:v>17861.859375</c:v>
                      </c:pt>
                      <c:pt idx="16">
                        <c:v>17436.560547000001</c:v>
                      </c:pt>
                      <c:pt idx="17">
                        <c:v>17605.460938</c:v>
                      </c:pt>
                      <c:pt idx="18">
                        <c:v>17942.080077999999</c:v>
                      </c:pt>
                      <c:pt idx="19">
                        <c:v>18558.230468999998</c:v>
                      </c:pt>
                      <c:pt idx="20">
                        <c:v>18934.339843999998</c:v>
                      </c:pt>
                      <c:pt idx="21">
                        <c:v>19539.699218999998</c:v>
                      </c:pt>
                      <c:pt idx="22">
                        <c:v>19959.519531000002</c:v>
                      </c:pt>
                      <c:pt idx="23">
                        <c:v>20337.320313</c:v>
                      </c:pt>
                      <c:pt idx="24">
                        <c:v>17973.699218999998</c:v>
                      </c:pt>
                      <c:pt idx="25">
                        <c:v>16332.450194999999</c:v>
                      </c:pt>
                      <c:pt idx="26">
                        <c:v>17411.050781000002</c:v>
                      </c:pt>
                      <c:pt idx="27">
                        <c:v>15727.490234000001</c:v>
                      </c:pt>
                      <c:pt idx="28">
                        <c:v>16861.259765999999</c:v>
                      </c:pt>
                      <c:pt idx="29">
                        <c:v>15747.259765999999</c:v>
                      </c:pt>
                      <c:pt idx="30">
                        <c:v>14539.599609000001</c:v>
                      </c:pt>
                      <c:pt idx="31">
                        <c:v>14648.509765999999</c:v>
                      </c:pt>
                      <c:pt idx="32">
                        <c:v>13785.690430000001</c:v>
                      </c:pt>
                      <c:pt idx="33">
                        <c:v>13843.549805000001</c:v>
                      </c:pt>
                      <c:pt idx="34">
                        <c:v>12883.540039</c:v>
                      </c:pt>
                      <c:pt idx="35">
                        <c:v>12999.700194999999</c:v>
                      </c:pt>
                      <c:pt idx="36">
                        <c:v>13934.320313</c:v>
                      </c:pt>
                      <c:pt idx="37">
                        <c:v>13262.139648</c:v>
                      </c:pt>
                      <c:pt idx="38">
                        <c:v>12969.049805000001</c:v>
                      </c:pt>
                      <c:pt idx="39">
                        <c:v>11860.769531</c:v>
                      </c:pt>
                      <c:pt idx="40">
                        <c:v>10713.509765999999</c:v>
                      </c:pt>
                      <c:pt idx="41">
                        <c:v>9774.6796880000002</c:v>
                      </c:pt>
                      <c:pt idx="42">
                        <c:v>10366.339844</c:v>
                      </c:pt>
                      <c:pt idx="43">
                        <c:v>10697.440430000001</c:v>
                      </c:pt>
                      <c:pt idx="44">
                        <c:v>10542.620117</c:v>
                      </c:pt>
                      <c:pt idx="45">
                        <c:v>9997.7998050000006</c:v>
                      </c:pt>
                      <c:pt idx="46">
                        <c:v>10587.830078000001</c:v>
                      </c:pt>
                      <c:pt idx="47">
                        <c:v>11024.940430000001</c:v>
                      </c:pt>
                      <c:pt idx="48">
                        <c:v>11492.540039</c:v>
                      </c:pt>
                      <c:pt idx="49">
                        <c:v>11763.700194999999</c:v>
                      </c:pt>
                      <c:pt idx="50">
                        <c:v>10621.839844</c:v>
                      </c:pt>
                      <c:pt idx="51">
                        <c:v>9877.9404300000006</c:v>
                      </c:pt>
                      <c:pt idx="52">
                        <c:v>9619.2998050000006</c:v>
                      </c:pt>
                      <c:pt idx="53">
                        <c:v>9383.2900389999995</c:v>
                      </c:pt>
                      <c:pt idx="54">
                        <c:v>8640.4804690000001</c:v>
                      </c:pt>
                      <c:pt idx="55">
                        <c:v>9215.5595699999994</c:v>
                      </c:pt>
                      <c:pt idx="56">
                        <c:v>8578.9501949999994</c:v>
                      </c:pt>
                      <c:pt idx="57">
                        <c:v>8339.9404300000006</c:v>
                      </c:pt>
                      <c:pt idx="58">
                        <c:v>8363.0400389999995</c:v>
                      </c:pt>
                      <c:pt idx="59">
                        <c:v>7972.7099609999996</c:v>
                      </c:pt>
                      <c:pt idx="60">
                        <c:v>7831.419922</c:v>
                      </c:pt>
                      <c:pt idx="61">
                        <c:v>8424.5097659999992</c:v>
                      </c:pt>
                      <c:pt idx="62">
                        <c:v>9083.1103519999997</c:v>
                      </c:pt>
                      <c:pt idx="63">
                        <c:v>9563.2099610000005</c:v>
                      </c:pt>
                      <c:pt idx="64">
                        <c:v>10343.549805000001</c:v>
                      </c:pt>
                      <c:pt idx="65">
                        <c:v>10219.049805000001</c:v>
                      </c:pt>
                      <c:pt idx="66">
                        <c:v>10559.589844</c:v>
                      </c:pt>
                      <c:pt idx="67">
                        <c:v>10100.570313</c:v>
                      </c:pt>
                      <c:pt idx="68">
                        <c:v>10676.639648</c:v>
                      </c:pt>
                      <c:pt idx="69">
                        <c:v>10783.610352</c:v>
                      </c:pt>
                      <c:pt idx="70">
                        <c:v>11041.919921999999</c:v>
                      </c:pt>
                      <c:pt idx="71">
                        <c:v>11715.389648</c:v>
                      </c:pt>
                      <c:pt idx="72">
                        <c:v>11761.790039</c:v>
                      </c:pt>
                      <c:pt idx="73">
                        <c:v>11236.370117</c:v>
                      </c:pt>
                      <c:pt idx="74">
                        <c:v>11858.870117</c:v>
                      </c:pt>
                      <c:pt idx="75">
                        <c:v>11325.780273</c:v>
                      </c:pt>
                      <c:pt idx="76">
                        <c:v>11081.790039</c:v>
                      </c:pt>
                      <c:pt idx="77">
                        <c:v>10823.570313</c:v>
                      </c:pt>
                      <c:pt idx="78">
                        <c:v>10771.419921999999</c:v>
                      </c:pt>
                      <c:pt idx="79">
                        <c:v>10899.25</c:v>
                      </c:pt>
                      <c:pt idx="80">
                        <c:v>11488.759765999999</c:v>
                      </c:pt>
                      <c:pt idx="81">
                        <c:v>11387.589844</c:v>
                      </c:pt>
                      <c:pt idx="82">
                        <c:v>11740.599609000001</c:v>
                      </c:pt>
                      <c:pt idx="83">
                        <c:v>11668.950194999999</c:v>
                      </c:pt>
                      <c:pt idx="84">
                        <c:v>11008.900390999999</c:v>
                      </c:pt>
                      <c:pt idx="85">
                        <c:v>11276.589844</c:v>
                      </c:pt>
                      <c:pt idx="86">
                        <c:v>11584.009765999999</c:v>
                      </c:pt>
                      <c:pt idx="87">
                        <c:v>11899.599609000001</c:v>
                      </c:pt>
                      <c:pt idx="88">
                        <c:v>12413.599609000001</c:v>
                      </c:pt>
                      <c:pt idx="89">
                        <c:v>13574.299805000001</c:v>
                      </c:pt>
                      <c:pt idx="90">
                        <c:v>13606.5</c:v>
                      </c:pt>
                      <c:pt idx="91">
                        <c:v>14872.150390999999</c:v>
                      </c:pt>
                      <c:pt idx="92">
                        <c:v>16111.429688</c:v>
                      </c:pt>
                      <c:pt idx="93">
                        <c:v>16649.820313</c:v>
                      </c:pt>
                      <c:pt idx="94">
                        <c:v>16205.429688</c:v>
                      </c:pt>
                      <c:pt idx="95">
                        <c:v>17059.660156000002</c:v>
                      </c:pt>
                      <c:pt idx="96">
                        <c:v>16906.230468999998</c:v>
                      </c:pt>
                      <c:pt idx="97">
                        <c:v>15467.330078000001</c:v>
                      </c:pt>
                      <c:pt idx="98">
                        <c:v>15505.179688</c:v>
                      </c:pt>
                      <c:pt idx="99">
                        <c:v>15456.809569999999</c:v>
                      </c:pt>
                      <c:pt idx="100">
                        <c:v>16140.759765999999</c:v>
                      </c:pt>
                      <c:pt idx="101">
                        <c:v>16127.580078000001</c:v>
                      </c:pt>
                      <c:pt idx="102">
                        <c:v>16399.390625</c:v>
                      </c:pt>
                      <c:pt idx="103">
                        <c:v>16274.330078000001</c:v>
                      </c:pt>
                      <c:pt idx="104">
                        <c:v>17225.830077999999</c:v>
                      </c:pt>
                      <c:pt idx="105">
                        <c:v>17383.419922000001</c:v>
                      </c:pt>
                      <c:pt idx="106">
                        <c:v>17604.119140999999</c:v>
                      </c:pt>
                      <c:pt idx="107">
                        <c:v>17287.650390999999</c:v>
                      </c:pt>
                      <c:pt idx="108">
                        <c:v>17400.410156000002</c:v>
                      </c:pt>
                      <c:pt idx="109">
                        <c:v>17875.75</c:v>
                      </c:pt>
                      <c:pt idx="110">
                        <c:v>18138.359375</c:v>
                      </c:pt>
                      <c:pt idx="111">
                        <c:v>17248.890625</c:v>
                      </c:pt>
                      <c:pt idx="112">
                        <c:v>16569.089843999998</c:v>
                      </c:pt>
                      <c:pt idx="113">
                        <c:v>16785.689452999999</c:v>
                      </c:pt>
                      <c:pt idx="114">
                        <c:v>16737.630859000001</c:v>
                      </c:pt>
                      <c:pt idx="115">
                        <c:v>15680.669921999999</c:v>
                      </c:pt>
                      <c:pt idx="116">
                        <c:v>15307.780273</c:v>
                      </c:pt>
                      <c:pt idx="117">
                        <c:v>13592.469727</c:v>
                      </c:pt>
                      <c:pt idx="118">
                        <c:v>13603.019531</c:v>
                      </c:pt>
                      <c:pt idx="119">
                        <c:v>12525.540039</c:v>
                      </c:pt>
                      <c:pt idx="120">
                        <c:v>13849.990234000001</c:v>
                      </c:pt>
                      <c:pt idx="121">
                        <c:v>14338.540039</c:v>
                      </c:pt>
                      <c:pt idx="122">
                        <c:v>13481.379883</c:v>
                      </c:pt>
                      <c:pt idx="123">
                        <c:v>13376.809569999999</c:v>
                      </c:pt>
                      <c:pt idx="124">
                        <c:v>13072.870117</c:v>
                      </c:pt>
                      <c:pt idx="125">
                        <c:v>11259.860352</c:v>
                      </c:pt>
                      <c:pt idx="126">
                        <c:v>8576.9804690000001</c:v>
                      </c:pt>
                      <c:pt idx="127">
                        <c:v>8512.2695309999999</c:v>
                      </c:pt>
                      <c:pt idx="128">
                        <c:v>8859.5595699999994</c:v>
                      </c:pt>
                      <c:pt idx="129">
                        <c:v>7994.0498049999997</c:v>
                      </c:pt>
                      <c:pt idx="130">
                        <c:v>7568.419922</c:v>
                      </c:pt>
                      <c:pt idx="131">
                        <c:v>8109.5297849999997</c:v>
                      </c:pt>
                      <c:pt idx="132">
                        <c:v>8828.2597659999992</c:v>
                      </c:pt>
                      <c:pt idx="133">
                        <c:v>9522.5</c:v>
                      </c:pt>
                      <c:pt idx="134">
                        <c:v>9958.4404300000006</c:v>
                      </c:pt>
                      <c:pt idx="135">
                        <c:v>10356.830078000001</c:v>
                      </c:pt>
                      <c:pt idx="136">
                        <c:v>10492.530273</c:v>
                      </c:pt>
                      <c:pt idx="137">
                        <c:v>10133.230469</c:v>
                      </c:pt>
                      <c:pt idx="138">
                        <c:v>10034.740234000001</c:v>
                      </c:pt>
                      <c:pt idx="139">
                        <c:v>9345.5498050000006</c:v>
                      </c:pt>
                      <c:pt idx="140">
                        <c:v>10546.440430000001</c:v>
                      </c:pt>
                      <c:pt idx="141">
                        <c:v>10198.040039</c:v>
                      </c:pt>
                      <c:pt idx="142">
                        <c:v>10126.030273</c:v>
                      </c:pt>
                      <c:pt idx="143">
                        <c:v>11089.940430000001</c:v>
                      </c:pt>
                      <c:pt idx="144">
                        <c:v>11057.400390999999</c:v>
                      </c:pt>
                      <c:pt idx="145">
                        <c:v>9768.7001949999994</c:v>
                      </c:pt>
                      <c:pt idx="146">
                        <c:v>9382.6396480000003</c:v>
                      </c:pt>
                      <c:pt idx="147">
                        <c:v>9537.2998050000006</c:v>
                      </c:pt>
                      <c:pt idx="148">
                        <c:v>8824.0595699999994</c:v>
                      </c:pt>
                      <c:pt idx="149">
                        <c:v>9369.3496090000008</c:v>
                      </c:pt>
                      <c:pt idx="150">
                        <c:v>9202.4501949999994</c:v>
                      </c:pt>
                      <c:pt idx="151">
                        <c:v>9937.0400389999995</c:v>
                      </c:pt>
                      <c:pt idx="152">
                        <c:v>10228.919921999999</c:v>
                      </c:pt>
                      <c:pt idx="153">
                        <c:v>10237.919921999999</c:v>
                      </c:pt>
                      <c:pt idx="154">
                        <c:v>10624.089844</c:v>
                      </c:pt>
                      <c:pt idx="155">
                        <c:v>9755.0996090000008</c:v>
                      </c:pt>
                      <c:pt idx="156">
                        <c:v>9849.7402340000008</c:v>
                      </c:pt>
                      <c:pt idx="157">
                        <c:v>9693.7304690000001</c:v>
                      </c:pt>
                      <c:pt idx="158">
                        <c:v>9816.0898440000001</c:v>
                      </c:pt>
                      <c:pt idx="159">
                        <c:v>9833.0302730000003</c:v>
                      </c:pt>
                      <c:pt idx="160">
                        <c:v>8955.2001949999994</c:v>
                      </c:pt>
                      <c:pt idx="161">
                        <c:v>8700.2900389999995</c:v>
                      </c:pt>
                      <c:pt idx="162">
                        <c:v>8988.3896480000003</c:v>
                      </c:pt>
                      <c:pt idx="163">
                        <c:v>8434.6103519999997</c:v>
                      </c:pt>
                      <c:pt idx="164">
                        <c:v>8455.3496090000008</c:v>
                      </c:pt>
                      <c:pt idx="165">
                        <c:v>8802.5097659999992</c:v>
                      </c:pt>
                      <c:pt idx="166">
                        <c:v>9723.2402340000008</c:v>
                      </c:pt>
                      <c:pt idx="167">
                        <c:v>10083.559569999999</c:v>
                      </c:pt>
                      <c:pt idx="168">
                        <c:v>9520.8896480000003</c:v>
                      </c:pt>
                      <c:pt idx="169">
                        <c:v>8542.7304690000001</c:v>
                      </c:pt>
                      <c:pt idx="170">
                        <c:v>9006.7802730000003</c:v>
                      </c:pt>
                      <c:pt idx="171">
                        <c:v>8695.0595699999994</c:v>
                      </c:pt>
                      <c:pt idx="172">
                        <c:v>8839.9101559999999</c:v>
                      </c:pt>
                      <c:pt idx="173">
                        <c:v>8870.1601559999999</c:v>
                      </c:pt>
                      <c:pt idx="174">
                        <c:v>8928.2900389999995</c:v>
                      </c:pt>
                      <c:pt idx="175">
                        <c:v>9446.0097659999992</c:v>
                      </c:pt>
                      <c:pt idx="176">
                        <c:v>10395.179688</c:v>
                      </c:pt>
                      <c:pt idx="177">
                        <c:v>11138.660156</c:v>
                      </c:pt>
                      <c:pt idx="178">
                        <c:v>11559.360352</c:v>
                      </c:pt>
                      <c:pt idx="179">
                        <c:v>12397.910156</c:v>
                      </c:pt>
                      <c:pt idx="180">
                        <c:v>13860.860352</c:v>
                      </c:pt>
                      <c:pt idx="181">
                        <c:v>13774.540039</c:v>
                      </c:pt>
                      <c:pt idx="182">
                        <c:v>13677.320313</c:v>
                      </c:pt>
                      <c:pt idx="183">
                        <c:v>13668.320313</c:v>
                      </c:pt>
                      <c:pt idx="184">
                        <c:v>13388.860352</c:v>
                      </c:pt>
                      <c:pt idx="185">
                        <c:v>14455.799805000001</c:v>
                      </c:pt>
                      <c:pt idx="186">
                        <c:v>14327.940430000001</c:v>
                      </c:pt>
                      <c:pt idx="187">
                        <c:v>15661.870117</c:v>
                      </c:pt>
                      <c:pt idx="188">
                        <c:v>16291.309569999999</c:v>
                      </c:pt>
                      <c:pt idx="189">
                        <c:v>14914.530273</c:v>
                      </c:pt>
                      <c:pt idx="190">
                        <c:v>14841.070313</c:v>
                      </c:pt>
                      <c:pt idx="191">
                        <c:v>14827.830078000001</c:v>
                      </c:pt>
                      <c:pt idx="192">
                        <c:v>14304.110352</c:v>
                      </c:pt>
                      <c:pt idx="193">
                        <c:v>14632.379883</c:v>
                      </c:pt>
                      <c:pt idx="194">
                        <c:v>15162.099609000001</c:v>
                      </c:pt>
                      <c:pt idx="195">
                        <c:v>15620.769531</c:v>
                      </c:pt>
                      <c:pt idx="196">
                        <c:v>15424.589844</c:v>
                      </c:pt>
                      <c:pt idx="197">
                        <c:v>16173.519531</c:v>
                      </c:pt>
                      <c:pt idx="198">
                        <c:v>16413.759765999999</c:v>
                      </c:pt>
                      <c:pt idx="199">
                        <c:v>17459.849609000001</c:v>
                      </c:pt>
                      <c:pt idx="200">
                        <c:v>17450.769531000002</c:v>
                      </c:pt>
                      <c:pt idx="201">
                        <c:v>17674.390625</c:v>
                      </c:pt>
                      <c:pt idx="202">
                        <c:v>18797.939452999999</c:v>
                      </c:pt>
                      <c:pt idx="203">
                        <c:v>19206.990234000001</c:v>
                      </c:pt>
                      <c:pt idx="204">
                        <c:v>19520.009765999999</c:v>
                      </c:pt>
                      <c:pt idx="205">
                        <c:v>20563.150390999999</c:v>
                      </c:pt>
                      <c:pt idx="206">
                        <c:v>20235.730468999998</c:v>
                      </c:pt>
                      <c:pt idx="207">
                        <c:v>20585.240234000001</c:v>
                      </c:pt>
                      <c:pt idx="208">
                        <c:v>18890.480468999998</c:v>
                      </c:pt>
                      <c:pt idx="209">
                        <c:v>17388.150390999999</c:v>
                      </c:pt>
                      <c:pt idx="210">
                        <c:v>19083.099609000001</c:v>
                      </c:pt>
                      <c:pt idx="211">
                        <c:v>19747.470702999999</c:v>
                      </c:pt>
                      <c:pt idx="212">
                        <c:v>19033.710938</c:v>
                      </c:pt>
                      <c:pt idx="213">
                        <c:v>17518.300781000002</c:v>
                      </c:pt>
                      <c:pt idx="214">
                        <c:v>16026.759765999999</c:v>
                      </c:pt>
                      <c:pt idx="215">
                        <c:v>16758.669922000001</c:v>
                      </c:pt>
                      <c:pt idx="216">
                        <c:v>16666.050781000002</c:v>
                      </c:pt>
                      <c:pt idx="217">
                        <c:v>17234.980468999998</c:v>
                      </c:pt>
                      <c:pt idx="218">
                        <c:v>15575.919921999999</c:v>
                      </c:pt>
                      <c:pt idx="219">
                        <c:v>16569.269531000002</c:v>
                      </c:pt>
                      <c:pt idx="220">
                        <c:v>16887.400390999999</c:v>
                      </c:pt>
                      <c:pt idx="221">
                        <c:v>16449.839843999998</c:v>
                      </c:pt>
                      <c:pt idx="222">
                        <c:v>17425.019531000002</c:v>
                      </c:pt>
                      <c:pt idx="223">
                        <c:v>18308.480468999998</c:v>
                      </c:pt>
                      <c:pt idx="224">
                        <c:v>19114.369140999999</c:v>
                      </c:pt>
                      <c:pt idx="225">
                        <c:v>19041.339843999998</c:v>
                      </c:pt>
                      <c:pt idx="226">
                        <c:v>19118.990234000001</c:v>
                      </c:pt>
                      <c:pt idx="227">
                        <c:v>18909.259765999999</c:v>
                      </c:pt>
                      <c:pt idx="228">
                        <c:v>19196.740234000001</c:v>
                      </c:pt>
                      <c:pt idx="229">
                        <c:v>19650.570313</c:v>
                      </c:pt>
                      <c:pt idx="230">
                        <c:v>20033.429688</c:v>
                      </c:pt>
                      <c:pt idx="231">
                        <c:v>19925.179688</c:v>
                      </c:pt>
                      <c:pt idx="232">
                        <c:v>19646.240234000001</c:v>
                      </c:pt>
                      <c:pt idx="233">
                        <c:v>20356.279297000001</c:v>
                      </c:pt>
                      <c:pt idx="234">
                        <c:v>22011.609375</c:v>
                      </c:pt>
                      <c:pt idx="235">
                        <c:v>22724.960938</c:v>
                      </c:pt>
                      <c:pt idx="236">
                        <c:v>22764.939452999999</c:v>
                      </c:pt>
                      <c:pt idx="237">
                        <c:v>23098.289063</c:v>
                      </c:pt>
                      <c:pt idx="238">
                        <c:v>22068.240234000001</c:v>
                      </c:pt>
                      <c:pt idx="239">
                        <c:v>21454.300781000002</c:v>
                      </c:pt>
                      <c:pt idx="240">
                        <c:v>22467.869140999999</c:v>
                      </c:pt>
                      <c:pt idx="241">
                        <c:v>22201.820313</c:v>
                      </c:pt>
                      <c:pt idx="242">
                        <c:v>22304.509765999999</c:v>
                      </c:pt>
                      <c:pt idx="243">
                        <c:v>22553.720702999999</c:v>
                      </c:pt>
                      <c:pt idx="244">
                        <c:v>22865.150390999999</c:v>
                      </c:pt>
                      <c:pt idx="245">
                        <c:v>24120.039063</c:v>
                      </c:pt>
                      <c:pt idx="246">
                        <c:v>21920.460938</c:v>
                      </c:pt>
                      <c:pt idx="247">
                        <c:v>22351.060547000001</c:v>
                      </c:pt>
                      <c:pt idx="248">
                        <c:v>20014.769531000002</c:v>
                      </c:pt>
                      <c:pt idx="249">
                        <c:v>20773.490234000001</c:v>
                      </c:pt>
                      <c:pt idx="250">
                        <c:v>21385.160156000002</c:v>
                      </c:pt>
                      <c:pt idx="251">
                        <c:v>21205.810547000001</c:v>
                      </c:pt>
                      <c:pt idx="252">
                        <c:v>22258.730468999998</c:v>
                      </c:pt>
                      <c:pt idx="253">
                        <c:v>20601.189452999999</c:v>
                      </c:pt>
                      <c:pt idx="254">
                        <c:v>21275.919922000001</c:v>
                      </c:pt>
                      <c:pt idx="255">
                        <c:v>21521.529297000001</c:v>
                      </c:pt>
                      <c:pt idx="256">
                        <c:v>20704.369140999999</c:v>
                      </c:pt>
                      <c:pt idx="257">
                        <c:v>21755.839843999998</c:v>
                      </c:pt>
                      <c:pt idx="258">
                        <c:v>22927.039063</c:v>
                      </c:pt>
                      <c:pt idx="259">
                        <c:v>23293.910156000002</c:v>
                      </c:pt>
                      <c:pt idx="260">
                        <c:v>23656.619140999999</c:v>
                      </c:pt>
                      <c:pt idx="261">
                        <c:v>23205.179688</c:v>
                      </c:pt>
                      <c:pt idx="262">
                        <c:v>21142.960938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08B-42B5-87F5-AB3D4F4DFCA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Sheet'!$D$6:$D$286</c:f>
              <c:numCache>
                <c:formatCode>0.0%</c:formatCode>
                <c:ptCount val="281"/>
                <c:pt idx="0">
                  <c:v>0.17845648951229443</c:v>
                </c:pt>
                <c:pt idx="1">
                  <c:v>0.17204531154192573</c:v>
                </c:pt>
                <c:pt idx="2">
                  <c:v>0.16805024986966566</c:v>
                </c:pt>
                <c:pt idx="3">
                  <c:v>0.16116920680832128</c:v>
                </c:pt>
                <c:pt idx="4">
                  <c:v>0.16992813438647233</c:v>
                </c:pt>
                <c:pt idx="5">
                  <c:v>0.17436133051507396</c:v>
                </c:pt>
                <c:pt idx="6">
                  <c:v>0.1711849071999979</c:v>
                </c:pt>
                <c:pt idx="7">
                  <c:v>0.19495043292537806</c:v>
                </c:pt>
                <c:pt idx="8">
                  <c:v>0.20143470971325675</c:v>
                </c:pt>
                <c:pt idx="9">
                  <c:v>0.17825928485019243</c:v>
                </c:pt>
                <c:pt idx="10">
                  <c:v>0.16902620039489541</c:v>
                </c:pt>
                <c:pt idx="11">
                  <c:v>0.17831787069522614</c:v>
                </c:pt>
                <c:pt idx="12">
                  <c:v>0.1763065852677462</c:v>
                </c:pt>
                <c:pt idx="13">
                  <c:v>0.16596421285097154</c:v>
                </c:pt>
                <c:pt idx="14">
                  <c:v>0.16361740130343755</c:v>
                </c:pt>
                <c:pt idx="15">
                  <c:v>0.15208873292370312</c:v>
                </c:pt>
                <c:pt idx="16">
                  <c:v>0.15073588069904234</c:v>
                </c:pt>
                <c:pt idx="17">
                  <c:v>0.15250489287094521</c:v>
                </c:pt>
                <c:pt idx="18">
                  <c:v>0.15061558325932453</c:v>
                </c:pt>
                <c:pt idx="19">
                  <c:v>0.18637101543000026</c:v>
                </c:pt>
                <c:pt idx="20">
                  <c:v>0.24660493485381699</c:v>
                </c:pt>
                <c:pt idx="21">
                  <c:v>0.19692619273184894</c:v>
                </c:pt>
                <c:pt idx="22">
                  <c:v>0.20472143757593425</c:v>
                </c:pt>
                <c:pt idx="23">
                  <c:v>0.23102870300778458</c:v>
                </c:pt>
                <c:pt idx="24">
                  <c:v>0.17296006591359772</c:v>
                </c:pt>
                <c:pt idx="25">
                  <c:v>0.18190170187850715</c:v>
                </c:pt>
                <c:pt idx="26">
                  <c:v>0.1816168659325145</c:v>
                </c:pt>
                <c:pt idx="27">
                  <c:v>0.17511196487876188</c:v>
                </c:pt>
                <c:pt idx="28">
                  <c:v>0.1919223580114526</c:v>
                </c:pt>
                <c:pt idx="29">
                  <c:v>0.18498564035933676</c:v>
                </c:pt>
                <c:pt idx="30">
                  <c:v>0.1977137466942625</c:v>
                </c:pt>
                <c:pt idx="31">
                  <c:v>0.22628901489398562</c:v>
                </c:pt>
                <c:pt idx="32">
                  <c:v>0.2292654935211946</c:v>
                </c:pt>
                <c:pt idx="33">
                  <c:v>0.23027235024537057</c:v>
                </c:pt>
                <c:pt idx="34">
                  <c:v>0.23532687324598039</c:v>
                </c:pt>
                <c:pt idx="35">
                  <c:v>0.24574615546229253</c:v>
                </c:pt>
                <c:pt idx="36">
                  <c:v>0.24101741255048556</c:v>
                </c:pt>
                <c:pt idx="37">
                  <c:v>0.24421171254776056</c:v>
                </c:pt>
                <c:pt idx="38">
                  <c:v>0.25090264133227219</c:v>
                </c:pt>
                <c:pt idx="39">
                  <c:v>0.25228284543245566</c:v>
                </c:pt>
                <c:pt idx="40">
                  <c:v>0.24580180373133018</c:v>
                </c:pt>
                <c:pt idx="41">
                  <c:v>0.25063033913123217</c:v>
                </c:pt>
                <c:pt idx="42">
                  <c:v>0.24077107035796308</c:v>
                </c:pt>
                <c:pt idx="43">
                  <c:v>0.24657055866526745</c:v>
                </c:pt>
                <c:pt idx="44">
                  <c:v>0.25551561323755873</c:v>
                </c:pt>
                <c:pt idx="45">
                  <c:v>0.26576491512760703</c:v>
                </c:pt>
                <c:pt idx="46">
                  <c:v>0.28511185287540747</c:v>
                </c:pt>
                <c:pt idx="47">
                  <c:v>0.30076791271781361</c:v>
                </c:pt>
                <c:pt idx="48">
                  <c:v>0.28616979786379021</c:v>
                </c:pt>
                <c:pt idx="49">
                  <c:v>0.27568892441816617</c:v>
                </c:pt>
                <c:pt idx="50">
                  <c:v>0.26744488712391695</c:v>
                </c:pt>
                <c:pt idx="51">
                  <c:v>0.27180189162729179</c:v>
                </c:pt>
                <c:pt idx="52">
                  <c:v>0.27596283588584597</c:v>
                </c:pt>
                <c:pt idx="53">
                  <c:v>0.26734926027896283</c:v>
                </c:pt>
                <c:pt idx="54">
                  <c:v>0.267028465523384</c:v>
                </c:pt>
                <c:pt idx="55">
                  <c:v>0.26797838033312144</c:v>
                </c:pt>
                <c:pt idx="56">
                  <c:v>0.26806343134337535</c:v>
                </c:pt>
                <c:pt idx="57">
                  <c:v>0.26658210035406971</c:v>
                </c:pt>
                <c:pt idx="58">
                  <c:v>0.28368237629340537</c:v>
                </c:pt>
                <c:pt idx="59">
                  <c:v>0.30217701173389694</c:v>
                </c:pt>
                <c:pt idx="60">
                  <c:v>0.2729451010849086</c:v>
                </c:pt>
                <c:pt idx="61">
                  <c:v>0.27798961443742526</c:v>
                </c:pt>
                <c:pt idx="62">
                  <c:v>0.26645790030906524</c:v>
                </c:pt>
                <c:pt idx="63">
                  <c:v>0.2677995538549463</c:v>
                </c:pt>
                <c:pt idx="64">
                  <c:v>0.27192259190484275</c:v>
                </c:pt>
                <c:pt idx="65">
                  <c:v>0.28380347664265149</c:v>
                </c:pt>
                <c:pt idx="66">
                  <c:v>0.27717921756850306</c:v>
                </c:pt>
                <c:pt idx="67">
                  <c:v>0.28242657172791719</c:v>
                </c:pt>
                <c:pt idx="68">
                  <c:v>0.27532733350281691</c:v>
                </c:pt>
                <c:pt idx="69">
                  <c:v>0.28184883512332215</c:v>
                </c:pt>
                <c:pt idx="70">
                  <c:v>0.2925061466479697</c:v>
                </c:pt>
                <c:pt idx="71">
                  <c:v>0.31088469691729009</c:v>
                </c:pt>
                <c:pt idx="72">
                  <c:v>0.28767979284767647</c:v>
                </c:pt>
                <c:pt idx="73">
                  <c:v>0.28937630612066118</c:v>
                </c:pt>
                <c:pt idx="74">
                  <c:v>0.28036520501841655</c:v>
                </c:pt>
                <c:pt idx="75">
                  <c:v>0.27190347508632545</c:v>
                </c:pt>
                <c:pt idx="76">
                  <c:v>0.28585618337136132</c:v>
                </c:pt>
                <c:pt idx="77">
                  <c:v>0.28840257124581503</c:v>
                </c:pt>
                <c:pt idx="78">
                  <c:v>0.28680070033319499</c:v>
                </c:pt>
                <c:pt idx="79">
                  <c:v>0.30644281258088202</c:v>
                </c:pt>
                <c:pt idx="80">
                  <c:v>0.29953501075387362</c:v>
                </c:pt>
                <c:pt idx="81">
                  <c:v>0.30386767218953631</c:v>
                </c:pt>
                <c:pt idx="82">
                  <c:v>0.31222425433836404</c:v>
                </c:pt>
                <c:pt idx="83">
                  <c:v>0.31038648264479102</c:v>
                </c:pt>
                <c:pt idx="84">
                  <c:v>0.30185573574100161</c:v>
                </c:pt>
                <c:pt idx="85">
                  <c:v>0.30269686822571845</c:v>
                </c:pt>
                <c:pt idx="86">
                  <c:v>0.29542514883702065</c:v>
                </c:pt>
                <c:pt idx="87">
                  <c:v>0.2995921375333096</c:v>
                </c:pt>
                <c:pt idx="88">
                  <c:v>0.30716947993223737</c:v>
                </c:pt>
                <c:pt idx="89">
                  <c:v>0.30057704595245049</c:v>
                </c:pt>
                <c:pt idx="90">
                  <c:v>0.29926327826790389</c:v>
                </c:pt>
                <c:pt idx="91">
                  <c:v>0.30780138367740284</c:v>
                </c:pt>
                <c:pt idx="92">
                  <c:v>0.31516779083535507</c:v>
                </c:pt>
                <c:pt idx="93">
                  <c:v>0.30904484058977166</c:v>
                </c:pt>
                <c:pt idx="94">
                  <c:v>0.30799781416301875</c:v>
                </c:pt>
                <c:pt idx="95">
                  <c:v>0.29286596747647625</c:v>
                </c:pt>
                <c:pt idx="96">
                  <c:v>0.26213901405161383</c:v>
                </c:pt>
                <c:pt idx="97">
                  <c:v>0.24764572846991609</c:v>
                </c:pt>
                <c:pt idx="98">
                  <c:v>0.22957409536962678</c:v>
                </c:pt>
                <c:pt idx="99">
                  <c:v>0.2342979889376316</c:v>
                </c:pt>
                <c:pt idx="100">
                  <c:v>0.22884236680618711</c:v>
                </c:pt>
                <c:pt idx="101">
                  <c:v>0.23729784367257539</c:v>
                </c:pt>
                <c:pt idx="102">
                  <c:v>0.2297353998477196</c:v>
                </c:pt>
                <c:pt idx="103">
                  <c:v>0.23640035944236176</c:v>
                </c:pt>
                <c:pt idx="104">
                  <c:v>0.23042201771924808</c:v>
                </c:pt>
                <c:pt idx="105">
                  <c:v>0.22692501785251515</c:v>
                </c:pt>
                <c:pt idx="106">
                  <c:v>0.23300764248009692</c:v>
                </c:pt>
                <c:pt idx="107">
                  <c:v>0.22320029126277019</c:v>
                </c:pt>
                <c:pt idx="108">
                  <c:v>0.2096297510652515</c:v>
                </c:pt>
                <c:pt idx="109">
                  <c:v>0.21260634470069631</c:v>
                </c:pt>
                <c:pt idx="110">
                  <c:v>0.19789482926609325</c:v>
                </c:pt>
                <c:pt idx="111">
                  <c:v>0.21406980469280992</c:v>
                </c:pt>
                <c:pt idx="112">
                  <c:v>0.22018006036724333</c:v>
                </c:pt>
                <c:pt idx="113">
                  <c:v>0.22065841154815666</c:v>
                </c:pt>
                <c:pt idx="114">
                  <c:v>0.21232976830232433</c:v>
                </c:pt>
                <c:pt idx="115">
                  <c:v>0.22053182527464638</c:v>
                </c:pt>
                <c:pt idx="116">
                  <c:v>0.22011744011639969</c:v>
                </c:pt>
                <c:pt idx="117">
                  <c:v>0.22306670452171143</c:v>
                </c:pt>
                <c:pt idx="118">
                  <c:v>0.2254092320404415</c:v>
                </c:pt>
                <c:pt idx="119">
                  <c:v>0.22378842318283454</c:v>
                </c:pt>
                <c:pt idx="120">
                  <c:v>0.2123606378672058</c:v>
                </c:pt>
                <c:pt idx="121">
                  <c:v>0.21811376972737193</c:v>
                </c:pt>
                <c:pt idx="122">
                  <c:v>0.20086823806969831</c:v>
                </c:pt>
                <c:pt idx="123">
                  <c:v>0.2173169384167869</c:v>
                </c:pt>
                <c:pt idx="124">
                  <c:v>0.22036877532460108</c:v>
                </c:pt>
                <c:pt idx="125">
                  <c:v>0.22566647381282079</c:v>
                </c:pt>
                <c:pt idx="126">
                  <c:v>0.24006409228763265</c:v>
                </c:pt>
                <c:pt idx="127">
                  <c:v>0.24977206789704784</c:v>
                </c:pt>
                <c:pt idx="128">
                  <c:v>0.25233008679095442</c:v>
                </c:pt>
                <c:pt idx="129">
                  <c:v>0.2579781246310196</c:v>
                </c:pt>
                <c:pt idx="130">
                  <c:v>0.26371883862949003</c:v>
                </c:pt>
                <c:pt idx="131">
                  <c:v>0.2674220794400845</c:v>
                </c:pt>
                <c:pt idx="132">
                  <c:v>0.24272070256420883</c:v>
                </c:pt>
                <c:pt idx="133">
                  <c:v>0.25117588081645015</c:v>
                </c:pt>
                <c:pt idx="134">
                  <c:v>0.23224338565719294</c:v>
                </c:pt>
                <c:pt idx="135">
                  <c:v>0.24246536145724057</c:v>
                </c:pt>
                <c:pt idx="136">
                  <c:v>0.24764138383419146</c:v>
                </c:pt>
                <c:pt idx="137">
                  <c:v>0.24582524304672093</c:v>
                </c:pt>
                <c:pt idx="138">
                  <c:v>0.2322234414763574</c:v>
                </c:pt>
                <c:pt idx="139">
                  <c:v>0.24451502406451892</c:v>
                </c:pt>
                <c:pt idx="140">
                  <c:v>0.25543244424135897</c:v>
                </c:pt>
                <c:pt idx="141">
                  <c:v>0.25305064063453325</c:v>
                </c:pt>
                <c:pt idx="142">
                  <c:v>0.2620068337657141</c:v>
                </c:pt>
                <c:pt idx="143">
                  <c:v>0.25178966783566559</c:v>
                </c:pt>
                <c:pt idx="144">
                  <c:v>0.23288526880812635</c:v>
                </c:pt>
                <c:pt idx="145">
                  <c:v>0.24666510867787522</c:v>
                </c:pt>
                <c:pt idx="146">
                  <c:v>0.2309118843140302</c:v>
                </c:pt>
                <c:pt idx="147">
                  <c:v>0.23510806832292042</c:v>
                </c:pt>
                <c:pt idx="148">
                  <c:v>0.24645983425444246</c:v>
                </c:pt>
                <c:pt idx="149">
                  <c:v>0.24103213095393333</c:v>
                </c:pt>
                <c:pt idx="150">
                  <c:v>0.24521167430943455</c:v>
                </c:pt>
                <c:pt idx="151">
                  <c:v>0.25657908820762587</c:v>
                </c:pt>
                <c:pt idx="152">
                  <c:v>0.25994108478160854</c:v>
                </c:pt>
                <c:pt idx="153">
                  <c:v>0.26217494046254769</c:v>
                </c:pt>
                <c:pt idx="154">
                  <c:v>0.26651415411141777</c:v>
                </c:pt>
                <c:pt idx="155">
                  <c:v>0.29159495237925531</c:v>
                </c:pt>
                <c:pt idx="156">
                  <c:v>0.27755212195846568</c:v>
                </c:pt>
                <c:pt idx="157">
                  <c:v>0.27858030429826403</c:v>
                </c:pt>
                <c:pt idx="158">
                  <c:v>0.26716741847474806</c:v>
                </c:pt>
                <c:pt idx="159">
                  <c:v>0.27051351092012099</c:v>
                </c:pt>
                <c:pt idx="160">
                  <c:v>0.28461354163795877</c:v>
                </c:pt>
                <c:pt idx="161">
                  <c:v>0.27698155702624777</c:v>
                </c:pt>
                <c:pt idx="162">
                  <c:v>0.26793977843648298</c:v>
                </c:pt>
                <c:pt idx="163">
                  <c:v>0.28853063060013634</c:v>
                </c:pt>
                <c:pt idx="164">
                  <c:v>0.28816051185588859</c:v>
                </c:pt>
                <c:pt idx="165">
                  <c:v>0.27254334759556931</c:v>
                </c:pt>
                <c:pt idx="166">
                  <c:v>0.28715110757115503</c:v>
                </c:pt>
                <c:pt idx="167">
                  <c:v>0.27762069831140512</c:v>
                </c:pt>
                <c:pt idx="168">
                  <c:v>0.28318007819581686</c:v>
                </c:pt>
                <c:pt idx="169">
                  <c:v>0.28637713839247758</c:v>
                </c:pt>
                <c:pt idx="170">
                  <c:v>0.28803322439825002</c:v>
                </c:pt>
                <c:pt idx="171">
                  <c:v>0.29290245717701147</c:v>
                </c:pt>
                <c:pt idx="172">
                  <c:v>0.30190481194564445</c:v>
                </c:pt>
                <c:pt idx="173">
                  <c:v>0.30181140229823966</c:v>
                </c:pt>
                <c:pt idx="174">
                  <c:v>0.3086612997009191</c:v>
                </c:pt>
                <c:pt idx="175">
                  <c:v>0.31393436764143701</c:v>
                </c:pt>
                <c:pt idx="176">
                  <c:v>0.31795959195212137</c:v>
                </c:pt>
                <c:pt idx="177">
                  <c:v>0.31695180175623378</c:v>
                </c:pt>
                <c:pt idx="178">
                  <c:v>0.32437463676269024</c:v>
                </c:pt>
                <c:pt idx="179">
                  <c:v>0.32691397548730827</c:v>
                </c:pt>
                <c:pt idx="180">
                  <c:v>0.34385973131151321</c:v>
                </c:pt>
                <c:pt idx="181">
                  <c:v>0.36274599153161413</c:v>
                </c:pt>
                <c:pt idx="182">
                  <c:v>0.36822262906552694</c:v>
                </c:pt>
                <c:pt idx="183">
                  <c:v>0.38408904174168379</c:v>
                </c:pt>
                <c:pt idx="184">
                  <c:v>0.40152840648553767</c:v>
                </c:pt>
                <c:pt idx="185">
                  <c:v>0.40771789055074442</c:v>
                </c:pt>
                <c:pt idx="186">
                  <c:v>0.42083140261577817</c:v>
                </c:pt>
                <c:pt idx="187">
                  <c:v>0.43757489768417385</c:v>
                </c:pt>
                <c:pt idx="188">
                  <c:v>0.43777192362735506</c:v>
                </c:pt>
                <c:pt idx="189">
                  <c:v>0.44891390051883273</c:v>
                </c:pt>
                <c:pt idx="190">
                  <c:v>0.46490811860957304</c:v>
                </c:pt>
                <c:pt idx="191">
                  <c:v>0.46709218920207557</c:v>
                </c:pt>
                <c:pt idx="192">
                  <c:v>0.48529735296367293</c:v>
                </c:pt>
                <c:pt idx="193">
                  <c:v>0.50066710141281989</c:v>
                </c:pt>
                <c:pt idx="194">
                  <c:v>0.50813512825142937</c:v>
                </c:pt>
                <c:pt idx="195">
                  <c:v>0.52974512841662746</c:v>
                </c:pt>
                <c:pt idx="196">
                  <c:v>0.54338997365136055</c:v>
                </c:pt>
                <c:pt idx="197">
                  <c:v>0.54576111485982126</c:v>
                </c:pt>
                <c:pt idx="198">
                  <c:v>0.56213547120329066</c:v>
                </c:pt>
                <c:pt idx="199">
                  <c:v>0.58278494170380912</c:v>
                </c:pt>
                <c:pt idx="200">
                  <c:v>0.58834479894658642</c:v>
                </c:pt>
                <c:pt idx="201">
                  <c:v>0.60157757638395104</c:v>
                </c:pt>
                <c:pt idx="202">
                  <c:v>0.61949635561721361</c:v>
                </c:pt>
                <c:pt idx="203">
                  <c:v>0.62558978838182144</c:v>
                </c:pt>
                <c:pt idx="204">
                  <c:v>0.64271601862768102</c:v>
                </c:pt>
                <c:pt idx="205">
                  <c:v>0.66264837114003305</c:v>
                </c:pt>
                <c:pt idx="206">
                  <c:v>0.66708861859504487</c:v>
                </c:pt>
                <c:pt idx="207">
                  <c:v>0.68461146348137003</c:v>
                </c:pt>
                <c:pt idx="208">
                  <c:v>0.69845657446640763</c:v>
                </c:pt>
                <c:pt idx="209">
                  <c:v>0.7074780217317036</c:v>
                </c:pt>
                <c:pt idx="210">
                  <c:v>0.72456811474112492</c:v>
                </c:pt>
                <c:pt idx="211">
                  <c:v>0.73950448605149888</c:v>
                </c:pt>
                <c:pt idx="212">
                  <c:v>0.74309945658414567</c:v>
                </c:pt>
                <c:pt idx="213">
                  <c:v>0.76513381211878384</c:v>
                </c:pt>
                <c:pt idx="214">
                  <c:v>0.77930187028944053</c:v>
                </c:pt>
                <c:pt idx="215">
                  <c:v>0.78288619929116277</c:v>
                </c:pt>
                <c:pt idx="216">
                  <c:v>0.79868264945609224</c:v>
                </c:pt>
                <c:pt idx="217">
                  <c:v>0.82037073297836016</c:v>
                </c:pt>
                <c:pt idx="218">
                  <c:v>0.83403279557997423</c:v>
                </c:pt>
                <c:pt idx="219">
                  <c:v>0.85211778052531562</c:v>
                </c:pt>
                <c:pt idx="220">
                  <c:v>0.87114810222764039</c:v>
                </c:pt>
                <c:pt idx="221">
                  <c:v>0.8785052983697279</c:v>
                </c:pt>
                <c:pt idx="222">
                  <c:v>0.88856746860239832</c:v>
                </c:pt>
                <c:pt idx="223">
                  <c:v>0.90340683345579942</c:v>
                </c:pt>
                <c:pt idx="224">
                  <c:v>0.91369820565409943</c:v>
                </c:pt>
                <c:pt idx="225">
                  <c:v>0.91363871761198368</c:v>
                </c:pt>
                <c:pt idx="226">
                  <c:v>0.92485946110708395</c:v>
                </c:pt>
                <c:pt idx="227">
                  <c:v>0.92900738672724448</c:v>
                </c:pt>
                <c:pt idx="228">
                  <c:v>0.94021811711304137</c:v>
                </c:pt>
                <c:pt idx="229">
                  <c:v>0.9459879163837176</c:v>
                </c:pt>
                <c:pt idx="230">
                  <c:v>0.94845790804400121</c:v>
                </c:pt>
                <c:pt idx="231">
                  <c:v>0.94968847164761394</c:v>
                </c:pt>
                <c:pt idx="232">
                  <c:v>0.96100504336300352</c:v>
                </c:pt>
                <c:pt idx="233">
                  <c:v>0.96449771500791226</c:v>
                </c:pt>
                <c:pt idx="234">
                  <c:v>0.96861481149497619</c:v>
                </c:pt>
                <c:pt idx="235">
                  <c:v>0.97574583714995311</c:v>
                </c:pt>
                <c:pt idx="236">
                  <c:v>0.97491585673928571</c:v>
                </c:pt>
                <c:pt idx="237">
                  <c:v>0.98954642560501049</c:v>
                </c:pt>
                <c:pt idx="238">
                  <c:v>1.0017124841503626</c:v>
                </c:pt>
                <c:pt idx="239">
                  <c:v>0.9925186142236323</c:v>
                </c:pt>
                <c:pt idx="240">
                  <c:v>1.0007678056563243</c:v>
                </c:pt>
                <c:pt idx="241">
                  <c:v>1.0115275591729396</c:v>
                </c:pt>
                <c:pt idx="242">
                  <c:v>1.0044446688943318</c:v>
                </c:pt>
                <c:pt idx="243">
                  <c:v>1.0305005534374618</c:v>
                </c:pt>
                <c:pt idx="244">
                  <c:v>1.0392255874472689</c:v>
                </c:pt>
                <c:pt idx="245">
                  <c:v>1.0292757853945327</c:v>
                </c:pt>
                <c:pt idx="246">
                  <c:v>1.0350246824148439</c:v>
                </c:pt>
                <c:pt idx="247">
                  <c:v>1.041956541393267</c:v>
                </c:pt>
                <c:pt idx="248">
                  <c:v>1.0355478168095518</c:v>
                </c:pt>
                <c:pt idx="249">
                  <c:v>1.0379556308344677</c:v>
                </c:pt>
                <c:pt idx="250">
                  <c:v>1.0472896609616051</c:v>
                </c:pt>
                <c:pt idx="251">
                  <c:v>1.038153747403797</c:v>
                </c:pt>
                <c:pt idx="252">
                  <c:v>1.0419412171139653</c:v>
                </c:pt>
                <c:pt idx="253">
                  <c:v>1.0514345154660045</c:v>
                </c:pt>
                <c:pt idx="254">
                  <c:v>1.0471891527831876</c:v>
                </c:pt>
                <c:pt idx="255">
                  <c:v>1.0535401159254467</c:v>
                </c:pt>
                <c:pt idx="256">
                  <c:v>1.0617060991274354</c:v>
                </c:pt>
                <c:pt idx="257">
                  <c:v>1.056299309886364</c:v>
                </c:pt>
                <c:pt idx="258">
                  <c:v>1.0873644430987315</c:v>
                </c:pt>
                <c:pt idx="259">
                  <c:v>1.0927703804499243</c:v>
                </c:pt>
                <c:pt idx="260">
                  <c:v>1.0824210892755985</c:v>
                </c:pt>
                <c:pt idx="261">
                  <c:v>1.0986072491127903</c:v>
                </c:pt>
                <c:pt idx="262">
                  <c:v>1.1111172742673325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8B-42B5-87F5-AB3D4F4DF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1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AF-43FA-A48C-B3250DD1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'BOJ Balance Sheet'!$C$5</c15:sqref>
                        </c15:formulaRef>
                      </c:ext>
                    </c:extLst>
                    <c:strCache>
                      <c:ptCount val="1"/>
                      <c:pt idx="0">
                        <c:v>Nikkei 225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'BOJ Balance Sheet'!$A$6:$A$286</c15:sqref>
                        </c15:formulaRef>
                      </c:ext>
                    </c:extLst>
                    <c:numCache>
                      <c:formatCode>yyyy\-mm\-dd</c:formatCode>
                      <c:ptCount val="281"/>
                      <c:pt idx="0">
                        <c:v>35886</c:v>
                      </c:pt>
                      <c:pt idx="1">
                        <c:v>35916</c:v>
                      </c:pt>
                      <c:pt idx="2">
                        <c:v>35947</c:v>
                      </c:pt>
                      <c:pt idx="3">
                        <c:v>35977</c:v>
                      </c:pt>
                      <c:pt idx="4">
                        <c:v>36008</c:v>
                      </c:pt>
                      <c:pt idx="5">
                        <c:v>36039</c:v>
                      </c:pt>
                      <c:pt idx="6">
                        <c:v>36069</c:v>
                      </c:pt>
                      <c:pt idx="7">
                        <c:v>36100</c:v>
                      </c:pt>
                      <c:pt idx="8">
                        <c:v>36130</c:v>
                      </c:pt>
                      <c:pt idx="9">
                        <c:v>36161</c:v>
                      </c:pt>
                      <c:pt idx="10">
                        <c:v>36192</c:v>
                      </c:pt>
                      <c:pt idx="11">
                        <c:v>36220</c:v>
                      </c:pt>
                      <c:pt idx="12">
                        <c:v>36251</c:v>
                      </c:pt>
                      <c:pt idx="13">
                        <c:v>36281</c:v>
                      </c:pt>
                      <c:pt idx="14">
                        <c:v>36312</c:v>
                      </c:pt>
                      <c:pt idx="15">
                        <c:v>36342</c:v>
                      </c:pt>
                      <c:pt idx="16">
                        <c:v>36373</c:v>
                      </c:pt>
                      <c:pt idx="17">
                        <c:v>36404</c:v>
                      </c:pt>
                      <c:pt idx="18">
                        <c:v>36434</c:v>
                      </c:pt>
                      <c:pt idx="19">
                        <c:v>36465</c:v>
                      </c:pt>
                      <c:pt idx="20">
                        <c:v>36495</c:v>
                      </c:pt>
                      <c:pt idx="21">
                        <c:v>36526</c:v>
                      </c:pt>
                      <c:pt idx="22">
                        <c:v>36557</c:v>
                      </c:pt>
                      <c:pt idx="23">
                        <c:v>36586</c:v>
                      </c:pt>
                      <c:pt idx="24">
                        <c:v>36617</c:v>
                      </c:pt>
                      <c:pt idx="25">
                        <c:v>36647</c:v>
                      </c:pt>
                      <c:pt idx="26">
                        <c:v>36678</c:v>
                      </c:pt>
                      <c:pt idx="27">
                        <c:v>36708</c:v>
                      </c:pt>
                      <c:pt idx="28">
                        <c:v>36739</c:v>
                      </c:pt>
                      <c:pt idx="29">
                        <c:v>36770</c:v>
                      </c:pt>
                      <c:pt idx="30">
                        <c:v>36800</c:v>
                      </c:pt>
                      <c:pt idx="31">
                        <c:v>36831</c:v>
                      </c:pt>
                      <c:pt idx="32">
                        <c:v>36861</c:v>
                      </c:pt>
                      <c:pt idx="33">
                        <c:v>36892</c:v>
                      </c:pt>
                      <c:pt idx="34">
                        <c:v>36923</c:v>
                      </c:pt>
                      <c:pt idx="35">
                        <c:v>36951</c:v>
                      </c:pt>
                      <c:pt idx="36">
                        <c:v>36982</c:v>
                      </c:pt>
                      <c:pt idx="37">
                        <c:v>37012</c:v>
                      </c:pt>
                      <c:pt idx="38">
                        <c:v>37043</c:v>
                      </c:pt>
                      <c:pt idx="39">
                        <c:v>37073</c:v>
                      </c:pt>
                      <c:pt idx="40">
                        <c:v>37104</c:v>
                      </c:pt>
                      <c:pt idx="41">
                        <c:v>37135</c:v>
                      </c:pt>
                      <c:pt idx="42">
                        <c:v>37165</c:v>
                      </c:pt>
                      <c:pt idx="43">
                        <c:v>37196</c:v>
                      </c:pt>
                      <c:pt idx="44">
                        <c:v>37226</c:v>
                      </c:pt>
                      <c:pt idx="45">
                        <c:v>37257</c:v>
                      </c:pt>
                      <c:pt idx="46">
                        <c:v>37288</c:v>
                      </c:pt>
                      <c:pt idx="47">
                        <c:v>37316</c:v>
                      </c:pt>
                      <c:pt idx="48">
                        <c:v>37347</c:v>
                      </c:pt>
                      <c:pt idx="49">
                        <c:v>37377</c:v>
                      </c:pt>
                      <c:pt idx="50">
                        <c:v>37408</c:v>
                      </c:pt>
                      <c:pt idx="51">
                        <c:v>37438</c:v>
                      </c:pt>
                      <c:pt idx="52">
                        <c:v>37469</c:v>
                      </c:pt>
                      <c:pt idx="53">
                        <c:v>37500</c:v>
                      </c:pt>
                      <c:pt idx="54">
                        <c:v>37530</c:v>
                      </c:pt>
                      <c:pt idx="55">
                        <c:v>37561</c:v>
                      </c:pt>
                      <c:pt idx="56">
                        <c:v>37591</c:v>
                      </c:pt>
                      <c:pt idx="57">
                        <c:v>37622</c:v>
                      </c:pt>
                      <c:pt idx="58">
                        <c:v>37653</c:v>
                      </c:pt>
                      <c:pt idx="59">
                        <c:v>37681</c:v>
                      </c:pt>
                      <c:pt idx="60">
                        <c:v>37712</c:v>
                      </c:pt>
                      <c:pt idx="61">
                        <c:v>37742</c:v>
                      </c:pt>
                      <c:pt idx="62">
                        <c:v>37773</c:v>
                      </c:pt>
                      <c:pt idx="63">
                        <c:v>37803</c:v>
                      </c:pt>
                      <c:pt idx="64">
                        <c:v>37834</c:v>
                      </c:pt>
                      <c:pt idx="65">
                        <c:v>37865</c:v>
                      </c:pt>
                      <c:pt idx="66">
                        <c:v>37895</c:v>
                      </c:pt>
                      <c:pt idx="67">
                        <c:v>37926</c:v>
                      </c:pt>
                      <c:pt idx="68">
                        <c:v>37956</c:v>
                      </c:pt>
                      <c:pt idx="69">
                        <c:v>37987</c:v>
                      </c:pt>
                      <c:pt idx="70">
                        <c:v>38018</c:v>
                      </c:pt>
                      <c:pt idx="71">
                        <c:v>38047</c:v>
                      </c:pt>
                      <c:pt idx="72">
                        <c:v>38078</c:v>
                      </c:pt>
                      <c:pt idx="73">
                        <c:v>38108</c:v>
                      </c:pt>
                      <c:pt idx="74">
                        <c:v>38139</c:v>
                      </c:pt>
                      <c:pt idx="75">
                        <c:v>38169</c:v>
                      </c:pt>
                      <c:pt idx="76">
                        <c:v>38200</c:v>
                      </c:pt>
                      <c:pt idx="77">
                        <c:v>38231</c:v>
                      </c:pt>
                      <c:pt idx="78">
                        <c:v>38261</c:v>
                      </c:pt>
                      <c:pt idx="79">
                        <c:v>38292</c:v>
                      </c:pt>
                      <c:pt idx="80">
                        <c:v>38322</c:v>
                      </c:pt>
                      <c:pt idx="81">
                        <c:v>38353</c:v>
                      </c:pt>
                      <c:pt idx="82">
                        <c:v>38384</c:v>
                      </c:pt>
                      <c:pt idx="83">
                        <c:v>38412</c:v>
                      </c:pt>
                      <c:pt idx="84">
                        <c:v>38443</c:v>
                      </c:pt>
                      <c:pt idx="85">
                        <c:v>38473</c:v>
                      </c:pt>
                      <c:pt idx="86">
                        <c:v>38504</c:v>
                      </c:pt>
                      <c:pt idx="87">
                        <c:v>38534</c:v>
                      </c:pt>
                      <c:pt idx="88">
                        <c:v>38565</c:v>
                      </c:pt>
                      <c:pt idx="89">
                        <c:v>38596</c:v>
                      </c:pt>
                      <c:pt idx="90">
                        <c:v>38626</c:v>
                      </c:pt>
                      <c:pt idx="91">
                        <c:v>38657</c:v>
                      </c:pt>
                      <c:pt idx="92">
                        <c:v>38687</c:v>
                      </c:pt>
                      <c:pt idx="93">
                        <c:v>38718</c:v>
                      </c:pt>
                      <c:pt idx="94">
                        <c:v>38749</c:v>
                      </c:pt>
                      <c:pt idx="95">
                        <c:v>38777</c:v>
                      </c:pt>
                      <c:pt idx="96">
                        <c:v>38808</c:v>
                      </c:pt>
                      <c:pt idx="97">
                        <c:v>38838</c:v>
                      </c:pt>
                      <c:pt idx="98">
                        <c:v>38869</c:v>
                      </c:pt>
                      <c:pt idx="99">
                        <c:v>38899</c:v>
                      </c:pt>
                      <c:pt idx="100">
                        <c:v>38930</c:v>
                      </c:pt>
                      <c:pt idx="101">
                        <c:v>38961</c:v>
                      </c:pt>
                      <c:pt idx="102">
                        <c:v>38991</c:v>
                      </c:pt>
                      <c:pt idx="103">
                        <c:v>39022</c:v>
                      </c:pt>
                      <c:pt idx="104">
                        <c:v>39052</c:v>
                      </c:pt>
                      <c:pt idx="105">
                        <c:v>39083</c:v>
                      </c:pt>
                      <c:pt idx="106">
                        <c:v>39114</c:v>
                      </c:pt>
                      <c:pt idx="107">
                        <c:v>39142</c:v>
                      </c:pt>
                      <c:pt idx="108">
                        <c:v>39173</c:v>
                      </c:pt>
                      <c:pt idx="109">
                        <c:v>39203</c:v>
                      </c:pt>
                      <c:pt idx="110">
                        <c:v>39234</c:v>
                      </c:pt>
                      <c:pt idx="111">
                        <c:v>39264</c:v>
                      </c:pt>
                      <c:pt idx="112">
                        <c:v>39295</c:v>
                      </c:pt>
                      <c:pt idx="113">
                        <c:v>39326</c:v>
                      </c:pt>
                      <c:pt idx="114">
                        <c:v>39356</c:v>
                      </c:pt>
                      <c:pt idx="115">
                        <c:v>39387</c:v>
                      </c:pt>
                      <c:pt idx="116">
                        <c:v>39417</c:v>
                      </c:pt>
                      <c:pt idx="117">
                        <c:v>39448</c:v>
                      </c:pt>
                      <c:pt idx="118">
                        <c:v>39479</c:v>
                      </c:pt>
                      <c:pt idx="119">
                        <c:v>39508</c:v>
                      </c:pt>
                      <c:pt idx="120">
                        <c:v>39539</c:v>
                      </c:pt>
                      <c:pt idx="121">
                        <c:v>39569</c:v>
                      </c:pt>
                      <c:pt idx="122">
                        <c:v>39600</c:v>
                      </c:pt>
                      <c:pt idx="123">
                        <c:v>39630</c:v>
                      </c:pt>
                      <c:pt idx="124">
                        <c:v>39661</c:v>
                      </c:pt>
                      <c:pt idx="125">
                        <c:v>39692</c:v>
                      </c:pt>
                      <c:pt idx="126">
                        <c:v>39722</c:v>
                      </c:pt>
                      <c:pt idx="127">
                        <c:v>39753</c:v>
                      </c:pt>
                      <c:pt idx="128">
                        <c:v>39783</c:v>
                      </c:pt>
                      <c:pt idx="129">
                        <c:v>39814</c:v>
                      </c:pt>
                      <c:pt idx="130">
                        <c:v>39845</c:v>
                      </c:pt>
                      <c:pt idx="131">
                        <c:v>39873</c:v>
                      </c:pt>
                      <c:pt idx="132">
                        <c:v>39904</c:v>
                      </c:pt>
                      <c:pt idx="133">
                        <c:v>39934</c:v>
                      </c:pt>
                      <c:pt idx="134">
                        <c:v>39965</c:v>
                      </c:pt>
                      <c:pt idx="135">
                        <c:v>39995</c:v>
                      </c:pt>
                      <c:pt idx="136">
                        <c:v>40026</c:v>
                      </c:pt>
                      <c:pt idx="137">
                        <c:v>40057</c:v>
                      </c:pt>
                      <c:pt idx="138">
                        <c:v>40087</c:v>
                      </c:pt>
                      <c:pt idx="139">
                        <c:v>40118</c:v>
                      </c:pt>
                      <c:pt idx="140">
                        <c:v>40148</c:v>
                      </c:pt>
                      <c:pt idx="141">
                        <c:v>40179</c:v>
                      </c:pt>
                      <c:pt idx="142">
                        <c:v>40210</c:v>
                      </c:pt>
                      <c:pt idx="143">
                        <c:v>40238</c:v>
                      </c:pt>
                      <c:pt idx="144">
                        <c:v>40269</c:v>
                      </c:pt>
                      <c:pt idx="145">
                        <c:v>40299</c:v>
                      </c:pt>
                      <c:pt idx="146">
                        <c:v>40330</c:v>
                      </c:pt>
                      <c:pt idx="147">
                        <c:v>40360</c:v>
                      </c:pt>
                      <c:pt idx="148">
                        <c:v>40391</c:v>
                      </c:pt>
                      <c:pt idx="149">
                        <c:v>40422</c:v>
                      </c:pt>
                      <c:pt idx="150">
                        <c:v>40452</c:v>
                      </c:pt>
                      <c:pt idx="151">
                        <c:v>40483</c:v>
                      </c:pt>
                      <c:pt idx="152">
                        <c:v>40513</c:v>
                      </c:pt>
                      <c:pt idx="153">
                        <c:v>40544</c:v>
                      </c:pt>
                      <c:pt idx="154">
                        <c:v>40575</c:v>
                      </c:pt>
                      <c:pt idx="155">
                        <c:v>40603</c:v>
                      </c:pt>
                      <c:pt idx="156">
                        <c:v>40634</c:v>
                      </c:pt>
                      <c:pt idx="157">
                        <c:v>40664</c:v>
                      </c:pt>
                      <c:pt idx="158">
                        <c:v>40695</c:v>
                      </c:pt>
                      <c:pt idx="159">
                        <c:v>40725</c:v>
                      </c:pt>
                      <c:pt idx="160">
                        <c:v>40756</c:v>
                      </c:pt>
                      <c:pt idx="161">
                        <c:v>40787</c:v>
                      </c:pt>
                      <c:pt idx="162">
                        <c:v>40817</c:v>
                      </c:pt>
                      <c:pt idx="163">
                        <c:v>40848</c:v>
                      </c:pt>
                      <c:pt idx="164">
                        <c:v>40878</c:v>
                      </c:pt>
                      <c:pt idx="165">
                        <c:v>40909</c:v>
                      </c:pt>
                      <c:pt idx="166">
                        <c:v>40940</c:v>
                      </c:pt>
                      <c:pt idx="167">
                        <c:v>40969</c:v>
                      </c:pt>
                      <c:pt idx="168">
                        <c:v>41000</c:v>
                      </c:pt>
                      <c:pt idx="169">
                        <c:v>41030</c:v>
                      </c:pt>
                      <c:pt idx="170">
                        <c:v>41061</c:v>
                      </c:pt>
                      <c:pt idx="171">
                        <c:v>41091</c:v>
                      </c:pt>
                      <c:pt idx="172">
                        <c:v>41122</c:v>
                      </c:pt>
                      <c:pt idx="173">
                        <c:v>41153</c:v>
                      </c:pt>
                      <c:pt idx="174">
                        <c:v>41183</c:v>
                      </c:pt>
                      <c:pt idx="175">
                        <c:v>41214</c:v>
                      </c:pt>
                      <c:pt idx="176">
                        <c:v>41244</c:v>
                      </c:pt>
                      <c:pt idx="177">
                        <c:v>41275</c:v>
                      </c:pt>
                      <c:pt idx="178">
                        <c:v>41306</c:v>
                      </c:pt>
                      <c:pt idx="179">
                        <c:v>41334</c:v>
                      </c:pt>
                      <c:pt idx="180">
                        <c:v>41365</c:v>
                      </c:pt>
                      <c:pt idx="181">
                        <c:v>41395</c:v>
                      </c:pt>
                      <c:pt idx="182">
                        <c:v>41426</c:v>
                      </c:pt>
                      <c:pt idx="183">
                        <c:v>41456</c:v>
                      </c:pt>
                      <c:pt idx="184">
                        <c:v>41487</c:v>
                      </c:pt>
                      <c:pt idx="185">
                        <c:v>41518</c:v>
                      </c:pt>
                      <c:pt idx="186">
                        <c:v>41548</c:v>
                      </c:pt>
                      <c:pt idx="187">
                        <c:v>41579</c:v>
                      </c:pt>
                      <c:pt idx="188">
                        <c:v>41609</c:v>
                      </c:pt>
                      <c:pt idx="189">
                        <c:v>41640</c:v>
                      </c:pt>
                      <c:pt idx="190">
                        <c:v>41671</c:v>
                      </c:pt>
                      <c:pt idx="191">
                        <c:v>41699</c:v>
                      </c:pt>
                      <c:pt idx="192">
                        <c:v>41730</c:v>
                      </c:pt>
                      <c:pt idx="193">
                        <c:v>41760</c:v>
                      </c:pt>
                      <c:pt idx="194">
                        <c:v>41791</c:v>
                      </c:pt>
                      <c:pt idx="195">
                        <c:v>41821</c:v>
                      </c:pt>
                      <c:pt idx="196">
                        <c:v>41852</c:v>
                      </c:pt>
                      <c:pt idx="197">
                        <c:v>41883</c:v>
                      </c:pt>
                      <c:pt idx="198">
                        <c:v>41913</c:v>
                      </c:pt>
                      <c:pt idx="199">
                        <c:v>41944</c:v>
                      </c:pt>
                      <c:pt idx="200">
                        <c:v>41974</c:v>
                      </c:pt>
                      <c:pt idx="201">
                        <c:v>42005</c:v>
                      </c:pt>
                      <c:pt idx="202">
                        <c:v>42036</c:v>
                      </c:pt>
                      <c:pt idx="203">
                        <c:v>42064</c:v>
                      </c:pt>
                      <c:pt idx="204">
                        <c:v>42095</c:v>
                      </c:pt>
                      <c:pt idx="205">
                        <c:v>42125</c:v>
                      </c:pt>
                      <c:pt idx="206">
                        <c:v>42156</c:v>
                      </c:pt>
                      <c:pt idx="207">
                        <c:v>42186</c:v>
                      </c:pt>
                      <c:pt idx="208">
                        <c:v>42217</c:v>
                      </c:pt>
                      <c:pt idx="209">
                        <c:v>42248</c:v>
                      </c:pt>
                      <c:pt idx="210">
                        <c:v>42278</c:v>
                      </c:pt>
                      <c:pt idx="211">
                        <c:v>42309</c:v>
                      </c:pt>
                      <c:pt idx="212">
                        <c:v>42339</c:v>
                      </c:pt>
                      <c:pt idx="213">
                        <c:v>42370</c:v>
                      </c:pt>
                      <c:pt idx="214">
                        <c:v>42401</c:v>
                      </c:pt>
                      <c:pt idx="215">
                        <c:v>42430</c:v>
                      </c:pt>
                      <c:pt idx="216">
                        <c:v>42461</c:v>
                      </c:pt>
                      <c:pt idx="217">
                        <c:v>42491</c:v>
                      </c:pt>
                      <c:pt idx="218">
                        <c:v>42522</c:v>
                      </c:pt>
                      <c:pt idx="219">
                        <c:v>42552</c:v>
                      </c:pt>
                      <c:pt idx="220">
                        <c:v>42583</c:v>
                      </c:pt>
                      <c:pt idx="221">
                        <c:v>42614</c:v>
                      </c:pt>
                      <c:pt idx="222">
                        <c:v>42644</c:v>
                      </c:pt>
                      <c:pt idx="223">
                        <c:v>42675</c:v>
                      </c:pt>
                      <c:pt idx="224">
                        <c:v>42705</c:v>
                      </c:pt>
                      <c:pt idx="225">
                        <c:v>42736</c:v>
                      </c:pt>
                      <c:pt idx="226">
                        <c:v>42767</c:v>
                      </c:pt>
                      <c:pt idx="227">
                        <c:v>42795</c:v>
                      </c:pt>
                      <c:pt idx="228">
                        <c:v>42826</c:v>
                      </c:pt>
                      <c:pt idx="229">
                        <c:v>42856</c:v>
                      </c:pt>
                      <c:pt idx="230">
                        <c:v>42887</c:v>
                      </c:pt>
                      <c:pt idx="231">
                        <c:v>42917</c:v>
                      </c:pt>
                      <c:pt idx="232">
                        <c:v>42948</c:v>
                      </c:pt>
                      <c:pt idx="233">
                        <c:v>42979</c:v>
                      </c:pt>
                      <c:pt idx="234">
                        <c:v>43009</c:v>
                      </c:pt>
                      <c:pt idx="235">
                        <c:v>43040</c:v>
                      </c:pt>
                      <c:pt idx="236">
                        <c:v>43070</c:v>
                      </c:pt>
                      <c:pt idx="237">
                        <c:v>43101</c:v>
                      </c:pt>
                      <c:pt idx="238">
                        <c:v>43132</c:v>
                      </c:pt>
                      <c:pt idx="239">
                        <c:v>43160</c:v>
                      </c:pt>
                      <c:pt idx="240">
                        <c:v>43191</c:v>
                      </c:pt>
                      <c:pt idx="241">
                        <c:v>43221</c:v>
                      </c:pt>
                      <c:pt idx="242">
                        <c:v>43252</c:v>
                      </c:pt>
                      <c:pt idx="243">
                        <c:v>43282</c:v>
                      </c:pt>
                      <c:pt idx="244">
                        <c:v>43313</c:v>
                      </c:pt>
                      <c:pt idx="245">
                        <c:v>43344</c:v>
                      </c:pt>
                      <c:pt idx="246">
                        <c:v>43374</c:v>
                      </c:pt>
                      <c:pt idx="247">
                        <c:v>43405</c:v>
                      </c:pt>
                      <c:pt idx="248">
                        <c:v>43435</c:v>
                      </c:pt>
                      <c:pt idx="249">
                        <c:v>43466</c:v>
                      </c:pt>
                      <c:pt idx="250">
                        <c:v>43497</c:v>
                      </c:pt>
                      <c:pt idx="251">
                        <c:v>43525</c:v>
                      </c:pt>
                      <c:pt idx="252">
                        <c:v>43556</c:v>
                      </c:pt>
                      <c:pt idx="253">
                        <c:v>43586</c:v>
                      </c:pt>
                      <c:pt idx="254">
                        <c:v>43617</c:v>
                      </c:pt>
                      <c:pt idx="255">
                        <c:v>43647</c:v>
                      </c:pt>
                      <c:pt idx="256">
                        <c:v>43678</c:v>
                      </c:pt>
                      <c:pt idx="257">
                        <c:v>43709</c:v>
                      </c:pt>
                      <c:pt idx="258">
                        <c:v>43739</c:v>
                      </c:pt>
                      <c:pt idx="259">
                        <c:v>43770</c:v>
                      </c:pt>
                      <c:pt idx="260">
                        <c:v>43800</c:v>
                      </c:pt>
                      <c:pt idx="261">
                        <c:v>43831</c:v>
                      </c:pt>
                      <c:pt idx="262">
                        <c:v>43862</c:v>
                      </c:pt>
                      <c:pt idx="263">
                        <c:v>43891</c:v>
                      </c:pt>
                      <c:pt idx="264">
                        <c:v>43922</c:v>
                      </c:pt>
                      <c:pt idx="265">
                        <c:v>43952</c:v>
                      </c:pt>
                      <c:pt idx="266">
                        <c:v>43983</c:v>
                      </c:pt>
                      <c:pt idx="267">
                        <c:v>44013</c:v>
                      </c:pt>
                      <c:pt idx="268">
                        <c:v>44044</c:v>
                      </c:pt>
                      <c:pt idx="269">
                        <c:v>44075</c:v>
                      </c:pt>
                      <c:pt idx="270">
                        <c:v>44105</c:v>
                      </c:pt>
                      <c:pt idx="271">
                        <c:v>44136</c:v>
                      </c:pt>
                      <c:pt idx="272">
                        <c:v>44166</c:v>
                      </c:pt>
                      <c:pt idx="273">
                        <c:v>44197</c:v>
                      </c:pt>
                      <c:pt idx="274">
                        <c:v>44228</c:v>
                      </c:pt>
                      <c:pt idx="275">
                        <c:v>44256</c:v>
                      </c:pt>
                      <c:pt idx="276">
                        <c:v>44287</c:v>
                      </c:pt>
                      <c:pt idx="277">
                        <c:v>44317</c:v>
                      </c:pt>
                      <c:pt idx="278">
                        <c:v>44348</c:v>
                      </c:pt>
                      <c:pt idx="279">
                        <c:v>44378</c:v>
                      </c:pt>
                      <c:pt idx="280">
                        <c:v>44409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'BOJ Balance Sheet'!$C$6:$C$286</c15:sqref>
                        </c15:formulaRef>
                      </c:ext>
                    </c:extLst>
                    <c:numCache>
                      <c:formatCode>General</c:formatCode>
                      <c:ptCount val="281"/>
                      <c:pt idx="0">
                        <c:v>15641.259765999999</c:v>
                      </c:pt>
                      <c:pt idx="1">
                        <c:v>15670.780273</c:v>
                      </c:pt>
                      <c:pt idx="2">
                        <c:v>15830.269531</c:v>
                      </c:pt>
                      <c:pt idx="3">
                        <c:v>16378.969727</c:v>
                      </c:pt>
                      <c:pt idx="4">
                        <c:v>14107.889648</c:v>
                      </c:pt>
                      <c:pt idx="5">
                        <c:v>13406.389648</c:v>
                      </c:pt>
                      <c:pt idx="6">
                        <c:v>13564.509765999999</c:v>
                      </c:pt>
                      <c:pt idx="7">
                        <c:v>14883.700194999999</c:v>
                      </c:pt>
                      <c:pt idx="8">
                        <c:v>13842.169921999999</c:v>
                      </c:pt>
                      <c:pt idx="9">
                        <c:v>14499.25</c:v>
                      </c:pt>
                      <c:pt idx="10">
                        <c:v>14367.540039</c:v>
                      </c:pt>
                      <c:pt idx="11">
                        <c:v>15836.589844</c:v>
                      </c:pt>
                      <c:pt idx="12">
                        <c:v>16701.529297000001</c:v>
                      </c:pt>
                      <c:pt idx="13">
                        <c:v>16111.650390999999</c:v>
                      </c:pt>
                      <c:pt idx="14">
                        <c:v>17529.740234000001</c:v>
                      </c:pt>
                      <c:pt idx="15">
                        <c:v>17861.859375</c:v>
                      </c:pt>
                      <c:pt idx="16">
                        <c:v>17436.560547000001</c:v>
                      </c:pt>
                      <c:pt idx="17">
                        <c:v>17605.460938</c:v>
                      </c:pt>
                      <c:pt idx="18">
                        <c:v>17942.080077999999</c:v>
                      </c:pt>
                      <c:pt idx="19">
                        <c:v>18558.230468999998</c:v>
                      </c:pt>
                      <c:pt idx="20">
                        <c:v>18934.339843999998</c:v>
                      </c:pt>
                      <c:pt idx="21">
                        <c:v>19539.699218999998</c:v>
                      </c:pt>
                      <c:pt idx="22">
                        <c:v>19959.519531000002</c:v>
                      </c:pt>
                      <c:pt idx="23">
                        <c:v>20337.320313</c:v>
                      </c:pt>
                      <c:pt idx="24">
                        <c:v>17973.699218999998</c:v>
                      </c:pt>
                      <c:pt idx="25">
                        <c:v>16332.450194999999</c:v>
                      </c:pt>
                      <c:pt idx="26">
                        <c:v>17411.050781000002</c:v>
                      </c:pt>
                      <c:pt idx="27">
                        <c:v>15727.490234000001</c:v>
                      </c:pt>
                      <c:pt idx="28">
                        <c:v>16861.259765999999</c:v>
                      </c:pt>
                      <c:pt idx="29">
                        <c:v>15747.259765999999</c:v>
                      </c:pt>
                      <c:pt idx="30">
                        <c:v>14539.599609000001</c:v>
                      </c:pt>
                      <c:pt idx="31">
                        <c:v>14648.509765999999</c:v>
                      </c:pt>
                      <c:pt idx="32">
                        <c:v>13785.690430000001</c:v>
                      </c:pt>
                      <c:pt idx="33">
                        <c:v>13843.549805000001</c:v>
                      </c:pt>
                      <c:pt idx="34">
                        <c:v>12883.540039</c:v>
                      </c:pt>
                      <c:pt idx="35">
                        <c:v>12999.700194999999</c:v>
                      </c:pt>
                      <c:pt idx="36">
                        <c:v>13934.320313</c:v>
                      </c:pt>
                      <c:pt idx="37">
                        <c:v>13262.139648</c:v>
                      </c:pt>
                      <c:pt idx="38">
                        <c:v>12969.049805000001</c:v>
                      </c:pt>
                      <c:pt idx="39">
                        <c:v>11860.769531</c:v>
                      </c:pt>
                      <c:pt idx="40">
                        <c:v>10713.509765999999</c:v>
                      </c:pt>
                      <c:pt idx="41">
                        <c:v>9774.6796880000002</c:v>
                      </c:pt>
                      <c:pt idx="42">
                        <c:v>10366.339844</c:v>
                      </c:pt>
                      <c:pt idx="43">
                        <c:v>10697.440430000001</c:v>
                      </c:pt>
                      <c:pt idx="44">
                        <c:v>10542.620117</c:v>
                      </c:pt>
                      <c:pt idx="45">
                        <c:v>9997.7998050000006</c:v>
                      </c:pt>
                      <c:pt idx="46">
                        <c:v>10587.830078000001</c:v>
                      </c:pt>
                      <c:pt idx="47">
                        <c:v>11024.940430000001</c:v>
                      </c:pt>
                      <c:pt idx="48">
                        <c:v>11492.540039</c:v>
                      </c:pt>
                      <c:pt idx="49">
                        <c:v>11763.700194999999</c:v>
                      </c:pt>
                      <c:pt idx="50">
                        <c:v>10621.839844</c:v>
                      </c:pt>
                      <c:pt idx="51">
                        <c:v>9877.9404300000006</c:v>
                      </c:pt>
                      <c:pt idx="52">
                        <c:v>9619.2998050000006</c:v>
                      </c:pt>
                      <c:pt idx="53">
                        <c:v>9383.2900389999995</c:v>
                      </c:pt>
                      <c:pt idx="54">
                        <c:v>8640.4804690000001</c:v>
                      </c:pt>
                      <c:pt idx="55">
                        <c:v>9215.5595699999994</c:v>
                      </c:pt>
                      <c:pt idx="56">
                        <c:v>8578.9501949999994</c:v>
                      </c:pt>
                      <c:pt idx="57">
                        <c:v>8339.9404300000006</c:v>
                      </c:pt>
                      <c:pt idx="58">
                        <c:v>8363.0400389999995</c:v>
                      </c:pt>
                      <c:pt idx="59">
                        <c:v>7972.7099609999996</c:v>
                      </c:pt>
                      <c:pt idx="60">
                        <c:v>7831.419922</c:v>
                      </c:pt>
                      <c:pt idx="61">
                        <c:v>8424.5097659999992</c:v>
                      </c:pt>
                      <c:pt idx="62">
                        <c:v>9083.1103519999997</c:v>
                      </c:pt>
                      <c:pt idx="63">
                        <c:v>9563.2099610000005</c:v>
                      </c:pt>
                      <c:pt idx="64">
                        <c:v>10343.549805000001</c:v>
                      </c:pt>
                      <c:pt idx="65">
                        <c:v>10219.049805000001</c:v>
                      </c:pt>
                      <c:pt idx="66">
                        <c:v>10559.589844</c:v>
                      </c:pt>
                      <c:pt idx="67">
                        <c:v>10100.570313</c:v>
                      </c:pt>
                      <c:pt idx="68">
                        <c:v>10676.639648</c:v>
                      </c:pt>
                      <c:pt idx="69">
                        <c:v>10783.610352</c:v>
                      </c:pt>
                      <c:pt idx="70">
                        <c:v>11041.919921999999</c:v>
                      </c:pt>
                      <c:pt idx="71">
                        <c:v>11715.389648</c:v>
                      </c:pt>
                      <c:pt idx="72">
                        <c:v>11761.790039</c:v>
                      </c:pt>
                      <c:pt idx="73">
                        <c:v>11236.370117</c:v>
                      </c:pt>
                      <c:pt idx="74">
                        <c:v>11858.870117</c:v>
                      </c:pt>
                      <c:pt idx="75">
                        <c:v>11325.780273</c:v>
                      </c:pt>
                      <c:pt idx="76">
                        <c:v>11081.790039</c:v>
                      </c:pt>
                      <c:pt idx="77">
                        <c:v>10823.570313</c:v>
                      </c:pt>
                      <c:pt idx="78">
                        <c:v>10771.419921999999</c:v>
                      </c:pt>
                      <c:pt idx="79">
                        <c:v>10899.25</c:v>
                      </c:pt>
                      <c:pt idx="80">
                        <c:v>11488.759765999999</c:v>
                      </c:pt>
                      <c:pt idx="81">
                        <c:v>11387.589844</c:v>
                      </c:pt>
                      <c:pt idx="82">
                        <c:v>11740.599609000001</c:v>
                      </c:pt>
                      <c:pt idx="83">
                        <c:v>11668.950194999999</c:v>
                      </c:pt>
                      <c:pt idx="84">
                        <c:v>11008.900390999999</c:v>
                      </c:pt>
                      <c:pt idx="85">
                        <c:v>11276.589844</c:v>
                      </c:pt>
                      <c:pt idx="86">
                        <c:v>11584.009765999999</c:v>
                      </c:pt>
                      <c:pt idx="87">
                        <c:v>11899.599609000001</c:v>
                      </c:pt>
                      <c:pt idx="88">
                        <c:v>12413.599609000001</c:v>
                      </c:pt>
                      <c:pt idx="89">
                        <c:v>13574.299805000001</c:v>
                      </c:pt>
                      <c:pt idx="90">
                        <c:v>13606.5</c:v>
                      </c:pt>
                      <c:pt idx="91">
                        <c:v>14872.150390999999</c:v>
                      </c:pt>
                      <c:pt idx="92">
                        <c:v>16111.429688</c:v>
                      </c:pt>
                      <c:pt idx="93">
                        <c:v>16649.820313</c:v>
                      </c:pt>
                      <c:pt idx="94">
                        <c:v>16205.429688</c:v>
                      </c:pt>
                      <c:pt idx="95">
                        <c:v>17059.660156000002</c:v>
                      </c:pt>
                      <c:pt idx="96">
                        <c:v>16906.230468999998</c:v>
                      </c:pt>
                      <c:pt idx="97">
                        <c:v>15467.330078000001</c:v>
                      </c:pt>
                      <c:pt idx="98">
                        <c:v>15505.179688</c:v>
                      </c:pt>
                      <c:pt idx="99">
                        <c:v>15456.809569999999</c:v>
                      </c:pt>
                      <c:pt idx="100">
                        <c:v>16140.759765999999</c:v>
                      </c:pt>
                      <c:pt idx="101">
                        <c:v>16127.580078000001</c:v>
                      </c:pt>
                      <c:pt idx="102">
                        <c:v>16399.390625</c:v>
                      </c:pt>
                      <c:pt idx="103">
                        <c:v>16274.330078000001</c:v>
                      </c:pt>
                      <c:pt idx="104">
                        <c:v>17225.830077999999</c:v>
                      </c:pt>
                      <c:pt idx="105">
                        <c:v>17383.419922000001</c:v>
                      </c:pt>
                      <c:pt idx="106">
                        <c:v>17604.119140999999</c:v>
                      </c:pt>
                      <c:pt idx="107">
                        <c:v>17287.650390999999</c:v>
                      </c:pt>
                      <c:pt idx="108">
                        <c:v>17400.410156000002</c:v>
                      </c:pt>
                      <c:pt idx="109">
                        <c:v>17875.75</c:v>
                      </c:pt>
                      <c:pt idx="110">
                        <c:v>18138.359375</c:v>
                      </c:pt>
                      <c:pt idx="111">
                        <c:v>17248.890625</c:v>
                      </c:pt>
                      <c:pt idx="112">
                        <c:v>16569.089843999998</c:v>
                      </c:pt>
                      <c:pt idx="113">
                        <c:v>16785.689452999999</c:v>
                      </c:pt>
                      <c:pt idx="114">
                        <c:v>16737.630859000001</c:v>
                      </c:pt>
                      <c:pt idx="115">
                        <c:v>15680.669921999999</c:v>
                      </c:pt>
                      <c:pt idx="116">
                        <c:v>15307.780273</c:v>
                      </c:pt>
                      <c:pt idx="117">
                        <c:v>13592.469727</c:v>
                      </c:pt>
                      <c:pt idx="118">
                        <c:v>13603.019531</c:v>
                      </c:pt>
                      <c:pt idx="119">
                        <c:v>12525.540039</c:v>
                      </c:pt>
                      <c:pt idx="120">
                        <c:v>13849.990234000001</c:v>
                      </c:pt>
                      <c:pt idx="121">
                        <c:v>14338.540039</c:v>
                      </c:pt>
                      <c:pt idx="122">
                        <c:v>13481.379883</c:v>
                      </c:pt>
                      <c:pt idx="123">
                        <c:v>13376.809569999999</c:v>
                      </c:pt>
                      <c:pt idx="124">
                        <c:v>13072.870117</c:v>
                      </c:pt>
                      <c:pt idx="125">
                        <c:v>11259.860352</c:v>
                      </c:pt>
                      <c:pt idx="126">
                        <c:v>8576.9804690000001</c:v>
                      </c:pt>
                      <c:pt idx="127">
                        <c:v>8512.2695309999999</c:v>
                      </c:pt>
                      <c:pt idx="128">
                        <c:v>8859.5595699999994</c:v>
                      </c:pt>
                      <c:pt idx="129">
                        <c:v>7994.0498049999997</c:v>
                      </c:pt>
                      <c:pt idx="130">
                        <c:v>7568.419922</c:v>
                      </c:pt>
                      <c:pt idx="131">
                        <c:v>8109.5297849999997</c:v>
                      </c:pt>
                      <c:pt idx="132">
                        <c:v>8828.2597659999992</c:v>
                      </c:pt>
                      <c:pt idx="133">
                        <c:v>9522.5</c:v>
                      </c:pt>
                      <c:pt idx="134">
                        <c:v>9958.4404300000006</c:v>
                      </c:pt>
                      <c:pt idx="135">
                        <c:v>10356.830078000001</c:v>
                      </c:pt>
                      <c:pt idx="136">
                        <c:v>10492.530273</c:v>
                      </c:pt>
                      <c:pt idx="137">
                        <c:v>10133.230469</c:v>
                      </c:pt>
                      <c:pt idx="138">
                        <c:v>10034.740234000001</c:v>
                      </c:pt>
                      <c:pt idx="139">
                        <c:v>9345.5498050000006</c:v>
                      </c:pt>
                      <c:pt idx="140">
                        <c:v>10546.440430000001</c:v>
                      </c:pt>
                      <c:pt idx="141">
                        <c:v>10198.040039</c:v>
                      </c:pt>
                      <c:pt idx="142">
                        <c:v>10126.030273</c:v>
                      </c:pt>
                      <c:pt idx="143">
                        <c:v>11089.940430000001</c:v>
                      </c:pt>
                      <c:pt idx="144">
                        <c:v>11057.400390999999</c:v>
                      </c:pt>
                      <c:pt idx="145">
                        <c:v>9768.7001949999994</c:v>
                      </c:pt>
                      <c:pt idx="146">
                        <c:v>9382.6396480000003</c:v>
                      </c:pt>
                      <c:pt idx="147">
                        <c:v>9537.2998050000006</c:v>
                      </c:pt>
                      <c:pt idx="148">
                        <c:v>8824.0595699999994</c:v>
                      </c:pt>
                      <c:pt idx="149">
                        <c:v>9369.3496090000008</c:v>
                      </c:pt>
                      <c:pt idx="150">
                        <c:v>9202.4501949999994</c:v>
                      </c:pt>
                      <c:pt idx="151">
                        <c:v>9937.0400389999995</c:v>
                      </c:pt>
                      <c:pt idx="152">
                        <c:v>10228.919921999999</c:v>
                      </c:pt>
                      <c:pt idx="153">
                        <c:v>10237.919921999999</c:v>
                      </c:pt>
                      <c:pt idx="154">
                        <c:v>10624.089844</c:v>
                      </c:pt>
                      <c:pt idx="155">
                        <c:v>9755.0996090000008</c:v>
                      </c:pt>
                      <c:pt idx="156">
                        <c:v>9849.7402340000008</c:v>
                      </c:pt>
                      <c:pt idx="157">
                        <c:v>9693.7304690000001</c:v>
                      </c:pt>
                      <c:pt idx="158">
                        <c:v>9816.0898440000001</c:v>
                      </c:pt>
                      <c:pt idx="159">
                        <c:v>9833.0302730000003</c:v>
                      </c:pt>
                      <c:pt idx="160">
                        <c:v>8955.2001949999994</c:v>
                      </c:pt>
                      <c:pt idx="161">
                        <c:v>8700.2900389999995</c:v>
                      </c:pt>
                      <c:pt idx="162">
                        <c:v>8988.3896480000003</c:v>
                      </c:pt>
                      <c:pt idx="163">
                        <c:v>8434.6103519999997</c:v>
                      </c:pt>
                      <c:pt idx="164">
                        <c:v>8455.3496090000008</c:v>
                      </c:pt>
                      <c:pt idx="165">
                        <c:v>8802.5097659999992</c:v>
                      </c:pt>
                      <c:pt idx="166">
                        <c:v>9723.2402340000008</c:v>
                      </c:pt>
                      <c:pt idx="167">
                        <c:v>10083.559569999999</c:v>
                      </c:pt>
                      <c:pt idx="168">
                        <c:v>9520.8896480000003</c:v>
                      </c:pt>
                      <c:pt idx="169">
                        <c:v>8542.7304690000001</c:v>
                      </c:pt>
                      <c:pt idx="170">
                        <c:v>9006.7802730000003</c:v>
                      </c:pt>
                      <c:pt idx="171">
                        <c:v>8695.0595699999994</c:v>
                      </c:pt>
                      <c:pt idx="172">
                        <c:v>8839.9101559999999</c:v>
                      </c:pt>
                      <c:pt idx="173">
                        <c:v>8870.1601559999999</c:v>
                      </c:pt>
                      <c:pt idx="174">
                        <c:v>8928.2900389999995</c:v>
                      </c:pt>
                      <c:pt idx="175">
                        <c:v>9446.0097659999992</c:v>
                      </c:pt>
                      <c:pt idx="176">
                        <c:v>10395.179688</c:v>
                      </c:pt>
                      <c:pt idx="177">
                        <c:v>11138.660156</c:v>
                      </c:pt>
                      <c:pt idx="178">
                        <c:v>11559.360352</c:v>
                      </c:pt>
                      <c:pt idx="179">
                        <c:v>12397.910156</c:v>
                      </c:pt>
                      <c:pt idx="180">
                        <c:v>13860.860352</c:v>
                      </c:pt>
                      <c:pt idx="181">
                        <c:v>13774.540039</c:v>
                      </c:pt>
                      <c:pt idx="182">
                        <c:v>13677.320313</c:v>
                      </c:pt>
                      <c:pt idx="183">
                        <c:v>13668.320313</c:v>
                      </c:pt>
                      <c:pt idx="184">
                        <c:v>13388.860352</c:v>
                      </c:pt>
                      <c:pt idx="185">
                        <c:v>14455.799805000001</c:v>
                      </c:pt>
                      <c:pt idx="186">
                        <c:v>14327.940430000001</c:v>
                      </c:pt>
                      <c:pt idx="187">
                        <c:v>15661.870117</c:v>
                      </c:pt>
                      <c:pt idx="188">
                        <c:v>16291.309569999999</c:v>
                      </c:pt>
                      <c:pt idx="189">
                        <c:v>14914.530273</c:v>
                      </c:pt>
                      <c:pt idx="190">
                        <c:v>14841.070313</c:v>
                      </c:pt>
                      <c:pt idx="191">
                        <c:v>14827.830078000001</c:v>
                      </c:pt>
                      <c:pt idx="192">
                        <c:v>14304.110352</c:v>
                      </c:pt>
                      <c:pt idx="193">
                        <c:v>14632.379883</c:v>
                      </c:pt>
                      <c:pt idx="194">
                        <c:v>15162.099609000001</c:v>
                      </c:pt>
                      <c:pt idx="195">
                        <c:v>15620.769531</c:v>
                      </c:pt>
                      <c:pt idx="196">
                        <c:v>15424.589844</c:v>
                      </c:pt>
                      <c:pt idx="197">
                        <c:v>16173.519531</c:v>
                      </c:pt>
                      <c:pt idx="198">
                        <c:v>16413.759765999999</c:v>
                      </c:pt>
                      <c:pt idx="199">
                        <c:v>17459.849609000001</c:v>
                      </c:pt>
                      <c:pt idx="200">
                        <c:v>17450.769531000002</c:v>
                      </c:pt>
                      <c:pt idx="201">
                        <c:v>17674.390625</c:v>
                      </c:pt>
                      <c:pt idx="202">
                        <c:v>18797.939452999999</c:v>
                      </c:pt>
                      <c:pt idx="203">
                        <c:v>19206.990234000001</c:v>
                      </c:pt>
                      <c:pt idx="204">
                        <c:v>19520.009765999999</c:v>
                      </c:pt>
                      <c:pt idx="205">
                        <c:v>20563.150390999999</c:v>
                      </c:pt>
                      <c:pt idx="206">
                        <c:v>20235.730468999998</c:v>
                      </c:pt>
                      <c:pt idx="207">
                        <c:v>20585.240234000001</c:v>
                      </c:pt>
                      <c:pt idx="208">
                        <c:v>18890.480468999998</c:v>
                      </c:pt>
                      <c:pt idx="209">
                        <c:v>17388.150390999999</c:v>
                      </c:pt>
                      <c:pt idx="210">
                        <c:v>19083.099609000001</c:v>
                      </c:pt>
                      <c:pt idx="211">
                        <c:v>19747.470702999999</c:v>
                      </c:pt>
                      <c:pt idx="212">
                        <c:v>19033.710938</c:v>
                      </c:pt>
                      <c:pt idx="213">
                        <c:v>17518.300781000002</c:v>
                      </c:pt>
                      <c:pt idx="214">
                        <c:v>16026.759765999999</c:v>
                      </c:pt>
                      <c:pt idx="215">
                        <c:v>16758.669922000001</c:v>
                      </c:pt>
                      <c:pt idx="216">
                        <c:v>16666.050781000002</c:v>
                      </c:pt>
                      <c:pt idx="217">
                        <c:v>17234.980468999998</c:v>
                      </c:pt>
                      <c:pt idx="218">
                        <c:v>15575.919921999999</c:v>
                      </c:pt>
                      <c:pt idx="219">
                        <c:v>16569.269531000002</c:v>
                      </c:pt>
                      <c:pt idx="220">
                        <c:v>16887.400390999999</c:v>
                      </c:pt>
                      <c:pt idx="221">
                        <c:v>16449.839843999998</c:v>
                      </c:pt>
                      <c:pt idx="222">
                        <c:v>17425.019531000002</c:v>
                      </c:pt>
                      <c:pt idx="223">
                        <c:v>18308.480468999998</c:v>
                      </c:pt>
                      <c:pt idx="224">
                        <c:v>19114.369140999999</c:v>
                      </c:pt>
                      <c:pt idx="225">
                        <c:v>19041.339843999998</c:v>
                      </c:pt>
                      <c:pt idx="226">
                        <c:v>19118.990234000001</c:v>
                      </c:pt>
                      <c:pt idx="227">
                        <c:v>18909.259765999999</c:v>
                      </c:pt>
                      <c:pt idx="228">
                        <c:v>19196.740234000001</c:v>
                      </c:pt>
                      <c:pt idx="229">
                        <c:v>19650.570313</c:v>
                      </c:pt>
                      <c:pt idx="230">
                        <c:v>20033.429688</c:v>
                      </c:pt>
                      <c:pt idx="231">
                        <c:v>19925.179688</c:v>
                      </c:pt>
                      <c:pt idx="232">
                        <c:v>19646.240234000001</c:v>
                      </c:pt>
                      <c:pt idx="233">
                        <c:v>20356.279297000001</c:v>
                      </c:pt>
                      <c:pt idx="234">
                        <c:v>22011.609375</c:v>
                      </c:pt>
                      <c:pt idx="235">
                        <c:v>22724.960938</c:v>
                      </c:pt>
                      <c:pt idx="236">
                        <c:v>22764.939452999999</c:v>
                      </c:pt>
                      <c:pt idx="237">
                        <c:v>23098.289063</c:v>
                      </c:pt>
                      <c:pt idx="238">
                        <c:v>22068.240234000001</c:v>
                      </c:pt>
                      <c:pt idx="239">
                        <c:v>21454.300781000002</c:v>
                      </c:pt>
                      <c:pt idx="240">
                        <c:v>22467.869140999999</c:v>
                      </c:pt>
                      <c:pt idx="241">
                        <c:v>22201.820313</c:v>
                      </c:pt>
                      <c:pt idx="242">
                        <c:v>22304.509765999999</c:v>
                      </c:pt>
                      <c:pt idx="243">
                        <c:v>22553.720702999999</c:v>
                      </c:pt>
                      <c:pt idx="244">
                        <c:v>22865.150390999999</c:v>
                      </c:pt>
                      <c:pt idx="245">
                        <c:v>24120.039063</c:v>
                      </c:pt>
                      <c:pt idx="246">
                        <c:v>21920.460938</c:v>
                      </c:pt>
                      <c:pt idx="247">
                        <c:v>22351.060547000001</c:v>
                      </c:pt>
                      <c:pt idx="248">
                        <c:v>20014.769531000002</c:v>
                      </c:pt>
                      <c:pt idx="249">
                        <c:v>20773.490234000001</c:v>
                      </c:pt>
                      <c:pt idx="250">
                        <c:v>21385.160156000002</c:v>
                      </c:pt>
                      <c:pt idx="251">
                        <c:v>21205.810547000001</c:v>
                      </c:pt>
                      <c:pt idx="252">
                        <c:v>22258.730468999998</c:v>
                      </c:pt>
                      <c:pt idx="253">
                        <c:v>20601.189452999999</c:v>
                      </c:pt>
                      <c:pt idx="254">
                        <c:v>21275.919922000001</c:v>
                      </c:pt>
                      <c:pt idx="255">
                        <c:v>21521.529297000001</c:v>
                      </c:pt>
                      <c:pt idx="256">
                        <c:v>20704.369140999999</c:v>
                      </c:pt>
                      <c:pt idx="257">
                        <c:v>21755.839843999998</c:v>
                      </c:pt>
                      <c:pt idx="258">
                        <c:v>22927.039063</c:v>
                      </c:pt>
                      <c:pt idx="259">
                        <c:v>23293.910156000002</c:v>
                      </c:pt>
                      <c:pt idx="260">
                        <c:v>23656.619140999999</c:v>
                      </c:pt>
                      <c:pt idx="261">
                        <c:v>23205.179688</c:v>
                      </c:pt>
                      <c:pt idx="262">
                        <c:v>21142.960938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2AF-43FA-A48C-B3250DD1C807}"/>
                  </c:ext>
                </c:extLst>
              </c15:ser>
            </c15:filteredBarSeries>
          </c:ext>
        </c:extLst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1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'ECB Balance Sheet'!$A$7:$A$345</c:f>
              <c:numCache>
                <c:formatCode>yyyy\-mm\-dd</c:formatCode>
                <c:ptCount val="339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</c:numCache>
            </c:numRef>
          </c:cat>
          <c:val>
            <c:numRef>
              <c:f>'ECB Balance Sheet'!$B$7:$B$345</c:f>
              <c:numCache>
                <c:formatCode>0</c:formatCode>
                <c:ptCount val="339"/>
                <c:pt idx="0">
                  <c:v>697160</c:v>
                </c:pt>
                <c:pt idx="1">
                  <c:v>694638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44-403A-ACC7-B2B0AE7C2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1"/>
        <c:lblOffset val="100"/>
        <c:baseTimeUnit val="days"/>
      </c:dateAx>
      <c:valAx>
        <c:axId val="1048421823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F4443D-2EED-4C60-996B-7590E5D9E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3346B0-D080-41F9-8412-858D9FBDD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C86732-0988-4C14-8DA0-1FC9C802CC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5DD249B-7564-439E-B5A7-C1496A38A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5C892A-D870-45AA-88A8-61C49FA6BE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0.80581</cdr:x>
      <cdr:y>0.77523</cdr:y>
    </cdr:from>
    <cdr:to>
      <cdr:x>0.96483</cdr:x>
      <cdr:y>0.83945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6674BB0-7990-4AE8-B331-47D3AFCF9CF5}"/>
            </a:ext>
          </a:extLst>
        </cdr:cNvPr>
        <cdr:cNvSpPr txBox="1"/>
      </cdr:nvSpPr>
      <cdr:spPr>
        <a:xfrm xmlns:a="http://schemas.openxmlformats.org/drawingml/2006/main">
          <a:off x="5019675" y="3219450"/>
          <a:ext cx="9906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 b="1"/>
            <a:t>Source:</a:t>
          </a:r>
          <a:r>
            <a:rPr lang="en-GB" sz="1100" b="1" baseline="0"/>
            <a:t> FRED</a:t>
          </a:r>
          <a:endParaRPr lang="en-GB" sz="11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938892</xdr:colOff>
      <xdr:row>861</xdr:row>
      <xdr:rowOff>108857</xdr:rowOff>
    </xdr:from>
    <xdr:to>
      <xdr:col>16</xdr:col>
      <xdr:colOff>1085849</xdr:colOff>
      <xdr:row>887</xdr:row>
      <xdr:rowOff>107496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F382087-ADAF-4944-838E-84F36F1612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966108</xdr:colOff>
      <xdr:row>888</xdr:row>
      <xdr:rowOff>95248</xdr:rowOff>
    </xdr:from>
    <xdr:to>
      <xdr:col>16</xdr:col>
      <xdr:colOff>353787</xdr:colOff>
      <xdr:row>912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A2BD72D-8BE3-4796-938E-4C4F6F4EF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400050</xdr:colOff>
      <xdr:row>10</xdr:row>
      <xdr:rowOff>133350</xdr:rowOff>
    </xdr:from>
    <xdr:to>
      <xdr:col>19</xdr:col>
      <xdr:colOff>323850</xdr:colOff>
      <xdr:row>30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62179A-6B53-4069-9233-8234E35B3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31</xdr:row>
      <xdr:rowOff>0</xdr:rowOff>
    </xdr:from>
    <xdr:to>
      <xdr:col>18</xdr:col>
      <xdr:colOff>247651</xdr:colOff>
      <xdr:row>52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A05B49-6B2E-4D15-BC8E-3F30FFECB1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63</xdr:row>
      <xdr:rowOff>66675</xdr:rowOff>
    </xdr:from>
    <xdr:to>
      <xdr:col>17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318E110-2346-4086-94CE-DAC664E76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F0AB0-D8F6-438E-B568-C8AC17C1D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F1C9AA-4E07-4F69-8DFF-8EAA2E1C150E}" name="Table2" displayName="Table2" ref="A7:B868" totalsRowShown="0" headerRowDxfId="55" dataDxfId="53" headerRowBorderDxfId="54" tableBorderDxfId="52" totalsRowBorderDxfId="51" headerRowCellStyle="Normal 2" dataCellStyle="Normal 2">
  <autoFilter ref="A7:B868" xr:uid="{46600EFD-236E-48D1-BB9B-24B3CFFAEC9A}"/>
  <tableColumns count="2">
    <tableColumn id="1" xr3:uid="{14C2F9A0-8836-4D63-91A7-3B0159536D11}" name="Month" dataDxfId="50" dataCellStyle="Normal 2"/>
    <tableColumn id="2" xr3:uid="{FCF520FA-5B99-4746-B07C-F8F2E8315ED4}" name="Discount Rate" dataDxfId="49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374A51-CA37-4BD0-AF6F-C718204AFE18}" name="Table1" displayName="Table1" ref="A7:B813" totalsRowShown="0" headerRowDxfId="48" dataDxfId="46" headerRowBorderDxfId="47" tableBorderDxfId="45" totalsRowBorderDxfId="44" headerRowCellStyle="Normal 2" dataCellStyle="Normal 2">
  <autoFilter ref="A7:B813" xr:uid="{4B04EC8F-30F7-40E8-9444-C2BD3917D255}"/>
  <tableColumns count="2">
    <tableColumn id="1" xr3:uid="{195F7A0C-3D25-4015-BEB4-437DD1935AEA}" name="Month" dataDxfId="43" dataCellStyle="Normal 2"/>
    <tableColumn id="2" xr3:uid="{4BD0AB51-8F63-40FC-89FC-7C30F0CDE7AD}" name="Fed Funds Rate" dataDxfId="42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978EDA-308F-4722-9859-D67F7D989253}" name="Table267" displayName="Table267" ref="A6:E757" totalsRowShown="0" headerRowDxfId="41" dataDxfId="39" headerRowBorderDxfId="40" dataCellStyle="Normal 2">
  <autoFilter ref="A6:E757" xr:uid="{4F978EDA-308F-4722-9859-D67F7D989253}"/>
  <tableColumns count="5">
    <tableColumn id="1" xr3:uid="{8DFCE684-A287-4776-BB31-14D3F6645130}" name="Date" dataDxfId="38" dataCellStyle="Normal 2"/>
    <tableColumn id="2" xr3:uid="{7BFF206A-A8F8-401F-BF6C-8F99269E79C9}" name="M2 Money Stock, Billions of Dollars, Weekly, Seasonally Adjusted" dataDxfId="37" dataCellStyle="Normal 2"/>
    <tableColumn id="3" xr3:uid="{17E64A8F-C26A-458B-A29E-2479E7C22247}" name="Monthly change" dataDxfId="36" dataCellStyle="Normal 2">
      <calculatedColumnFormula>(Table267[[#This Row],[M2 Money Stock, Billions of Dollars, Weekly, Seasonally Adjusted]]-B6)/B6</calculatedColumnFormula>
    </tableColumn>
    <tableColumn id="4" xr3:uid="{A1B51E11-E548-41AF-8D13-F70C1143BD2F}" name="Annualized Change" dataDxfId="35" dataCellStyle="Normal 2">
      <calculatedColumnFormula>(Table267[[#This Row],[M2 Money Stock, Billions of Dollars, Weekly, Seasonally Adjusted]]-#REF!)/#REF!</calculatedColumnFormula>
    </tableColumn>
    <tableColumn id="5" xr3:uid="{A149AF2E-61E8-470F-9172-9AE223B870EB}" name="YoY Change" dataDxfId="34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3F2902-F95E-4607-ACB5-D1F3DD95E594}" name="Table26" displayName="Table26" ref="A6:E2103" totalsRowShown="0" headerRowDxfId="33" dataDxfId="31" headerRowBorderDxfId="32" dataCellStyle="Normal 2">
  <autoFilter ref="A6:E2103" xr:uid="{0F39A0A0-CDCC-4802-A37D-8A4055A8AC75}"/>
  <tableColumns count="5">
    <tableColumn id="1" xr3:uid="{3F319AF6-0721-4158-8E9F-11B86990827A}" name="Date" dataDxfId="30" dataCellStyle="Normal 2"/>
    <tableColumn id="2" xr3:uid="{7B488873-31D5-4861-BC81-94583F5D6A07}" name="M2 Money Stock, Billions of Dollars, Weekly, Seasonally Adjusted" dataDxfId="29" dataCellStyle="Normal 2"/>
    <tableColumn id="3" xr3:uid="{75EB72CE-D244-4D80-A748-DFE2BF7AF65F}" name="Weekly change" dataDxfId="28" dataCellStyle="Normal 2">
      <calculatedColumnFormula>(Table26[[#This Row],[M2 Money Stock, Billions of Dollars, Weekly, Seasonally Adjusted]]-B6)/B6</calculatedColumnFormula>
    </tableColumn>
    <tableColumn id="4" xr3:uid="{3BACA90C-0296-4264-BCBB-AFFBC12202B0}" name="Annualized return" dataDxfId="27" dataCellStyle="Normal 2">
      <calculatedColumnFormula>(Table26[[#This Row],[M2 Money Stock, Billions of Dollars, Weekly, Seasonally Adjusted]]-#REF!)/#REF!</calculatedColumnFormula>
    </tableColumn>
    <tableColumn id="5" xr3:uid="{C47BF6EE-55A8-408F-B037-6A0565745729}" name="YoY Change" dataDxfId="26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DAA148-1A92-47FB-A238-12B96449BF4E}" name="Table9" displayName="Table9" ref="A11:C990" totalsRowShown="0" headerRowDxfId="25" dataDxfId="23" headerRowBorderDxfId="24">
  <autoFilter ref="A11:C990" xr:uid="{CC8DE7E8-3382-4061-A21C-A0428F34918C}"/>
  <tableColumns count="3">
    <tableColumn id="1" xr3:uid="{314B7B6F-C382-48CE-9441-C8EAC1844CB6}" name="Date" dataDxfId="22"/>
    <tableColumn id="2" xr3:uid="{54EE9002-A929-45E6-9071-3600A2452403}" name="WALCL" dataDxfId="21"/>
    <tableColumn id="3" xr3:uid="{F4FA371D-966E-4AC0-8832-5A762B881EC9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EB1980-1287-4A5A-A445-57EA54786F61}" name="Table4" displayName="Table4" ref="A11:D990" totalsRowShown="0">
  <tableColumns count="4">
    <tableColumn id="1" xr3:uid="{D89EE9D7-2BA4-43C8-B277-69DD5555CBAC}" name="Date" dataDxfId="19"/>
    <tableColumn id="2" xr3:uid="{69BF335C-C164-4420-94DB-C82C9FB83E80}" name="WALCL" dataDxfId="18"/>
    <tableColumn id="5" xr3:uid="{49E8E403-D4E7-4692-9233-E76387EF973C}" name="GDP qoq" dataDxfId="17"/>
    <tableColumn id="6" xr3:uid="{BBE0482C-C802-4F99-988C-84B6F3A8121D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988164-1019-4D46-B4AF-D0FB41AD7906}" name="Table5" displayName="Table5" ref="A5:D286" totalsRowShown="0" headerRowDxfId="15" dataDxfId="13" headerRowBorderDxfId="14" tableBorderDxfId="12" totalsRowBorderDxfId="11" headerRowCellStyle="Normal 2" dataCellStyle="Normal 2">
  <autoFilter ref="A5:D286" xr:uid="{118346CD-E739-4C91-87E2-9E272760A9A1}"/>
  <tableColumns count="4">
    <tableColumn id="1" xr3:uid="{90AB46C4-5AF4-4A2B-97B6-DCF7EE6B8616}" name="Month" dataDxfId="10" dataCellStyle="Normal 2"/>
    <tableColumn id="2" xr3:uid="{C8ECFF07-9824-4EBD-BE2B-1B205E22C8AB}" name="Bank of Japan: Total Assets for Japan, 100 Million Yen" dataDxfId="9" dataCellStyle="Normal 2"/>
    <tableColumn id="3" xr3:uid="{6EA119EB-AFC5-4B5F-9E9C-C820E5EBBD6D}" name="Nikkei 225" dataDxfId="8" dataCellStyle="Normal 2"/>
    <tableColumn id="4" xr3:uid="{57C0B136-3BB9-4CFB-9DE0-41A28CFD1F5A}" name="BOJ Balance sheet as % of Japanese GDP" dataDxfId="7" dataCellStyle="Normal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9C5684-397F-4611-B57C-F9F3930890DC}" name="Table58" displayName="Table58" ref="A6:B345" totalsRowShown="0" headerRowDxfId="6" dataDxfId="4" headerRowBorderDxfId="5" tableBorderDxfId="3" totalsRowBorderDxfId="2" headerRowCellStyle="Normal 2" dataCellStyle="Normal 2">
  <autoFilter ref="A6:B345" xr:uid="{CD4F3E17-3D44-4D6E-81BC-18AA2C070DF7}"/>
  <tableColumns count="2">
    <tableColumn id="1" xr3:uid="{17C2951F-B080-4474-8F63-07A96F9F0835}" name="Month" dataDxfId="1" dataCellStyle="Normal 2"/>
    <tableColumn id="2" xr3:uid="{9577A69C-5865-4B9E-A4AF-247AC09F0254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ECBASSETS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ECBASSETSW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JPNASSETS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WALC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fred.stlouisfed.org/series/WALCL" TargetMode="External"/><Relationship Id="rId4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AED3C-15F0-4837-BA3A-A893C6D7F136}">
  <sheetPr>
    <tabColor rgb="FFFFFF00"/>
  </sheetPr>
  <dimension ref="B1:J38"/>
  <sheetViews>
    <sheetView topLeftCell="A32" zoomScale="160" zoomScaleNormal="160" workbookViewId="0">
      <selection activeCell="B37" sqref="B37:J37"/>
    </sheetView>
  </sheetViews>
  <sheetFormatPr baseColWidth="10" defaultColWidth="9.1640625" defaultRowHeight="15" x14ac:dyDescent="0.2"/>
  <cols>
    <col min="1" max="1" width="9.1640625" style="1"/>
    <col min="2" max="2" width="30.33203125" style="1" customWidth="1"/>
    <col min="3" max="9" width="9.1640625" style="1"/>
    <col min="10" max="10" width="101.33203125" style="1" customWidth="1"/>
    <col min="11" max="16384" width="9.1640625" style="1"/>
  </cols>
  <sheetData>
    <row r="1" spans="2:10" x14ac:dyDescent="0.2">
      <c r="B1" s="73"/>
      <c r="C1" s="73"/>
      <c r="D1" s="73"/>
      <c r="E1" s="73"/>
      <c r="F1" s="73"/>
      <c r="G1" s="73"/>
      <c r="H1" s="73"/>
      <c r="I1" s="73"/>
      <c r="J1" s="73"/>
    </row>
    <row r="2" spans="2:10" ht="16" thickBot="1" x14ac:dyDescent="0.25">
      <c r="B2" s="74"/>
      <c r="C2" s="74"/>
      <c r="D2" s="74"/>
      <c r="E2" s="74"/>
      <c r="F2" s="74"/>
      <c r="G2" s="74"/>
      <c r="H2" s="74"/>
      <c r="I2" s="74"/>
      <c r="J2" s="74"/>
    </row>
    <row r="3" spans="2:10" ht="16" thickBot="1" x14ac:dyDescent="0.25">
      <c r="B3" s="75" t="s">
        <v>60</v>
      </c>
      <c r="C3" s="76"/>
      <c r="D3" s="76"/>
      <c r="E3" s="76"/>
      <c r="F3" s="76"/>
      <c r="G3" s="76"/>
      <c r="H3" s="76"/>
      <c r="I3" s="76"/>
      <c r="J3" s="77"/>
    </row>
    <row r="5" spans="2:10" x14ac:dyDescent="0.2">
      <c r="B5" s="8" t="s">
        <v>0</v>
      </c>
      <c r="C5" s="2" t="s">
        <v>1</v>
      </c>
    </row>
    <row r="6" spans="2:10" x14ac:dyDescent="0.2">
      <c r="C6" s="1" t="s">
        <v>5</v>
      </c>
      <c r="D6" s="1" t="s">
        <v>2</v>
      </c>
      <c r="E6" s="1" t="s">
        <v>3</v>
      </c>
      <c r="H6" s="1" t="s">
        <v>2</v>
      </c>
      <c r="I6" s="1" t="s">
        <v>4</v>
      </c>
    </row>
    <row r="7" spans="2:10" x14ac:dyDescent="0.2">
      <c r="C7" s="1" t="s">
        <v>6</v>
      </c>
      <c r="D7" s="1" t="s">
        <v>2</v>
      </c>
      <c r="E7" s="1" t="s">
        <v>7</v>
      </c>
      <c r="H7" s="1" t="s">
        <v>2</v>
      </c>
      <c r="I7" s="1" t="s">
        <v>8</v>
      </c>
    </row>
    <row r="9" spans="2:10" x14ac:dyDescent="0.2">
      <c r="B9" s="8" t="s">
        <v>10</v>
      </c>
      <c r="C9" s="3" t="s">
        <v>11</v>
      </c>
    </row>
    <row r="11" spans="2:10" x14ac:dyDescent="0.2">
      <c r="B11" s="8" t="s">
        <v>12</v>
      </c>
      <c r="C11" s="3" t="s">
        <v>13</v>
      </c>
    </row>
    <row r="13" spans="2:10" x14ac:dyDescent="0.2">
      <c r="B13" s="8" t="s">
        <v>14</v>
      </c>
      <c r="C13" s="3" t="s">
        <v>15</v>
      </c>
    </row>
    <row r="15" spans="2:10" x14ac:dyDescent="0.2">
      <c r="B15" s="8" t="s">
        <v>16</v>
      </c>
      <c r="C15" s="1" t="s">
        <v>17</v>
      </c>
    </row>
    <row r="16" spans="2:10" x14ac:dyDescent="0.2">
      <c r="C16" s="3" t="s">
        <v>18</v>
      </c>
    </row>
    <row r="18" spans="2:8" x14ac:dyDescent="0.2">
      <c r="B18" s="8" t="s">
        <v>23</v>
      </c>
      <c r="C18" s="3" t="s">
        <v>24</v>
      </c>
    </row>
    <row r="19" spans="2:8" x14ac:dyDescent="0.2">
      <c r="C19" s="1" t="s">
        <v>26</v>
      </c>
    </row>
    <row r="20" spans="2:8" x14ac:dyDescent="0.2">
      <c r="C20" s="3" t="s">
        <v>25</v>
      </c>
    </row>
    <row r="21" spans="2:8" x14ac:dyDescent="0.2">
      <c r="C21" s="1" t="s">
        <v>27</v>
      </c>
    </row>
    <row r="22" spans="2:8" x14ac:dyDescent="0.2">
      <c r="C22" s="3" t="s">
        <v>28</v>
      </c>
    </row>
    <row r="26" spans="2:8" x14ac:dyDescent="0.2">
      <c r="B26" s="8" t="s">
        <v>34</v>
      </c>
      <c r="C26" s="3" t="s">
        <v>38</v>
      </c>
    </row>
    <row r="27" spans="2:8" x14ac:dyDescent="0.2">
      <c r="B27" s="8" t="s">
        <v>35</v>
      </c>
      <c r="C27" s="3" t="s">
        <v>37</v>
      </c>
      <c r="H27" s="3" t="s">
        <v>52</v>
      </c>
    </row>
    <row r="28" spans="2:8" x14ac:dyDescent="0.2">
      <c r="B28" s="8" t="s">
        <v>36</v>
      </c>
      <c r="C28" s="3" t="s">
        <v>39</v>
      </c>
    </row>
    <row r="32" spans="2:8" x14ac:dyDescent="0.2">
      <c r="B32" s="1" t="s">
        <v>57</v>
      </c>
      <c r="C32" s="3" t="s">
        <v>56</v>
      </c>
    </row>
    <row r="36" spans="2:10" x14ac:dyDescent="0.2">
      <c r="B36" s="8"/>
    </row>
    <row r="37" spans="2:10" x14ac:dyDescent="0.2">
      <c r="B37" s="78"/>
      <c r="C37" s="79"/>
      <c r="D37" s="79"/>
      <c r="E37" s="79"/>
      <c r="F37" s="79"/>
      <c r="G37" s="79"/>
      <c r="H37" s="79"/>
      <c r="I37" s="79"/>
      <c r="J37" s="79"/>
    </row>
    <row r="38" spans="2:10" x14ac:dyDescent="0.2">
      <c r="B38" s="19"/>
    </row>
  </sheetData>
  <mergeCells count="3">
    <mergeCell ref="B1:J2"/>
    <mergeCell ref="B3:J3"/>
    <mergeCell ref="B37:J37"/>
  </mergeCells>
  <hyperlinks>
    <hyperlink ref="C9" r:id="rId1" xr:uid="{B7B8B9A5-73C0-4DFF-BE52-41748C3EE3D3}"/>
    <hyperlink ref="C11" r:id="rId2" xr:uid="{6EB80688-8542-433A-852D-C408881DA60B}"/>
    <hyperlink ref="C13" r:id="rId3" xr:uid="{B9B71B6E-E1D9-4F17-B1E5-A0AEF8478AAD}"/>
    <hyperlink ref="C16" r:id="rId4" display="https://apps.newyorkfed.org/markets/autorates/fed funds" xr:uid="{28F36A2B-8523-4CF5-B26D-BDEF8AAB62D8}"/>
    <hyperlink ref="C18" r:id="rId5" xr:uid="{28229AF8-E359-4A3A-8CEC-E7A1F3AB0BF6}"/>
    <hyperlink ref="C20" r:id="rId6" xr:uid="{46115338-3FB5-437C-8124-B85552464694}"/>
    <hyperlink ref="C22" r:id="rId7" xr:uid="{C3C6E574-E2D9-452E-9696-F392814040B7}"/>
    <hyperlink ref="C27" r:id="rId8" xr:uid="{7DED9160-2211-42C1-AF56-B6A6C41756DF}"/>
    <hyperlink ref="C26" r:id="rId9" xr:uid="{8C499D03-1F49-4F35-80D5-E54F662724D7}"/>
    <hyperlink ref="C28" r:id="rId10" xr:uid="{37C9CEA6-0D83-452F-8171-C4E33ECA2D0F}"/>
    <hyperlink ref="H27" r:id="rId11" xr:uid="{8A959EA3-3391-4502-8102-C020AAAF7D1C}"/>
    <hyperlink ref="C32" r:id="rId12" xr:uid="{AD1313BE-03BC-4723-9AB2-E9CA8649B62A}"/>
  </hyperlinks>
  <pageMargins left="0.7" right="0.7" top="0.75" bottom="0.75" header="0.3" footer="0.3"/>
  <pageSetup paperSize="9" orientation="portrait"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B9792-1E60-47D3-92BD-F8423BF51813}">
  <dimension ref="A1:B868"/>
  <sheetViews>
    <sheetView zoomScale="180" zoomScaleNormal="180" workbookViewId="0">
      <pane ySplit="7" topLeftCell="A8" activePane="bottomLeft" state="frozen"/>
      <selection pane="bottomLeft" activeCell="B772" sqref="B772"/>
    </sheetView>
  </sheetViews>
  <sheetFormatPr baseColWidth="10" defaultColWidth="9.1640625" defaultRowHeight="15" x14ac:dyDescent="0.2"/>
  <cols>
    <col min="1" max="2" width="13.83203125" style="5" customWidth="1"/>
    <col min="3" max="16384" width="9.1640625" style="1"/>
  </cols>
  <sheetData>
    <row r="1" spans="1:2" x14ac:dyDescent="0.2">
      <c r="A1" s="6" t="s">
        <v>9</v>
      </c>
      <c r="B1" s="4"/>
    </row>
    <row r="2" spans="1:2" x14ac:dyDescent="0.2">
      <c r="A2" s="4"/>
      <c r="B2" s="4"/>
    </row>
    <row r="3" spans="1:2" x14ac:dyDescent="0.2">
      <c r="A3" s="3" t="s">
        <v>59</v>
      </c>
      <c r="B3" s="4"/>
    </row>
    <row r="4" spans="1:2" x14ac:dyDescent="0.2">
      <c r="A4" s="4"/>
      <c r="B4" s="4"/>
    </row>
    <row r="6" spans="1:2" ht="16" thickBot="1" x14ac:dyDescent="0.25">
      <c r="A6" s="4"/>
      <c r="B6" s="4"/>
    </row>
    <row r="7" spans="1:2" ht="16" thickBot="1" x14ac:dyDescent="0.25">
      <c r="A7" s="46" t="s">
        <v>20</v>
      </c>
      <c r="B7" s="47" t="s">
        <v>22</v>
      </c>
    </row>
    <row r="8" spans="1:2" x14ac:dyDescent="0.2">
      <c r="A8" s="37">
        <v>18264</v>
      </c>
      <c r="B8" s="45">
        <v>1.5</v>
      </c>
    </row>
    <row r="9" spans="1:2" x14ac:dyDescent="0.2">
      <c r="A9" s="23">
        <v>18295</v>
      </c>
      <c r="B9" s="43">
        <v>1.5</v>
      </c>
    </row>
    <row r="10" spans="1:2" x14ac:dyDescent="0.2">
      <c r="A10" s="23">
        <v>18323</v>
      </c>
      <c r="B10" s="43">
        <v>1.5</v>
      </c>
    </row>
    <row r="11" spans="1:2" x14ac:dyDescent="0.2">
      <c r="A11" s="23">
        <v>18354</v>
      </c>
      <c r="B11" s="43">
        <v>1.5</v>
      </c>
    </row>
    <row r="12" spans="1:2" x14ac:dyDescent="0.2">
      <c r="A12" s="23">
        <v>18384</v>
      </c>
      <c r="B12" s="43">
        <v>1.5</v>
      </c>
    </row>
    <row r="13" spans="1:2" x14ac:dyDescent="0.2">
      <c r="A13" s="23">
        <v>18415</v>
      </c>
      <c r="B13" s="43">
        <v>1.5</v>
      </c>
    </row>
    <row r="14" spans="1:2" x14ac:dyDescent="0.2">
      <c r="A14" s="23">
        <v>18445</v>
      </c>
      <c r="B14" s="43">
        <v>1.5</v>
      </c>
    </row>
    <row r="15" spans="1:2" x14ac:dyDescent="0.2">
      <c r="A15" s="23">
        <v>18476</v>
      </c>
      <c r="B15" s="43">
        <v>1.59</v>
      </c>
    </row>
    <row r="16" spans="1:2" x14ac:dyDescent="0.2">
      <c r="A16" s="23">
        <v>18507</v>
      </c>
      <c r="B16" s="43">
        <v>1.75</v>
      </c>
    </row>
    <row r="17" spans="1:2" x14ac:dyDescent="0.2">
      <c r="A17" s="23">
        <v>18537</v>
      </c>
      <c r="B17" s="43">
        <v>1.75</v>
      </c>
    </row>
    <row r="18" spans="1:2" x14ac:dyDescent="0.2">
      <c r="A18" s="23">
        <v>18568</v>
      </c>
      <c r="B18" s="43">
        <v>1.75</v>
      </c>
    </row>
    <row r="19" spans="1:2" x14ac:dyDescent="0.2">
      <c r="A19" s="23">
        <v>18598</v>
      </c>
      <c r="B19" s="43">
        <v>1.75</v>
      </c>
    </row>
    <row r="20" spans="1:2" x14ac:dyDescent="0.2">
      <c r="A20" s="23">
        <v>18629</v>
      </c>
      <c r="B20" s="43">
        <v>1.75</v>
      </c>
    </row>
    <row r="21" spans="1:2" x14ac:dyDescent="0.2">
      <c r="A21" s="23">
        <v>18660</v>
      </c>
      <c r="B21" s="43">
        <v>1.75</v>
      </c>
    </row>
    <row r="22" spans="1:2" x14ac:dyDescent="0.2">
      <c r="A22" s="23">
        <v>18688</v>
      </c>
      <c r="B22" s="43">
        <v>1.75</v>
      </c>
    </row>
    <row r="23" spans="1:2" x14ac:dyDescent="0.2">
      <c r="A23" s="23">
        <v>18719</v>
      </c>
      <c r="B23" s="43">
        <v>1.75</v>
      </c>
    </row>
    <row r="24" spans="1:2" x14ac:dyDescent="0.2">
      <c r="A24" s="23">
        <v>18749</v>
      </c>
      <c r="B24" s="43">
        <v>1.75</v>
      </c>
    </row>
    <row r="25" spans="1:2" x14ac:dyDescent="0.2">
      <c r="A25" s="23">
        <v>18780</v>
      </c>
      <c r="B25" s="43">
        <v>1.75</v>
      </c>
    </row>
    <row r="26" spans="1:2" x14ac:dyDescent="0.2">
      <c r="A26" s="23">
        <v>18810</v>
      </c>
      <c r="B26" s="43">
        <v>1.75</v>
      </c>
    </row>
    <row r="27" spans="1:2" x14ac:dyDescent="0.2">
      <c r="A27" s="23">
        <v>18841</v>
      </c>
      <c r="B27" s="43">
        <v>1.75</v>
      </c>
    </row>
    <row r="28" spans="1:2" x14ac:dyDescent="0.2">
      <c r="A28" s="23">
        <v>18872</v>
      </c>
      <c r="B28" s="43">
        <v>1.75</v>
      </c>
    </row>
    <row r="29" spans="1:2" x14ac:dyDescent="0.2">
      <c r="A29" s="23">
        <v>18902</v>
      </c>
      <c r="B29" s="43">
        <v>1.75</v>
      </c>
    </row>
    <row r="30" spans="1:2" x14ac:dyDescent="0.2">
      <c r="A30" s="23">
        <v>18933</v>
      </c>
      <c r="B30" s="43">
        <v>1.75</v>
      </c>
    </row>
    <row r="31" spans="1:2" x14ac:dyDescent="0.2">
      <c r="A31" s="23">
        <v>18963</v>
      </c>
      <c r="B31" s="43">
        <v>1.75</v>
      </c>
    </row>
    <row r="32" spans="1:2" x14ac:dyDescent="0.2">
      <c r="A32" s="23">
        <v>18994</v>
      </c>
      <c r="B32" s="43">
        <v>1.75</v>
      </c>
    </row>
    <row r="33" spans="1:2" x14ac:dyDescent="0.2">
      <c r="A33" s="23">
        <v>19025</v>
      </c>
      <c r="B33" s="43">
        <v>1.75</v>
      </c>
    </row>
    <row r="34" spans="1:2" x14ac:dyDescent="0.2">
      <c r="A34" s="23">
        <v>19054</v>
      </c>
      <c r="B34" s="43">
        <v>1.75</v>
      </c>
    </row>
    <row r="35" spans="1:2" x14ac:dyDescent="0.2">
      <c r="A35" s="23">
        <v>19085</v>
      </c>
      <c r="B35" s="43">
        <v>1.75</v>
      </c>
    </row>
    <row r="36" spans="1:2" x14ac:dyDescent="0.2">
      <c r="A36" s="23">
        <v>19115</v>
      </c>
      <c r="B36" s="43">
        <v>1.75</v>
      </c>
    </row>
    <row r="37" spans="1:2" x14ac:dyDescent="0.2">
      <c r="A37" s="23">
        <v>19146</v>
      </c>
      <c r="B37" s="43">
        <v>1.75</v>
      </c>
    </row>
    <row r="38" spans="1:2" x14ac:dyDescent="0.2">
      <c r="A38" s="23">
        <v>19176</v>
      </c>
      <c r="B38" s="43">
        <v>1.75</v>
      </c>
    </row>
    <row r="39" spans="1:2" x14ac:dyDescent="0.2">
      <c r="A39" s="23">
        <v>19207</v>
      </c>
      <c r="B39" s="43">
        <v>1.75</v>
      </c>
    </row>
    <row r="40" spans="1:2" x14ac:dyDescent="0.2">
      <c r="A40" s="23">
        <v>19238</v>
      </c>
      <c r="B40" s="43">
        <v>1.75</v>
      </c>
    </row>
    <row r="41" spans="1:2" x14ac:dyDescent="0.2">
      <c r="A41" s="23">
        <v>19268</v>
      </c>
      <c r="B41" s="43">
        <v>1.75</v>
      </c>
    </row>
    <row r="42" spans="1:2" x14ac:dyDescent="0.2">
      <c r="A42" s="23">
        <v>19299</v>
      </c>
      <c r="B42" s="43">
        <v>1.75</v>
      </c>
    </row>
    <row r="43" spans="1:2" x14ac:dyDescent="0.2">
      <c r="A43" s="23">
        <v>19329</v>
      </c>
      <c r="B43" s="43">
        <v>1.75</v>
      </c>
    </row>
    <row r="44" spans="1:2" x14ac:dyDescent="0.2">
      <c r="A44" s="23">
        <v>19360</v>
      </c>
      <c r="B44" s="43">
        <v>1.88</v>
      </c>
    </row>
    <row r="45" spans="1:2" x14ac:dyDescent="0.2">
      <c r="A45" s="23">
        <v>19391</v>
      </c>
      <c r="B45" s="43">
        <v>2</v>
      </c>
    </row>
    <row r="46" spans="1:2" x14ac:dyDescent="0.2">
      <c r="A46" s="23">
        <v>19419</v>
      </c>
      <c r="B46" s="43">
        <v>2</v>
      </c>
    </row>
    <row r="47" spans="1:2" x14ac:dyDescent="0.2">
      <c r="A47" s="23">
        <v>19450</v>
      </c>
      <c r="B47" s="43">
        <v>2</v>
      </c>
    </row>
    <row r="48" spans="1:2" x14ac:dyDescent="0.2">
      <c r="A48" s="23">
        <v>19480</v>
      </c>
      <c r="B48" s="43">
        <v>2</v>
      </c>
    </row>
    <row r="49" spans="1:2" x14ac:dyDescent="0.2">
      <c r="A49" s="23">
        <v>19511</v>
      </c>
      <c r="B49" s="43">
        <v>2</v>
      </c>
    </row>
    <row r="50" spans="1:2" x14ac:dyDescent="0.2">
      <c r="A50" s="23">
        <v>19541</v>
      </c>
      <c r="B50" s="43">
        <v>2</v>
      </c>
    </row>
    <row r="51" spans="1:2" x14ac:dyDescent="0.2">
      <c r="A51" s="23">
        <v>19572</v>
      </c>
      <c r="B51" s="43">
        <v>2</v>
      </c>
    </row>
    <row r="52" spans="1:2" x14ac:dyDescent="0.2">
      <c r="A52" s="23">
        <v>19603</v>
      </c>
      <c r="B52" s="43">
        <v>2</v>
      </c>
    </row>
    <row r="53" spans="1:2" x14ac:dyDescent="0.2">
      <c r="A53" s="23">
        <v>19633</v>
      </c>
      <c r="B53" s="43">
        <v>2</v>
      </c>
    </row>
    <row r="54" spans="1:2" x14ac:dyDescent="0.2">
      <c r="A54" s="23">
        <v>19664</v>
      </c>
      <c r="B54" s="43">
        <v>2</v>
      </c>
    </row>
    <row r="55" spans="1:2" x14ac:dyDescent="0.2">
      <c r="A55" s="23">
        <v>19694</v>
      </c>
      <c r="B55" s="43">
        <v>2</v>
      </c>
    </row>
    <row r="56" spans="1:2" x14ac:dyDescent="0.2">
      <c r="A56" s="23">
        <v>19725</v>
      </c>
      <c r="B56" s="43">
        <v>2</v>
      </c>
    </row>
    <row r="57" spans="1:2" x14ac:dyDescent="0.2">
      <c r="A57" s="23">
        <v>19756</v>
      </c>
      <c r="B57" s="43">
        <v>1.79</v>
      </c>
    </row>
    <row r="58" spans="1:2" x14ac:dyDescent="0.2">
      <c r="A58" s="23">
        <v>19784</v>
      </c>
      <c r="B58" s="43">
        <v>1.75</v>
      </c>
    </row>
    <row r="59" spans="1:2" x14ac:dyDescent="0.2">
      <c r="A59" s="23">
        <v>19815</v>
      </c>
      <c r="B59" s="43">
        <v>1.63</v>
      </c>
    </row>
    <row r="60" spans="1:2" x14ac:dyDescent="0.2">
      <c r="A60" s="23">
        <v>19845</v>
      </c>
      <c r="B60" s="43">
        <v>1.5</v>
      </c>
    </row>
    <row r="61" spans="1:2" x14ac:dyDescent="0.2">
      <c r="A61" s="23">
        <v>19876</v>
      </c>
      <c r="B61" s="43">
        <v>1.5</v>
      </c>
    </row>
    <row r="62" spans="1:2" x14ac:dyDescent="0.2">
      <c r="A62" s="23">
        <v>19906</v>
      </c>
      <c r="B62" s="43">
        <v>1.5</v>
      </c>
    </row>
    <row r="63" spans="1:2" x14ac:dyDescent="0.2">
      <c r="A63" s="23">
        <v>19937</v>
      </c>
      <c r="B63" s="43">
        <v>1.5</v>
      </c>
    </row>
    <row r="64" spans="1:2" x14ac:dyDescent="0.2">
      <c r="A64" s="23">
        <v>19968</v>
      </c>
      <c r="B64" s="43">
        <v>1.5</v>
      </c>
    </row>
    <row r="65" spans="1:2" x14ac:dyDescent="0.2">
      <c r="A65" s="23">
        <v>19998</v>
      </c>
      <c r="B65" s="43">
        <v>1.5</v>
      </c>
    </row>
    <row r="66" spans="1:2" x14ac:dyDescent="0.2">
      <c r="A66" s="23">
        <v>20029</v>
      </c>
      <c r="B66" s="43">
        <v>1.5</v>
      </c>
    </row>
    <row r="67" spans="1:2" x14ac:dyDescent="0.2">
      <c r="A67" s="23">
        <v>20059</v>
      </c>
      <c r="B67" s="43">
        <v>1.5</v>
      </c>
    </row>
    <row r="68" spans="1:2" x14ac:dyDescent="0.2">
      <c r="A68" s="23">
        <v>20090</v>
      </c>
      <c r="B68" s="43">
        <v>1.5</v>
      </c>
    </row>
    <row r="69" spans="1:2" x14ac:dyDescent="0.2">
      <c r="A69" s="23">
        <v>20121</v>
      </c>
      <c r="B69" s="43">
        <v>1.5</v>
      </c>
    </row>
    <row r="70" spans="1:2" x14ac:dyDescent="0.2">
      <c r="A70" s="23">
        <v>20149</v>
      </c>
      <c r="B70" s="43">
        <v>1.5</v>
      </c>
    </row>
    <row r="71" spans="1:2" x14ac:dyDescent="0.2">
      <c r="A71" s="23">
        <v>20180</v>
      </c>
      <c r="B71" s="43">
        <v>1.63</v>
      </c>
    </row>
    <row r="72" spans="1:2" x14ac:dyDescent="0.2">
      <c r="A72" s="23">
        <v>20210</v>
      </c>
      <c r="B72" s="43">
        <v>1.75</v>
      </c>
    </row>
    <row r="73" spans="1:2" x14ac:dyDescent="0.2">
      <c r="A73" s="23">
        <v>20241</v>
      </c>
      <c r="B73" s="43">
        <v>1.75</v>
      </c>
    </row>
    <row r="74" spans="1:2" x14ac:dyDescent="0.2">
      <c r="A74" s="23">
        <v>20271</v>
      </c>
      <c r="B74" s="43">
        <v>1.75</v>
      </c>
    </row>
    <row r="75" spans="1:2" x14ac:dyDescent="0.2">
      <c r="A75" s="23">
        <v>20302</v>
      </c>
      <c r="B75" s="43">
        <v>1.97</v>
      </c>
    </row>
    <row r="76" spans="1:2" x14ac:dyDescent="0.2">
      <c r="A76" s="23">
        <v>20333</v>
      </c>
      <c r="B76" s="43">
        <v>2.1800000000000002</v>
      </c>
    </row>
    <row r="77" spans="1:2" x14ac:dyDescent="0.2">
      <c r="A77" s="23">
        <v>20363</v>
      </c>
      <c r="B77" s="43">
        <v>2.25</v>
      </c>
    </row>
    <row r="78" spans="1:2" x14ac:dyDescent="0.2">
      <c r="A78" s="23">
        <v>20394</v>
      </c>
      <c r="B78" s="43">
        <v>2.36</v>
      </c>
    </row>
    <row r="79" spans="1:2" x14ac:dyDescent="0.2">
      <c r="A79" s="23">
        <v>20424</v>
      </c>
      <c r="B79" s="43">
        <v>2.5</v>
      </c>
    </row>
    <row r="80" spans="1:2" x14ac:dyDescent="0.2">
      <c r="A80" s="23">
        <v>20455</v>
      </c>
      <c r="B80" s="43">
        <v>2.5</v>
      </c>
    </row>
    <row r="81" spans="1:2" x14ac:dyDescent="0.2">
      <c r="A81" s="23">
        <v>20486</v>
      </c>
      <c r="B81" s="43">
        <v>2.5</v>
      </c>
    </row>
    <row r="82" spans="1:2" x14ac:dyDescent="0.2">
      <c r="A82" s="23">
        <v>20515</v>
      </c>
      <c r="B82" s="43">
        <v>2.5</v>
      </c>
    </row>
    <row r="83" spans="1:2" x14ac:dyDescent="0.2">
      <c r="A83" s="23">
        <v>20546</v>
      </c>
      <c r="B83" s="43">
        <v>2.65</v>
      </c>
    </row>
    <row r="84" spans="1:2" x14ac:dyDescent="0.2">
      <c r="A84" s="23">
        <v>20576</v>
      </c>
      <c r="B84" s="43">
        <v>2.75</v>
      </c>
    </row>
    <row r="85" spans="1:2" x14ac:dyDescent="0.2">
      <c r="A85" s="23">
        <v>20607</v>
      </c>
      <c r="B85" s="43">
        <v>2.75</v>
      </c>
    </row>
    <row r="86" spans="1:2" x14ac:dyDescent="0.2">
      <c r="A86" s="23">
        <v>20637</v>
      </c>
      <c r="B86" s="43">
        <v>2.75</v>
      </c>
    </row>
    <row r="87" spans="1:2" x14ac:dyDescent="0.2">
      <c r="A87" s="23">
        <v>20668</v>
      </c>
      <c r="B87" s="43">
        <v>2.81</v>
      </c>
    </row>
    <row r="88" spans="1:2" x14ac:dyDescent="0.2">
      <c r="A88" s="23">
        <v>20699</v>
      </c>
      <c r="B88" s="43">
        <v>3</v>
      </c>
    </row>
    <row r="89" spans="1:2" x14ac:dyDescent="0.2">
      <c r="A89" s="23">
        <v>20729</v>
      </c>
      <c r="B89" s="43">
        <v>3</v>
      </c>
    </row>
    <row r="90" spans="1:2" x14ac:dyDescent="0.2">
      <c r="A90" s="23">
        <v>20760</v>
      </c>
      <c r="B90" s="43">
        <v>3</v>
      </c>
    </row>
    <row r="91" spans="1:2" x14ac:dyDescent="0.2">
      <c r="A91" s="23">
        <v>20790</v>
      </c>
      <c r="B91" s="43">
        <v>3</v>
      </c>
    </row>
    <row r="92" spans="1:2" x14ac:dyDescent="0.2">
      <c r="A92" s="23">
        <v>20821</v>
      </c>
      <c r="B92" s="43">
        <v>3</v>
      </c>
    </row>
    <row r="93" spans="1:2" x14ac:dyDescent="0.2">
      <c r="A93" s="23">
        <v>20852</v>
      </c>
      <c r="B93" s="43">
        <v>3</v>
      </c>
    </row>
    <row r="94" spans="1:2" x14ac:dyDescent="0.2">
      <c r="A94" s="23">
        <v>20880</v>
      </c>
      <c r="B94" s="43">
        <v>3</v>
      </c>
    </row>
    <row r="95" spans="1:2" x14ac:dyDescent="0.2">
      <c r="A95" s="23">
        <v>20911</v>
      </c>
      <c r="B95" s="43">
        <v>3</v>
      </c>
    </row>
    <row r="96" spans="1:2" x14ac:dyDescent="0.2">
      <c r="A96" s="23">
        <v>20941</v>
      </c>
      <c r="B96" s="43">
        <v>3</v>
      </c>
    </row>
    <row r="97" spans="1:2" x14ac:dyDescent="0.2">
      <c r="A97" s="23">
        <v>20972</v>
      </c>
      <c r="B97" s="43">
        <v>3</v>
      </c>
    </row>
    <row r="98" spans="1:2" x14ac:dyDescent="0.2">
      <c r="A98" s="23">
        <v>21002</v>
      </c>
      <c r="B98" s="43">
        <v>3</v>
      </c>
    </row>
    <row r="99" spans="1:2" x14ac:dyDescent="0.2">
      <c r="A99" s="23">
        <v>21033</v>
      </c>
      <c r="B99" s="43">
        <v>3.15</v>
      </c>
    </row>
    <row r="100" spans="1:2" x14ac:dyDescent="0.2">
      <c r="A100" s="23">
        <v>21064</v>
      </c>
      <c r="B100" s="43">
        <v>3.5</v>
      </c>
    </row>
    <row r="101" spans="1:2" x14ac:dyDescent="0.2">
      <c r="A101" s="23">
        <v>21094</v>
      </c>
      <c r="B101" s="43">
        <v>3.5</v>
      </c>
    </row>
    <row r="102" spans="1:2" x14ac:dyDescent="0.2">
      <c r="A102" s="23">
        <v>21125</v>
      </c>
      <c r="B102" s="43">
        <v>3.23</v>
      </c>
    </row>
    <row r="103" spans="1:2" x14ac:dyDescent="0.2">
      <c r="A103" s="23">
        <v>21155</v>
      </c>
      <c r="B103" s="43">
        <v>3</v>
      </c>
    </row>
    <row r="104" spans="1:2" x14ac:dyDescent="0.2">
      <c r="A104" s="23">
        <v>21186</v>
      </c>
      <c r="B104" s="43">
        <v>2.94</v>
      </c>
    </row>
    <row r="105" spans="1:2" x14ac:dyDescent="0.2">
      <c r="A105" s="23">
        <v>21217</v>
      </c>
      <c r="B105" s="43">
        <v>2.75</v>
      </c>
    </row>
    <row r="106" spans="1:2" x14ac:dyDescent="0.2">
      <c r="A106" s="23">
        <v>21245</v>
      </c>
      <c r="B106" s="43">
        <v>2.35</v>
      </c>
    </row>
    <row r="107" spans="1:2" x14ac:dyDescent="0.2">
      <c r="A107" s="23">
        <v>21276</v>
      </c>
      <c r="B107" s="43">
        <v>2.0299999999999998</v>
      </c>
    </row>
    <row r="108" spans="1:2" x14ac:dyDescent="0.2">
      <c r="A108" s="23">
        <v>21306</v>
      </c>
      <c r="B108" s="43">
        <v>1.75</v>
      </c>
    </row>
    <row r="109" spans="1:2" x14ac:dyDescent="0.2">
      <c r="A109" s="23">
        <v>21337</v>
      </c>
      <c r="B109" s="43">
        <v>1.75</v>
      </c>
    </row>
    <row r="110" spans="1:2" x14ac:dyDescent="0.2">
      <c r="A110" s="23">
        <v>21367</v>
      </c>
      <c r="B110" s="43">
        <v>1.75</v>
      </c>
    </row>
    <row r="111" spans="1:2" x14ac:dyDescent="0.2">
      <c r="A111" s="23">
        <v>21398</v>
      </c>
      <c r="B111" s="43">
        <v>1.75</v>
      </c>
    </row>
    <row r="112" spans="1:2" x14ac:dyDescent="0.2">
      <c r="A112" s="23">
        <v>21429</v>
      </c>
      <c r="B112" s="43">
        <v>1.91</v>
      </c>
    </row>
    <row r="113" spans="1:2" x14ac:dyDescent="0.2">
      <c r="A113" s="23">
        <v>21459</v>
      </c>
      <c r="B113" s="43">
        <v>2</v>
      </c>
    </row>
    <row r="114" spans="1:2" x14ac:dyDescent="0.2">
      <c r="A114" s="23">
        <v>21490</v>
      </c>
      <c r="B114" s="43">
        <v>2.4</v>
      </c>
    </row>
    <row r="115" spans="1:2" x14ac:dyDescent="0.2">
      <c r="A115" s="23">
        <v>21520</v>
      </c>
      <c r="B115" s="43">
        <v>2.5</v>
      </c>
    </row>
    <row r="116" spans="1:2" x14ac:dyDescent="0.2">
      <c r="A116" s="23">
        <v>21551</v>
      </c>
      <c r="B116" s="43">
        <v>2.5</v>
      </c>
    </row>
    <row r="117" spans="1:2" x14ac:dyDescent="0.2">
      <c r="A117" s="23">
        <v>21582</v>
      </c>
      <c r="B117" s="43">
        <v>2.5</v>
      </c>
    </row>
    <row r="118" spans="1:2" x14ac:dyDescent="0.2">
      <c r="A118" s="23">
        <v>21610</v>
      </c>
      <c r="B118" s="43">
        <v>2.92</v>
      </c>
    </row>
    <row r="119" spans="1:2" x14ac:dyDescent="0.2">
      <c r="A119" s="23">
        <v>21641</v>
      </c>
      <c r="B119" s="43">
        <v>3</v>
      </c>
    </row>
    <row r="120" spans="1:2" x14ac:dyDescent="0.2">
      <c r="A120" s="23">
        <v>21671</v>
      </c>
      <c r="B120" s="43">
        <v>3.05</v>
      </c>
    </row>
    <row r="121" spans="1:2" x14ac:dyDescent="0.2">
      <c r="A121" s="23">
        <v>21702</v>
      </c>
      <c r="B121" s="43">
        <v>3.5</v>
      </c>
    </row>
    <row r="122" spans="1:2" x14ac:dyDescent="0.2">
      <c r="A122" s="23">
        <v>21732</v>
      </c>
      <c r="B122" s="43">
        <v>3.5</v>
      </c>
    </row>
    <row r="123" spans="1:2" x14ac:dyDescent="0.2">
      <c r="A123" s="23">
        <v>21763</v>
      </c>
      <c r="B123" s="43">
        <v>3.5</v>
      </c>
    </row>
    <row r="124" spans="1:2" x14ac:dyDescent="0.2">
      <c r="A124" s="23">
        <v>21794</v>
      </c>
      <c r="B124" s="43">
        <v>3.83</v>
      </c>
    </row>
    <row r="125" spans="1:2" x14ac:dyDescent="0.2">
      <c r="A125" s="23">
        <v>21824</v>
      </c>
      <c r="B125" s="43">
        <v>4</v>
      </c>
    </row>
    <row r="126" spans="1:2" x14ac:dyDescent="0.2">
      <c r="A126" s="23">
        <v>21855</v>
      </c>
      <c r="B126" s="43">
        <v>4</v>
      </c>
    </row>
    <row r="127" spans="1:2" x14ac:dyDescent="0.2">
      <c r="A127" s="23">
        <v>21885</v>
      </c>
      <c r="B127" s="43">
        <v>4</v>
      </c>
    </row>
    <row r="128" spans="1:2" x14ac:dyDescent="0.2">
      <c r="A128" s="23">
        <v>21916</v>
      </c>
      <c r="B128" s="43">
        <v>4</v>
      </c>
    </row>
    <row r="129" spans="1:2" x14ac:dyDescent="0.2">
      <c r="A129" s="23">
        <v>21947</v>
      </c>
      <c r="B129" s="43">
        <v>4</v>
      </c>
    </row>
    <row r="130" spans="1:2" x14ac:dyDescent="0.2">
      <c r="A130" s="23">
        <v>21976</v>
      </c>
      <c r="B130" s="43">
        <v>4</v>
      </c>
    </row>
    <row r="131" spans="1:2" x14ac:dyDescent="0.2">
      <c r="A131" s="23">
        <v>22007</v>
      </c>
      <c r="B131" s="43">
        <v>4</v>
      </c>
    </row>
    <row r="132" spans="1:2" x14ac:dyDescent="0.2">
      <c r="A132" s="23">
        <v>22037</v>
      </c>
      <c r="B132" s="43">
        <v>4</v>
      </c>
    </row>
    <row r="133" spans="1:2" x14ac:dyDescent="0.2">
      <c r="A133" s="23">
        <v>22068</v>
      </c>
      <c r="B133" s="43">
        <v>3.65</v>
      </c>
    </row>
    <row r="134" spans="1:2" x14ac:dyDescent="0.2">
      <c r="A134" s="23">
        <v>22098</v>
      </c>
      <c r="B134" s="43">
        <v>3.5</v>
      </c>
    </row>
    <row r="135" spans="1:2" x14ac:dyDescent="0.2">
      <c r="A135" s="23">
        <v>22129</v>
      </c>
      <c r="B135" s="43">
        <v>3.18</v>
      </c>
    </row>
    <row r="136" spans="1:2" x14ac:dyDescent="0.2">
      <c r="A136" s="23">
        <v>22160</v>
      </c>
      <c r="B136" s="43">
        <v>3</v>
      </c>
    </row>
    <row r="137" spans="1:2" x14ac:dyDescent="0.2">
      <c r="A137" s="23">
        <v>22190</v>
      </c>
      <c r="B137" s="43">
        <v>3</v>
      </c>
    </row>
    <row r="138" spans="1:2" x14ac:dyDescent="0.2">
      <c r="A138" s="23">
        <v>22221</v>
      </c>
      <c r="B138" s="43">
        <v>3</v>
      </c>
    </row>
    <row r="139" spans="1:2" x14ac:dyDescent="0.2">
      <c r="A139" s="23">
        <v>22251</v>
      </c>
      <c r="B139" s="43">
        <v>3</v>
      </c>
    </row>
    <row r="140" spans="1:2" x14ac:dyDescent="0.2">
      <c r="A140" s="23">
        <v>22282</v>
      </c>
      <c r="B140" s="43">
        <v>3</v>
      </c>
    </row>
    <row r="141" spans="1:2" x14ac:dyDescent="0.2">
      <c r="A141" s="23">
        <v>22313</v>
      </c>
      <c r="B141" s="43">
        <v>3</v>
      </c>
    </row>
    <row r="142" spans="1:2" x14ac:dyDescent="0.2">
      <c r="A142" s="23">
        <v>22341</v>
      </c>
      <c r="B142" s="43">
        <v>3</v>
      </c>
    </row>
    <row r="143" spans="1:2" x14ac:dyDescent="0.2">
      <c r="A143" s="23">
        <v>22372</v>
      </c>
      <c r="B143" s="43">
        <v>3</v>
      </c>
    </row>
    <row r="144" spans="1:2" x14ac:dyDescent="0.2">
      <c r="A144" s="23">
        <v>22402</v>
      </c>
      <c r="B144" s="43">
        <v>3</v>
      </c>
    </row>
    <row r="145" spans="1:2" x14ac:dyDescent="0.2">
      <c r="A145" s="23">
        <v>22433</v>
      </c>
      <c r="B145" s="43">
        <v>3</v>
      </c>
    </row>
    <row r="146" spans="1:2" x14ac:dyDescent="0.2">
      <c r="A146" s="23">
        <v>22463</v>
      </c>
      <c r="B146" s="43">
        <v>3</v>
      </c>
    </row>
    <row r="147" spans="1:2" x14ac:dyDescent="0.2">
      <c r="A147" s="23">
        <v>22494</v>
      </c>
      <c r="B147" s="43">
        <v>3</v>
      </c>
    </row>
    <row r="148" spans="1:2" x14ac:dyDescent="0.2">
      <c r="A148" s="23">
        <v>22525</v>
      </c>
      <c r="B148" s="43">
        <v>3</v>
      </c>
    </row>
    <row r="149" spans="1:2" x14ac:dyDescent="0.2">
      <c r="A149" s="23">
        <v>22555</v>
      </c>
      <c r="B149" s="43">
        <v>3</v>
      </c>
    </row>
    <row r="150" spans="1:2" x14ac:dyDescent="0.2">
      <c r="A150" s="23">
        <v>22586</v>
      </c>
      <c r="B150" s="43">
        <v>3</v>
      </c>
    </row>
    <row r="151" spans="1:2" x14ac:dyDescent="0.2">
      <c r="A151" s="23">
        <v>22616</v>
      </c>
      <c r="B151" s="43">
        <v>3</v>
      </c>
    </row>
    <row r="152" spans="1:2" x14ac:dyDescent="0.2">
      <c r="A152" s="23">
        <v>22647</v>
      </c>
      <c r="B152" s="43">
        <v>3</v>
      </c>
    </row>
    <row r="153" spans="1:2" x14ac:dyDescent="0.2">
      <c r="A153" s="23">
        <v>22678</v>
      </c>
      <c r="B153" s="43">
        <v>3</v>
      </c>
    </row>
    <row r="154" spans="1:2" x14ac:dyDescent="0.2">
      <c r="A154" s="23">
        <v>22706</v>
      </c>
      <c r="B154" s="43">
        <v>3</v>
      </c>
    </row>
    <row r="155" spans="1:2" x14ac:dyDescent="0.2">
      <c r="A155" s="23">
        <v>22737</v>
      </c>
      <c r="B155" s="43">
        <v>3</v>
      </c>
    </row>
    <row r="156" spans="1:2" x14ac:dyDescent="0.2">
      <c r="A156" s="23">
        <v>22767</v>
      </c>
      <c r="B156" s="43">
        <v>3</v>
      </c>
    </row>
    <row r="157" spans="1:2" x14ac:dyDescent="0.2">
      <c r="A157" s="23">
        <v>22798</v>
      </c>
      <c r="B157" s="43">
        <v>3</v>
      </c>
    </row>
    <row r="158" spans="1:2" x14ac:dyDescent="0.2">
      <c r="A158" s="23">
        <v>22828</v>
      </c>
      <c r="B158" s="43">
        <v>3</v>
      </c>
    </row>
    <row r="159" spans="1:2" x14ac:dyDescent="0.2">
      <c r="A159" s="23">
        <v>22859</v>
      </c>
      <c r="B159" s="43">
        <v>3</v>
      </c>
    </row>
    <row r="160" spans="1:2" x14ac:dyDescent="0.2">
      <c r="A160" s="23">
        <v>22890</v>
      </c>
      <c r="B160" s="43">
        <v>3</v>
      </c>
    </row>
    <row r="161" spans="1:2" x14ac:dyDescent="0.2">
      <c r="A161" s="23">
        <v>22920</v>
      </c>
      <c r="B161" s="43">
        <v>3</v>
      </c>
    </row>
    <row r="162" spans="1:2" x14ac:dyDescent="0.2">
      <c r="A162" s="23">
        <v>22951</v>
      </c>
      <c r="B162" s="43">
        <v>3</v>
      </c>
    </row>
    <row r="163" spans="1:2" x14ac:dyDescent="0.2">
      <c r="A163" s="23">
        <v>22981</v>
      </c>
      <c r="B163" s="43">
        <v>3</v>
      </c>
    </row>
    <row r="164" spans="1:2" x14ac:dyDescent="0.2">
      <c r="A164" s="23">
        <v>23012</v>
      </c>
      <c r="B164" s="43">
        <v>3</v>
      </c>
    </row>
    <row r="165" spans="1:2" x14ac:dyDescent="0.2">
      <c r="A165" s="23">
        <v>23043</v>
      </c>
      <c r="B165" s="43">
        <v>3</v>
      </c>
    </row>
    <row r="166" spans="1:2" x14ac:dyDescent="0.2">
      <c r="A166" s="23">
        <v>23071</v>
      </c>
      <c r="B166" s="43">
        <v>3</v>
      </c>
    </row>
    <row r="167" spans="1:2" x14ac:dyDescent="0.2">
      <c r="A167" s="23">
        <v>23102</v>
      </c>
      <c r="B167" s="43">
        <v>3</v>
      </c>
    </row>
    <row r="168" spans="1:2" x14ac:dyDescent="0.2">
      <c r="A168" s="23">
        <v>23132</v>
      </c>
      <c r="B168" s="43">
        <v>3</v>
      </c>
    </row>
    <row r="169" spans="1:2" x14ac:dyDescent="0.2">
      <c r="A169" s="23">
        <v>23163</v>
      </c>
      <c r="B169" s="43">
        <v>3</v>
      </c>
    </row>
    <row r="170" spans="1:2" x14ac:dyDescent="0.2">
      <c r="A170" s="23">
        <v>23193</v>
      </c>
      <c r="B170" s="43">
        <v>3.24</v>
      </c>
    </row>
    <row r="171" spans="1:2" x14ac:dyDescent="0.2">
      <c r="A171" s="23">
        <v>23224</v>
      </c>
      <c r="B171" s="43">
        <v>3.5</v>
      </c>
    </row>
    <row r="172" spans="1:2" x14ac:dyDescent="0.2">
      <c r="A172" s="23">
        <v>23255</v>
      </c>
      <c r="B172" s="43">
        <v>3.5</v>
      </c>
    </row>
    <row r="173" spans="1:2" x14ac:dyDescent="0.2">
      <c r="A173" s="23">
        <v>23285</v>
      </c>
      <c r="B173" s="43">
        <v>3.5</v>
      </c>
    </row>
    <row r="174" spans="1:2" x14ac:dyDescent="0.2">
      <c r="A174" s="23">
        <v>23316</v>
      </c>
      <c r="B174" s="43">
        <v>3.5</v>
      </c>
    </row>
    <row r="175" spans="1:2" x14ac:dyDescent="0.2">
      <c r="A175" s="23">
        <v>23346</v>
      </c>
      <c r="B175" s="43">
        <v>3.5</v>
      </c>
    </row>
    <row r="176" spans="1:2" x14ac:dyDescent="0.2">
      <c r="A176" s="23">
        <v>23377</v>
      </c>
      <c r="B176" s="43">
        <v>3.5</v>
      </c>
    </row>
    <row r="177" spans="1:2" x14ac:dyDescent="0.2">
      <c r="A177" s="23">
        <v>23408</v>
      </c>
      <c r="B177" s="43">
        <v>3.5</v>
      </c>
    </row>
    <row r="178" spans="1:2" x14ac:dyDescent="0.2">
      <c r="A178" s="23">
        <v>23437</v>
      </c>
      <c r="B178" s="43">
        <v>3.5</v>
      </c>
    </row>
    <row r="179" spans="1:2" x14ac:dyDescent="0.2">
      <c r="A179" s="23">
        <v>23468</v>
      </c>
      <c r="B179" s="43">
        <v>3.5</v>
      </c>
    </row>
    <row r="180" spans="1:2" x14ac:dyDescent="0.2">
      <c r="A180" s="23">
        <v>23498</v>
      </c>
      <c r="B180" s="43">
        <v>3.5</v>
      </c>
    </row>
    <row r="181" spans="1:2" x14ac:dyDescent="0.2">
      <c r="A181" s="23">
        <v>23529</v>
      </c>
      <c r="B181" s="43">
        <v>3.5</v>
      </c>
    </row>
    <row r="182" spans="1:2" x14ac:dyDescent="0.2">
      <c r="A182" s="23">
        <v>23559</v>
      </c>
      <c r="B182" s="43">
        <v>3.5</v>
      </c>
    </row>
    <row r="183" spans="1:2" x14ac:dyDescent="0.2">
      <c r="A183" s="23">
        <v>23590</v>
      </c>
      <c r="B183" s="43">
        <v>3.5</v>
      </c>
    </row>
    <row r="184" spans="1:2" x14ac:dyDescent="0.2">
      <c r="A184" s="23">
        <v>23621</v>
      </c>
      <c r="B184" s="43">
        <v>3.5</v>
      </c>
    </row>
    <row r="185" spans="1:2" x14ac:dyDescent="0.2">
      <c r="A185" s="23">
        <v>23651</v>
      </c>
      <c r="B185" s="43">
        <v>3.5</v>
      </c>
    </row>
    <row r="186" spans="1:2" x14ac:dyDescent="0.2">
      <c r="A186" s="23">
        <v>23682</v>
      </c>
      <c r="B186" s="43">
        <v>3.62</v>
      </c>
    </row>
    <row r="187" spans="1:2" x14ac:dyDescent="0.2">
      <c r="A187" s="23">
        <v>23712</v>
      </c>
      <c r="B187" s="43">
        <v>4</v>
      </c>
    </row>
    <row r="188" spans="1:2" x14ac:dyDescent="0.2">
      <c r="A188" s="23">
        <v>23743</v>
      </c>
      <c r="B188" s="43">
        <v>4</v>
      </c>
    </row>
    <row r="189" spans="1:2" x14ac:dyDescent="0.2">
      <c r="A189" s="23">
        <v>23774</v>
      </c>
      <c r="B189" s="43">
        <v>4</v>
      </c>
    </row>
    <row r="190" spans="1:2" x14ac:dyDescent="0.2">
      <c r="A190" s="23">
        <v>23802</v>
      </c>
      <c r="B190" s="43">
        <v>4</v>
      </c>
    </row>
    <row r="191" spans="1:2" x14ac:dyDescent="0.2">
      <c r="A191" s="23">
        <v>23833</v>
      </c>
      <c r="B191" s="43">
        <v>4</v>
      </c>
    </row>
    <row r="192" spans="1:2" x14ac:dyDescent="0.2">
      <c r="A192" s="23">
        <v>23863</v>
      </c>
      <c r="B192" s="43">
        <v>4</v>
      </c>
    </row>
    <row r="193" spans="1:2" x14ac:dyDescent="0.2">
      <c r="A193" s="23">
        <v>23894</v>
      </c>
      <c r="B193" s="43">
        <v>4</v>
      </c>
    </row>
    <row r="194" spans="1:2" x14ac:dyDescent="0.2">
      <c r="A194" s="23">
        <v>23924</v>
      </c>
      <c r="B194" s="43">
        <v>4</v>
      </c>
    </row>
    <row r="195" spans="1:2" x14ac:dyDescent="0.2">
      <c r="A195" s="23">
        <v>23955</v>
      </c>
      <c r="B195" s="43">
        <v>4</v>
      </c>
    </row>
    <row r="196" spans="1:2" x14ac:dyDescent="0.2">
      <c r="A196" s="23">
        <v>23986</v>
      </c>
      <c r="B196" s="43">
        <v>4</v>
      </c>
    </row>
    <row r="197" spans="1:2" x14ac:dyDescent="0.2">
      <c r="A197" s="23">
        <v>24016</v>
      </c>
      <c r="B197" s="43">
        <v>4</v>
      </c>
    </row>
    <row r="198" spans="1:2" x14ac:dyDescent="0.2">
      <c r="A198" s="23">
        <v>24047</v>
      </c>
      <c r="B198" s="43">
        <v>4</v>
      </c>
    </row>
    <row r="199" spans="1:2" x14ac:dyDescent="0.2">
      <c r="A199" s="23">
        <v>24077</v>
      </c>
      <c r="B199" s="43">
        <v>4.42</v>
      </c>
    </row>
    <row r="200" spans="1:2" x14ac:dyDescent="0.2">
      <c r="A200" s="23">
        <v>24108</v>
      </c>
      <c r="B200" s="43">
        <v>4.5</v>
      </c>
    </row>
    <row r="201" spans="1:2" x14ac:dyDescent="0.2">
      <c r="A201" s="23">
        <v>24139</v>
      </c>
      <c r="B201" s="43">
        <v>4.5</v>
      </c>
    </row>
    <row r="202" spans="1:2" x14ac:dyDescent="0.2">
      <c r="A202" s="23">
        <v>24167</v>
      </c>
      <c r="B202" s="43">
        <v>4.5</v>
      </c>
    </row>
    <row r="203" spans="1:2" x14ac:dyDescent="0.2">
      <c r="A203" s="23">
        <v>24198</v>
      </c>
      <c r="B203" s="43">
        <v>4.5</v>
      </c>
    </row>
    <row r="204" spans="1:2" x14ac:dyDescent="0.2">
      <c r="A204" s="23">
        <v>24228</v>
      </c>
      <c r="B204" s="43">
        <v>4.5</v>
      </c>
    </row>
    <row r="205" spans="1:2" x14ac:dyDescent="0.2">
      <c r="A205" s="23">
        <v>24259</v>
      </c>
      <c r="B205" s="43">
        <v>4.5</v>
      </c>
    </row>
    <row r="206" spans="1:2" x14ac:dyDescent="0.2">
      <c r="A206" s="23">
        <v>24289</v>
      </c>
      <c r="B206" s="43">
        <v>4.5</v>
      </c>
    </row>
    <row r="207" spans="1:2" x14ac:dyDescent="0.2">
      <c r="A207" s="23">
        <v>24320</v>
      </c>
      <c r="B207" s="43">
        <v>4.5</v>
      </c>
    </row>
    <row r="208" spans="1:2" x14ac:dyDescent="0.2">
      <c r="A208" s="23">
        <v>24351</v>
      </c>
      <c r="B208" s="43">
        <v>4.5</v>
      </c>
    </row>
    <row r="209" spans="1:2" x14ac:dyDescent="0.2">
      <c r="A209" s="23">
        <v>24381</v>
      </c>
      <c r="B209" s="43">
        <v>4.5</v>
      </c>
    </row>
    <row r="210" spans="1:2" x14ac:dyDescent="0.2">
      <c r="A210" s="23">
        <v>24412</v>
      </c>
      <c r="B210" s="43">
        <v>4.5</v>
      </c>
    </row>
    <row r="211" spans="1:2" x14ac:dyDescent="0.2">
      <c r="A211" s="23">
        <v>24442</v>
      </c>
      <c r="B211" s="43">
        <v>4.5</v>
      </c>
    </row>
    <row r="212" spans="1:2" x14ac:dyDescent="0.2">
      <c r="A212" s="23">
        <v>24473</v>
      </c>
      <c r="B212" s="43">
        <v>4.5</v>
      </c>
    </row>
    <row r="213" spans="1:2" x14ac:dyDescent="0.2">
      <c r="A213" s="23">
        <v>24504</v>
      </c>
      <c r="B213" s="43">
        <v>4.5</v>
      </c>
    </row>
    <row r="214" spans="1:2" x14ac:dyDescent="0.2">
      <c r="A214" s="23">
        <v>24532</v>
      </c>
      <c r="B214" s="43">
        <v>4.5</v>
      </c>
    </row>
    <row r="215" spans="1:2" x14ac:dyDescent="0.2">
      <c r="A215" s="23">
        <v>24563</v>
      </c>
      <c r="B215" s="43">
        <v>4.0999999999999996</v>
      </c>
    </row>
    <row r="216" spans="1:2" x14ac:dyDescent="0.2">
      <c r="A216" s="23">
        <v>24593</v>
      </c>
      <c r="B216" s="43">
        <v>4</v>
      </c>
    </row>
    <row r="217" spans="1:2" x14ac:dyDescent="0.2">
      <c r="A217" s="23">
        <v>24624</v>
      </c>
      <c r="B217" s="43">
        <v>4</v>
      </c>
    </row>
    <row r="218" spans="1:2" x14ac:dyDescent="0.2">
      <c r="A218" s="23">
        <v>24654</v>
      </c>
      <c r="B218" s="43">
        <v>4</v>
      </c>
    </row>
    <row r="219" spans="1:2" x14ac:dyDescent="0.2">
      <c r="A219" s="23">
        <v>24685</v>
      </c>
      <c r="B219" s="43">
        <v>4</v>
      </c>
    </row>
    <row r="220" spans="1:2" x14ac:dyDescent="0.2">
      <c r="A220" s="23">
        <v>24716</v>
      </c>
      <c r="B220" s="43">
        <v>4</v>
      </c>
    </row>
    <row r="221" spans="1:2" x14ac:dyDescent="0.2">
      <c r="A221" s="23">
        <v>24746</v>
      </c>
      <c r="B221" s="43">
        <v>4</v>
      </c>
    </row>
    <row r="222" spans="1:2" x14ac:dyDescent="0.2">
      <c r="A222" s="23">
        <v>24777</v>
      </c>
      <c r="B222" s="43">
        <v>4.18</v>
      </c>
    </row>
    <row r="223" spans="1:2" x14ac:dyDescent="0.2">
      <c r="A223" s="23">
        <v>24807</v>
      </c>
      <c r="B223" s="43">
        <v>4.5</v>
      </c>
    </row>
    <row r="224" spans="1:2" x14ac:dyDescent="0.2">
      <c r="A224" s="23">
        <v>24838</v>
      </c>
      <c r="B224" s="43">
        <v>4.5</v>
      </c>
    </row>
    <row r="225" spans="1:2" x14ac:dyDescent="0.2">
      <c r="A225" s="23">
        <v>24869</v>
      </c>
      <c r="B225" s="43">
        <v>4.5</v>
      </c>
    </row>
    <row r="226" spans="1:2" x14ac:dyDescent="0.2">
      <c r="A226" s="23">
        <v>24898</v>
      </c>
      <c r="B226" s="43">
        <v>4.66</v>
      </c>
    </row>
    <row r="227" spans="1:2" x14ac:dyDescent="0.2">
      <c r="A227" s="23">
        <v>24929</v>
      </c>
      <c r="B227" s="43">
        <v>5.2</v>
      </c>
    </row>
    <row r="228" spans="1:2" x14ac:dyDescent="0.2">
      <c r="A228" s="23">
        <v>24959</v>
      </c>
      <c r="B228" s="43">
        <v>5.5</v>
      </c>
    </row>
    <row r="229" spans="1:2" x14ac:dyDescent="0.2">
      <c r="A229" s="23">
        <v>24990</v>
      </c>
      <c r="B229" s="43">
        <v>5.5</v>
      </c>
    </row>
    <row r="230" spans="1:2" x14ac:dyDescent="0.2">
      <c r="A230" s="23">
        <v>25020</v>
      </c>
      <c r="B230" s="43">
        <v>5.5</v>
      </c>
    </row>
    <row r="231" spans="1:2" x14ac:dyDescent="0.2">
      <c r="A231" s="23">
        <v>25051</v>
      </c>
      <c r="B231" s="43">
        <v>5.48</v>
      </c>
    </row>
    <row r="232" spans="1:2" x14ac:dyDescent="0.2">
      <c r="A232" s="23">
        <v>25082</v>
      </c>
      <c r="B232" s="43">
        <v>5.25</v>
      </c>
    </row>
    <row r="233" spans="1:2" x14ac:dyDescent="0.2">
      <c r="A233" s="23">
        <v>25112</v>
      </c>
      <c r="B233" s="43">
        <v>5.25</v>
      </c>
    </row>
    <row r="234" spans="1:2" x14ac:dyDescent="0.2">
      <c r="A234" s="23">
        <v>25143</v>
      </c>
      <c r="B234" s="43">
        <v>5.25</v>
      </c>
    </row>
    <row r="235" spans="1:2" x14ac:dyDescent="0.2">
      <c r="A235" s="23">
        <v>25173</v>
      </c>
      <c r="B235" s="43">
        <v>5.36</v>
      </c>
    </row>
    <row r="236" spans="1:2" x14ac:dyDescent="0.2">
      <c r="A236" s="23">
        <v>25204</v>
      </c>
      <c r="B236" s="43">
        <v>5.5</v>
      </c>
    </row>
    <row r="237" spans="1:2" x14ac:dyDescent="0.2">
      <c r="A237" s="23">
        <v>25235</v>
      </c>
      <c r="B237" s="43">
        <v>5.5</v>
      </c>
    </row>
    <row r="238" spans="1:2" x14ac:dyDescent="0.2">
      <c r="A238" s="23">
        <v>25263</v>
      </c>
      <c r="B238" s="43">
        <v>5.5</v>
      </c>
    </row>
    <row r="239" spans="1:2" x14ac:dyDescent="0.2">
      <c r="A239" s="23">
        <v>25294</v>
      </c>
      <c r="B239" s="43">
        <v>5.95</v>
      </c>
    </row>
    <row r="240" spans="1:2" x14ac:dyDescent="0.2">
      <c r="A240" s="23">
        <v>25324</v>
      </c>
      <c r="B240" s="43">
        <v>6</v>
      </c>
    </row>
    <row r="241" spans="1:2" x14ac:dyDescent="0.2">
      <c r="A241" s="23">
        <v>25355</v>
      </c>
      <c r="B241" s="43">
        <v>6</v>
      </c>
    </row>
    <row r="242" spans="1:2" x14ac:dyDescent="0.2">
      <c r="A242" s="23">
        <v>25385</v>
      </c>
      <c r="B242" s="43">
        <v>6</v>
      </c>
    </row>
    <row r="243" spans="1:2" x14ac:dyDescent="0.2">
      <c r="A243" s="23">
        <v>25416</v>
      </c>
      <c r="B243" s="43">
        <v>6</v>
      </c>
    </row>
    <row r="244" spans="1:2" x14ac:dyDescent="0.2">
      <c r="A244" s="23">
        <v>25447</v>
      </c>
      <c r="B244" s="43">
        <v>6</v>
      </c>
    </row>
    <row r="245" spans="1:2" x14ac:dyDescent="0.2">
      <c r="A245" s="23">
        <v>25477</v>
      </c>
      <c r="B245" s="43">
        <v>6</v>
      </c>
    </row>
    <row r="246" spans="1:2" x14ac:dyDescent="0.2">
      <c r="A246" s="23">
        <v>25508</v>
      </c>
      <c r="B246" s="43">
        <v>6</v>
      </c>
    </row>
    <row r="247" spans="1:2" x14ac:dyDescent="0.2">
      <c r="A247" s="23">
        <v>25538</v>
      </c>
      <c r="B247" s="43">
        <v>6</v>
      </c>
    </row>
    <row r="248" spans="1:2" x14ac:dyDescent="0.2">
      <c r="A248" s="23">
        <v>25569</v>
      </c>
      <c r="B248" s="43">
        <v>6</v>
      </c>
    </row>
    <row r="249" spans="1:2" x14ac:dyDescent="0.2">
      <c r="A249" s="23">
        <v>25600</v>
      </c>
      <c r="B249" s="43">
        <v>6</v>
      </c>
    </row>
    <row r="250" spans="1:2" x14ac:dyDescent="0.2">
      <c r="A250" s="23">
        <v>25628</v>
      </c>
      <c r="B250" s="43">
        <v>6</v>
      </c>
    </row>
    <row r="251" spans="1:2" x14ac:dyDescent="0.2">
      <c r="A251" s="23">
        <v>25659</v>
      </c>
      <c r="B251" s="43">
        <v>6</v>
      </c>
    </row>
    <row r="252" spans="1:2" x14ac:dyDescent="0.2">
      <c r="A252" s="23">
        <v>25689</v>
      </c>
      <c r="B252" s="43">
        <v>6</v>
      </c>
    </row>
    <row r="253" spans="1:2" x14ac:dyDescent="0.2">
      <c r="A253" s="23">
        <v>25720</v>
      </c>
      <c r="B253" s="43">
        <v>6</v>
      </c>
    </row>
    <row r="254" spans="1:2" x14ac:dyDescent="0.2">
      <c r="A254" s="23">
        <v>25750</v>
      </c>
      <c r="B254" s="43">
        <v>6</v>
      </c>
    </row>
    <row r="255" spans="1:2" x14ac:dyDescent="0.2">
      <c r="A255" s="23">
        <v>25781</v>
      </c>
      <c r="B255" s="43">
        <v>6</v>
      </c>
    </row>
    <row r="256" spans="1:2" x14ac:dyDescent="0.2">
      <c r="A256" s="23">
        <v>25812</v>
      </c>
      <c r="B256" s="43">
        <v>6</v>
      </c>
    </row>
    <row r="257" spans="1:2" x14ac:dyDescent="0.2">
      <c r="A257" s="23">
        <v>25842</v>
      </c>
      <c r="B257" s="43">
        <v>6</v>
      </c>
    </row>
    <row r="258" spans="1:2" x14ac:dyDescent="0.2">
      <c r="A258" s="23">
        <v>25873</v>
      </c>
      <c r="B258" s="43">
        <v>5.85</v>
      </c>
    </row>
    <row r="259" spans="1:2" x14ac:dyDescent="0.2">
      <c r="A259" s="23">
        <v>25903</v>
      </c>
      <c r="B259" s="43">
        <v>5.52</v>
      </c>
    </row>
    <row r="260" spans="1:2" x14ac:dyDescent="0.2">
      <c r="A260" s="23">
        <v>25934</v>
      </c>
      <c r="B260" s="43">
        <v>5.23</v>
      </c>
    </row>
    <row r="261" spans="1:2" x14ac:dyDescent="0.2">
      <c r="A261" s="23">
        <v>25965</v>
      </c>
      <c r="B261" s="43">
        <v>4.91</v>
      </c>
    </row>
    <row r="262" spans="1:2" x14ac:dyDescent="0.2">
      <c r="A262" s="23">
        <v>25993</v>
      </c>
      <c r="B262" s="43">
        <v>4.75</v>
      </c>
    </row>
    <row r="263" spans="1:2" x14ac:dyDescent="0.2">
      <c r="A263" s="23">
        <v>26024</v>
      </c>
      <c r="B263" s="43">
        <v>4.75</v>
      </c>
    </row>
    <row r="264" spans="1:2" x14ac:dyDescent="0.2">
      <c r="A264" s="23">
        <v>26054</v>
      </c>
      <c r="B264" s="43">
        <v>4.75</v>
      </c>
    </row>
    <row r="265" spans="1:2" x14ac:dyDescent="0.2">
      <c r="A265" s="23">
        <v>26085</v>
      </c>
      <c r="B265" s="43">
        <v>4.75</v>
      </c>
    </row>
    <row r="266" spans="1:2" x14ac:dyDescent="0.2">
      <c r="A266" s="23">
        <v>26115</v>
      </c>
      <c r="B266" s="43">
        <v>4.88</v>
      </c>
    </row>
    <row r="267" spans="1:2" x14ac:dyDescent="0.2">
      <c r="A267" s="23">
        <v>26146</v>
      </c>
      <c r="B267" s="43">
        <v>5</v>
      </c>
    </row>
    <row r="268" spans="1:2" x14ac:dyDescent="0.2">
      <c r="A268" s="23">
        <v>26177</v>
      </c>
      <c r="B268" s="43">
        <v>5</v>
      </c>
    </row>
    <row r="269" spans="1:2" x14ac:dyDescent="0.2">
      <c r="A269" s="23">
        <v>26207</v>
      </c>
      <c r="B269" s="43">
        <v>5</v>
      </c>
    </row>
    <row r="270" spans="1:2" x14ac:dyDescent="0.2">
      <c r="A270" s="23">
        <v>26238</v>
      </c>
      <c r="B270" s="43">
        <v>4.9000000000000004</v>
      </c>
    </row>
    <row r="271" spans="1:2" x14ac:dyDescent="0.2">
      <c r="A271" s="23">
        <v>26268</v>
      </c>
      <c r="B271" s="43">
        <v>4.63</v>
      </c>
    </row>
    <row r="272" spans="1:2" x14ac:dyDescent="0.2">
      <c r="A272" s="23">
        <v>26299</v>
      </c>
      <c r="B272" s="43">
        <v>4.5</v>
      </c>
    </row>
    <row r="273" spans="1:2" x14ac:dyDescent="0.2">
      <c r="A273" s="23">
        <v>26330</v>
      </c>
      <c r="B273" s="43">
        <v>4.5</v>
      </c>
    </row>
    <row r="274" spans="1:2" x14ac:dyDescent="0.2">
      <c r="A274" s="23">
        <v>26359</v>
      </c>
      <c r="B274" s="43">
        <v>4.5</v>
      </c>
    </row>
    <row r="275" spans="1:2" x14ac:dyDescent="0.2">
      <c r="A275" s="23">
        <v>26390</v>
      </c>
      <c r="B275" s="43">
        <v>4.5</v>
      </c>
    </row>
    <row r="276" spans="1:2" x14ac:dyDescent="0.2">
      <c r="A276" s="23">
        <v>26420</v>
      </c>
      <c r="B276" s="43">
        <v>4.5</v>
      </c>
    </row>
    <row r="277" spans="1:2" x14ac:dyDescent="0.2">
      <c r="A277" s="23">
        <v>26451</v>
      </c>
      <c r="B277" s="43">
        <v>4.5</v>
      </c>
    </row>
    <row r="278" spans="1:2" x14ac:dyDescent="0.2">
      <c r="A278" s="23">
        <v>26481</v>
      </c>
      <c r="B278" s="43">
        <v>4.5</v>
      </c>
    </row>
    <row r="279" spans="1:2" x14ac:dyDescent="0.2">
      <c r="A279" s="23">
        <v>26512</v>
      </c>
      <c r="B279" s="43">
        <v>4.5</v>
      </c>
    </row>
    <row r="280" spans="1:2" x14ac:dyDescent="0.2">
      <c r="A280" s="23">
        <v>26543</v>
      </c>
      <c r="B280" s="43">
        <v>4.5</v>
      </c>
    </row>
    <row r="281" spans="1:2" x14ac:dyDescent="0.2">
      <c r="A281" s="23">
        <v>26573</v>
      </c>
      <c r="B281" s="43">
        <v>4.5</v>
      </c>
    </row>
    <row r="282" spans="1:2" x14ac:dyDescent="0.2">
      <c r="A282" s="23">
        <v>26604</v>
      </c>
      <c r="B282" s="43">
        <v>4.5</v>
      </c>
    </row>
    <row r="283" spans="1:2" x14ac:dyDescent="0.2">
      <c r="A283" s="23">
        <v>26634</v>
      </c>
      <c r="B283" s="43">
        <v>4.5</v>
      </c>
    </row>
    <row r="284" spans="1:2" x14ac:dyDescent="0.2">
      <c r="A284" s="23">
        <v>26665</v>
      </c>
      <c r="B284" s="43">
        <v>4.7699999999999996</v>
      </c>
    </row>
    <row r="285" spans="1:2" x14ac:dyDescent="0.2">
      <c r="A285" s="23">
        <v>26696</v>
      </c>
      <c r="B285" s="43">
        <v>5.05</v>
      </c>
    </row>
    <row r="286" spans="1:2" x14ac:dyDescent="0.2">
      <c r="A286" s="23">
        <v>26724</v>
      </c>
      <c r="B286" s="43">
        <v>5.5</v>
      </c>
    </row>
    <row r="287" spans="1:2" x14ac:dyDescent="0.2">
      <c r="A287" s="23">
        <v>26755</v>
      </c>
      <c r="B287" s="43">
        <v>5.5</v>
      </c>
    </row>
    <row r="288" spans="1:2" x14ac:dyDescent="0.2">
      <c r="A288" s="23">
        <v>26785</v>
      </c>
      <c r="B288" s="43">
        <v>5.9</v>
      </c>
    </row>
    <row r="289" spans="1:2" x14ac:dyDescent="0.2">
      <c r="A289" s="23">
        <v>26816</v>
      </c>
      <c r="B289" s="43">
        <v>6.33</v>
      </c>
    </row>
    <row r="290" spans="1:2" x14ac:dyDescent="0.2">
      <c r="A290" s="23">
        <v>26846</v>
      </c>
      <c r="B290" s="43">
        <v>6.98</v>
      </c>
    </row>
    <row r="291" spans="1:2" x14ac:dyDescent="0.2">
      <c r="A291" s="23">
        <v>26877</v>
      </c>
      <c r="B291" s="43">
        <v>7.29</v>
      </c>
    </row>
    <row r="292" spans="1:2" x14ac:dyDescent="0.2">
      <c r="A292" s="23">
        <v>26908</v>
      </c>
      <c r="B292" s="43">
        <v>7.5</v>
      </c>
    </row>
    <row r="293" spans="1:2" x14ac:dyDescent="0.2">
      <c r="A293" s="23">
        <v>26938</v>
      </c>
      <c r="B293" s="43">
        <v>7.5</v>
      </c>
    </row>
    <row r="294" spans="1:2" x14ac:dyDescent="0.2">
      <c r="A294" s="23">
        <v>26969</v>
      </c>
      <c r="B294" s="43">
        <v>7.5</v>
      </c>
    </row>
    <row r="295" spans="1:2" x14ac:dyDescent="0.2">
      <c r="A295" s="23">
        <v>26999</v>
      </c>
      <c r="B295" s="43">
        <v>7.5</v>
      </c>
    </row>
    <row r="296" spans="1:2" x14ac:dyDescent="0.2">
      <c r="A296" s="23">
        <v>27030</v>
      </c>
      <c r="B296" s="43">
        <v>7.5</v>
      </c>
    </row>
    <row r="297" spans="1:2" x14ac:dyDescent="0.2">
      <c r="A297" s="23">
        <v>27061</v>
      </c>
      <c r="B297" s="43">
        <v>7.5</v>
      </c>
    </row>
    <row r="298" spans="1:2" x14ac:dyDescent="0.2">
      <c r="A298" s="23">
        <v>27089</v>
      </c>
      <c r="B298" s="43">
        <v>7.5</v>
      </c>
    </row>
    <row r="299" spans="1:2" x14ac:dyDescent="0.2">
      <c r="A299" s="23">
        <v>27120</v>
      </c>
      <c r="B299" s="43">
        <v>7.6</v>
      </c>
    </row>
    <row r="300" spans="1:2" x14ac:dyDescent="0.2">
      <c r="A300" s="23">
        <v>27150</v>
      </c>
      <c r="B300" s="43">
        <v>8</v>
      </c>
    </row>
    <row r="301" spans="1:2" x14ac:dyDescent="0.2">
      <c r="A301" s="23">
        <v>27181</v>
      </c>
      <c r="B301" s="43">
        <v>8</v>
      </c>
    </row>
    <row r="302" spans="1:2" x14ac:dyDescent="0.2">
      <c r="A302" s="23">
        <v>27211</v>
      </c>
      <c r="B302" s="43">
        <v>8</v>
      </c>
    </row>
    <row r="303" spans="1:2" x14ac:dyDescent="0.2">
      <c r="A303" s="23">
        <v>27242</v>
      </c>
      <c r="B303" s="43">
        <v>8</v>
      </c>
    </row>
    <row r="304" spans="1:2" x14ac:dyDescent="0.2">
      <c r="A304" s="23">
        <v>27273</v>
      </c>
      <c r="B304" s="43">
        <v>8</v>
      </c>
    </row>
    <row r="305" spans="1:2" x14ac:dyDescent="0.2">
      <c r="A305" s="23">
        <v>27303</v>
      </c>
      <c r="B305" s="43">
        <v>8</v>
      </c>
    </row>
    <row r="306" spans="1:2" x14ac:dyDescent="0.2">
      <c r="A306" s="23">
        <v>27334</v>
      </c>
      <c r="B306" s="43">
        <v>8</v>
      </c>
    </row>
    <row r="307" spans="1:2" x14ac:dyDescent="0.2">
      <c r="A307" s="23">
        <v>27364</v>
      </c>
      <c r="B307" s="43">
        <v>7.81</v>
      </c>
    </row>
    <row r="308" spans="1:2" x14ac:dyDescent="0.2">
      <c r="A308" s="23">
        <v>27395</v>
      </c>
      <c r="B308" s="43">
        <v>7.4</v>
      </c>
    </row>
    <row r="309" spans="1:2" x14ac:dyDescent="0.2">
      <c r="A309" s="23">
        <v>27426</v>
      </c>
      <c r="B309" s="43">
        <v>6.82</v>
      </c>
    </row>
    <row r="310" spans="1:2" x14ac:dyDescent="0.2">
      <c r="A310" s="23">
        <v>27454</v>
      </c>
      <c r="B310" s="43">
        <v>6.4</v>
      </c>
    </row>
    <row r="311" spans="1:2" x14ac:dyDescent="0.2">
      <c r="A311" s="23">
        <v>27485</v>
      </c>
      <c r="B311" s="43">
        <v>6.25</v>
      </c>
    </row>
    <row r="312" spans="1:2" x14ac:dyDescent="0.2">
      <c r="A312" s="23">
        <v>27515</v>
      </c>
      <c r="B312" s="43">
        <v>6.12</v>
      </c>
    </row>
    <row r="313" spans="1:2" x14ac:dyDescent="0.2">
      <c r="A313" s="23">
        <v>27546</v>
      </c>
      <c r="B313" s="43">
        <v>6</v>
      </c>
    </row>
    <row r="314" spans="1:2" x14ac:dyDescent="0.2">
      <c r="A314" s="23">
        <v>27576</v>
      </c>
      <c r="B314" s="43">
        <v>6</v>
      </c>
    </row>
    <row r="315" spans="1:2" x14ac:dyDescent="0.2">
      <c r="A315" s="23">
        <v>27607</v>
      </c>
      <c r="B315" s="43">
        <v>6</v>
      </c>
    </row>
    <row r="316" spans="1:2" x14ac:dyDescent="0.2">
      <c r="A316" s="23">
        <v>27638</v>
      </c>
      <c r="B316" s="43">
        <v>6</v>
      </c>
    </row>
    <row r="317" spans="1:2" x14ac:dyDescent="0.2">
      <c r="A317" s="23">
        <v>27668</v>
      </c>
      <c r="B317" s="43">
        <v>6</v>
      </c>
    </row>
    <row r="318" spans="1:2" x14ac:dyDescent="0.2">
      <c r="A318" s="23">
        <v>27699</v>
      </c>
      <c r="B318" s="43">
        <v>6</v>
      </c>
    </row>
    <row r="319" spans="1:2" x14ac:dyDescent="0.2">
      <c r="A319" s="23">
        <v>27729</v>
      </c>
      <c r="B319" s="43">
        <v>6</v>
      </c>
    </row>
    <row r="320" spans="1:2" x14ac:dyDescent="0.2">
      <c r="A320" s="23">
        <v>27760</v>
      </c>
      <c r="B320" s="43">
        <v>5.79</v>
      </c>
    </row>
    <row r="321" spans="1:2" x14ac:dyDescent="0.2">
      <c r="A321" s="23">
        <v>27791</v>
      </c>
      <c r="B321" s="43">
        <v>5.5</v>
      </c>
    </row>
    <row r="322" spans="1:2" x14ac:dyDescent="0.2">
      <c r="A322" s="23">
        <v>27820</v>
      </c>
      <c r="B322" s="43">
        <v>5.5</v>
      </c>
    </row>
    <row r="323" spans="1:2" x14ac:dyDescent="0.2">
      <c r="A323" s="23">
        <v>27851</v>
      </c>
      <c r="B323" s="43">
        <v>5.5</v>
      </c>
    </row>
    <row r="324" spans="1:2" x14ac:dyDescent="0.2">
      <c r="A324" s="23">
        <v>27881</v>
      </c>
      <c r="B324" s="43">
        <v>5.5</v>
      </c>
    </row>
    <row r="325" spans="1:2" x14ac:dyDescent="0.2">
      <c r="A325" s="23">
        <v>27912</v>
      </c>
      <c r="B325" s="43">
        <v>5.5</v>
      </c>
    </row>
    <row r="326" spans="1:2" x14ac:dyDescent="0.2">
      <c r="A326" s="23">
        <v>27942</v>
      </c>
      <c r="B326" s="43">
        <v>5.5</v>
      </c>
    </row>
    <row r="327" spans="1:2" x14ac:dyDescent="0.2">
      <c r="A327" s="23">
        <v>27973</v>
      </c>
      <c r="B327" s="43">
        <v>5.5</v>
      </c>
    </row>
    <row r="328" spans="1:2" x14ac:dyDescent="0.2">
      <c r="A328" s="23">
        <v>28004</v>
      </c>
      <c r="B328" s="43">
        <v>5.5</v>
      </c>
    </row>
    <row r="329" spans="1:2" x14ac:dyDescent="0.2">
      <c r="A329" s="23">
        <v>28034</v>
      </c>
      <c r="B329" s="43">
        <v>5.5</v>
      </c>
    </row>
    <row r="330" spans="1:2" x14ac:dyDescent="0.2">
      <c r="A330" s="23">
        <v>28065</v>
      </c>
      <c r="B330" s="43">
        <v>5.43</v>
      </c>
    </row>
    <row r="331" spans="1:2" x14ac:dyDescent="0.2">
      <c r="A331" s="23">
        <v>28095</v>
      </c>
      <c r="B331" s="43">
        <v>5.25</v>
      </c>
    </row>
    <row r="332" spans="1:2" x14ac:dyDescent="0.2">
      <c r="A332" s="23">
        <v>28126</v>
      </c>
      <c r="B332" s="43">
        <v>5.25</v>
      </c>
    </row>
    <row r="333" spans="1:2" x14ac:dyDescent="0.2">
      <c r="A333" s="23">
        <v>28157</v>
      </c>
      <c r="B333" s="43">
        <v>5.25</v>
      </c>
    </row>
    <row r="334" spans="1:2" x14ac:dyDescent="0.2">
      <c r="A334" s="23">
        <v>28185</v>
      </c>
      <c r="B334" s="43">
        <v>5.25</v>
      </c>
    </row>
    <row r="335" spans="1:2" x14ac:dyDescent="0.2">
      <c r="A335" s="23">
        <v>28216</v>
      </c>
      <c r="B335" s="43">
        <v>5.25</v>
      </c>
    </row>
    <row r="336" spans="1:2" x14ac:dyDescent="0.2">
      <c r="A336" s="23">
        <v>28246</v>
      </c>
      <c r="B336" s="43">
        <v>5.25</v>
      </c>
    </row>
    <row r="337" spans="1:2" x14ac:dyDescent="0.2">
      <c r="A337" s="23">
        <v>28277</v>
      </c>
      <c r="B337" s="43">
        <v>5.25</v>
      </c>
    </row>
    <row r="338" spans="1:2" x14ac:dyDescent="0.2">
      <c r="A338" s="23">
        <v>28307</v>
      </c>
      <c r="B338" s="43">
        <v>5.25</v>
      </c>
    </row>
    <row r="339" spans="1:2" x14ac:dyDescent="0.2">
      <c r="A339" s="23">
        <v>28338</v>
      </c>
      <c r="B339" s="43">
        <v>5.27</v>
      </c>
    </row>
    <row r="340" spans="1:2" x14ac:dyDescent="0.2">
      <c r="A340" s="23">
        <v>28369</v>
      </c>
      <c r="B340" s="43">
        <v>5.75</v>
      </c>
    </row>
    <row r="341" spans="1:2" x14ac:dyDescent="0.2">
      <c r="A341" s="23">
        <v>28399</v>
      </c>
      <c r="B341" s="43">
        <v>5.8</v>
      </c>
    </row>
    <row r="342" spans="1:2" x14ac:dyDescent="0.2">
      <c r="A342" s="23">
        <v>28430</v>
      </c>
      <c r="B342" s="43">
        <v>6</v>
      </c>
    </row>
    <row r="343" spans="1:2" x14ac:dyDescent="0.2">
      <c r="A343" s="23">
        <v>28460</v>
      </c>
      <c r="B343" s="43">
        <v>6</v>
      </c>
    </row>
    <row r="344" spans="1:2" x14ac:dyDescent="0.2">
      <c r="A344" s="23">
        <v>28491</v>
      </c>
      <c r="B344" s="43">
        <v>6.37</v>
      </c>
    </row>
    <row r="345" spans="1:2" x14ac:dyDescent="0.2">
      <c r="A345" s="23">
        <v>28522</v>
      </c>
      <c r="B345" s="43">
        <v>6.5</v>
      </c>
    </row>
    <row r="346" spans="1:2" x14ac:dyDescent="0.2">
      <c r="A346" s="23">
        <v>28550</v>
      </c>
      <c r="B346" s="43">
        <v>6.5</v>
      </c>
    </row>
    <row r="347" spans="1:2" x14ac:dyDescent="0.2">
      <c r="A347" s="23">
        <v>28581</v>
      </c>
      <c r="B347" s="43">
        <v>6.5</v>
      </c>
    </row>
    <row r="348" spans="1:2" x14ac:dyDescent="0.2">
      <c r="A348" s="23">
        <v>28611</v>
      </c>
      <c r="B348" s="43">
        <v>6.84</v>
      </c>
    </row>
    <row r="349" spans="1:2" x14ac:dyDescent="0.2">
      <c r="A349" s="23">
        <v>28642</v>
      </c>
      <c r="B349" s="43">
        <v>7</v>
      </c>
    </row>
    <row r="350" spans="1:2" x14ac:dyDescent="0.2">
      <c r="A350" s="23">
        <v>28672</v>
      </c>
      <c r="B350" s="43">
        <v>7.23</v>
      </c>
    </row>
    <row r="351" spans="1:2" x14ac:dyDescent="0.2">
      <c r="A351" s="23">
        <v>28703</v>
      </c>
      <c r="B351" s="43">
        <v>7.43</v>
      </c>
    </row>
    <row r="352" spans="1:2" x14ac:dyDescent="0.2">
      <c r="A352" s="23">
        <v>28734</v>
      </c>
      <c r="B352" s="43">
        <v>7.83</v>
      </c>
    </row>
    <row r="353" spans="1:2" x14ac:dyDescent="0.2">
      <c r="A353" s="23">
        <v>28764</v>
      </c>
      <c r="B353" s="43">
        <v>8.26</v>
      </c>
    </row>
    <row r="354" spans="1:2" x14ac:dyDescent="0.2">
      <c r="A354" s="23">
        <v>28795</v>
      </c>
      <c r="B354" s="43">
        <v>9.5</v>
      </c>
    </row>
    <row r="355" spans="1:2" x14ac:dyDescent="0.2">
      <c r="A355" s="23">
        <v>28825</v>
      </c>
      <c r="B355" s="43">
        <v>9.5</v>
      </c>
    </row>
    <row r="356" spans="1:2" x14ac:dyDescent="0.2">
      <c r="A356" s="23">
        <v>28856</v>
      </c>
      <c r="B356" s="43">
        <v>9.5</v>
      </c>
    </row>
    <row r="357" spans="1:2" x14ac:dyDescent="0.2">
      <c r="A357" s="23">
        <v>28887</v>
      </c>
      <c r="B357" s="43">
        <v>9.5</v>
      </c>
    </row>
    <row r="358" spans="1:2" x14ac:dyDescent="0.2">
      <c r="A358" s="23">
        <v>28915</v>
      </c>
      <c r="B358" s="43">
        <v>9.5</v>
      </c>
    </row>
    <row r="359" spans="1:2" x14ac:dyDescent="0.2">
      <c r="A359" s="23">
        <v>28946</v>
      </c>
      <c r="B359" s="43">
        <v>9.5</v>
      </c>
    </row>
    <row r="360" spans="1:2" x14ac:dyDescent="0.2">
      <c r="A360" s="23">
        <v>28976</v>
      </c>
      <c r="B360" s="43">
        <v>9.5</v>
      </c>
    </row>
    <row r="361" spans="1:2" x14ac:dyDescent="0.2">
      <c r="A361" s="23">
        <v>29007</v>
      </c>
      <c r="B361" s="43">
        <v>9.5</v>
      </c>
    </row>
    <row r="362" spans="1:2" x14ac:dyDescent="0.2">
      <c r="A362" s="23">
        <v>29037</v>
      </c>
      <c r="B362" s="43">
        <v>9.69</v>
      </c>
    </row>
    <row r="363" spans="1:2" x14ac:dyDescent="0.2">
      <c r="A363" s="23">
        <v>29068</v>
      </c>
      <c r="B363" s="43">
        <v>10.24</v>
      </c>
    </row>
    <row r="364" spans="1:2" x14ac:dyDescent="0.2">
      <c r="A364" s="23">
        <v>29099</v>
      </c>
      <c r="B364" s="43">
        <v>10.7</v>
      </c>
    </row>
    <row r="365" spans="1:2" x14ac:dyDescent="0.2">
      <c r="A365" s="23">
        <v>29129</v>
      </c>
      <c r="B365" s="43">
        <v>11.77</v>
      </c>
    </row>
    <row r="366" spans="1:2" x14ac:dyDescent="0.2">
      <c r="A366" s="23">
        <v>29160</v>
      </c>
      <c r="B366" s="43">
        <v>12</v>
      </c>
    </row>
    <row r="367" spans="1:2" x14ac:dyDescent="0.2">
      <c r="A367" s="23">
        <v>29190</v>
      </c>
      <c r="B367" s="43">
        <v>12</v>
      </c>
    </row>
    <row r="368" spans="1:2" x14ac:dyDescent="0.2">
      <c r="A368" s="23">
        <v>29221</v>
      </c>
      <c r="B368" s="43">
        <v>12</v>
      </c>
    </row>
    <row r="369" spans="1:2" x14ac:dyDescent="0.2">
      <c r="A369" s="23">
        <v>29252</v>
      </c>
      <c r="B369" s="43">
        <v>12.52</v>
      </c>
    </row>
    <row r="370" spans="1:2" x14ac:dyDescent="0.2">
      <c r="A370" s="23">
        <v>29281</v>
      </c>
      <c r="B370" s="43">
        <v>13</v>
      </c>
    </row>
    <row r="371" spans="1:2" x14ac:dyDescent="0.2">
      <c r="A371" s="23">
        <v>29312</v>
      </c>
      <c r="B371" s="43">
        <v>13</v>
      </c>
    </row>
    <row r="372" spans="1:2" x14ac:dyDescent="0.2">
      <c r="A372" s="23">
        <v>29342</v>
      </c>
      <c r="B372" s="43">
        <v>12.94</v>
      </c>
    </row>
    <row r="373" spans="1:2" x14ac:dyDescent="0.2">
      <c r="A373" s="23">
        <v>29373</v>
      </c>
      <c r="B373" s="43">
        <v>11.4</v>
      </c>
    </row>
    <row r="374" spans="1:2" x14ac:dyDescent="0.2">
      <c r="A374" s="23">
        <v>29403</v>
      </c>
      <c r="B374" s="43">
        <v>10.87</v>
      </c>
    </row>
    <row r="375" spans="1:2" x14ac:dyDescent="0.2">
      <c r="A375" s="23">
        <v>29434</v>
      </c>
      <c r="B375" s="43">
        <v>10</v>
      </c>
    </row>
    <row r="376" spans="1:2" x14ac:dyDescent="0.2">
      <c r="A376" s="23">
        <v>29465</v>
      </c>
      <c r="B376" s="43">
        <v>10.17</v>
      </c>
    </row>
    <row r="377" spans="1:2" x14ac:dyDescent="0.2">
      <c r="A377" s="23">
        <v>29495</v>
      </c>
      <c r="B377" s="43">
        <v>11</v>
      </c>
    </row>
    <row r="378" spans="1:2" x14ac:dyDescent="0.2">
      <c r="A378" s="23">
        <v>29526</v>
      </c>
      <c r="B378" s="43">
        <v>11.47</v>
      </c>
    </row>
    <row r="379" spans="1:2" x14ac:dyDescent="0.2">
      <c r="A379" s="23">
        <v>29556</v>
      </c>
      <c r="B379" s="43">
        <v>12.87</v>
      </c>
    </row>
    <row r="380" spans="1:2" x14ac:dyDescent="0.2">
      <c r="A380" s="23">
        <v>29587</v>
      </c>
      <c r="B380" s="43">
        <v>13</v>
      </c>
    </row>
    <row r="381" spans="1:2" x14ac:dyDescent="0.2">
      <c r="A381" s="23">
        <v>29618</v>
      </c>
      <c r="B381" s="43">
        <v>13</v>
      </c>
    </row>
    <row r="382" spans="1:2" x14ac:dyDescent="0.2">
      <c r="A382" s="23">
        <v>29646</v>
      </c>
      <c r="B382" s="43">
        <v>13</v>
      </c>
    </row>
    <row r="383" spans="1:2" x14ac:dyDescent="0.2">
      <c r="A383" s="23">
        <v>29677</v>
      </c>
      <c r="B383" s="43">
        <v>13</v>
      </c>
    </row>
    <row r="384" spans="1:2" x14ac:dyDescent="0.2">
      <c r="A384" s="23">
        <v>29707</v>
      </c>
      <c r="B384" s="43">
        <v>13.87</v>
      </c>
    </row>
    <row r="385" spans="1:2" x14ac:dyDescent="0.2">
      <c r="A385" s="23">
        <v>29738</v>
      </c>
      <c r="B385" s="43">
        <v>14</v>
      </c>
    </row>
    <row r="386" spans="1:2" x14ac:dyDescent="0.2">
      <c r="A386" s="23">
        <v>29768</v>
      </c>
      <c r="B386" s="43">
        <v>14</v>
      </c>
    </row>
    <row r="387" spans="1:2" x14ac:dyDescent="0.2">
      <c r="A387" s="23">
        <v>29799</v>
      </c>
      <c r="B387" s="43">
        <v>14</v>
      </c>
    </row>
    <row r="388" spans="1:2" x14ac:dyDescent="0.2">
      <c r="A388" s="23">
        <v>29830</v>
      </c>
      <c r="B388" s="43">
        <v>14</v>
      </c>
    </row>
    <row r="389" spans="1:2" x14ac:dyDescent="0.2">
      <c r="A389" s="23">
        <v>29860</v>
      </c>
      <c r="B389" s="43">
        <v>14</v>
      </c>
    </row>
    <row r="390" spans="1:2" x14ac:dyDescent="0.2">
      <c r="A390" s="23">
        <v>29891</v>
      </c>
      <c r="B390" s="43">
        <v>13.03</v>
      </c>
    </row>
    <row r="391" spans="1:2" x14ac:dyDescent="0.2">
      <c r="A391" s="23">
        <v>29921</v>
      </c>
      <c r="B391" s="43">
        <v>12.1</v>
      </c>
    </row>
    <row r="392" spans="1:2" x14ac:dyDescent="0.2">
      <c r="A392" s="23">
        <v>29952</v>
      </c>
      <c r="B392" s="43">
        <v>12</v>
      </c>
    </row>
    <row r="393" spans="1:2" x14ac:dyDescent="0.2">
      <c r="A393" s="23">
        <v>29983</v>
      </c>
      <c r="B393" s="43">
        <v>12</v>
      </c>
    </row>
    <row r="394" spans="1:2" x14ac:dyDescent="0.2">
      <c r="A394" s="23">
        <v>30011</v>
      </c>
      <c r="B394" s="43">
        <v>12</v>
      </c>
    </row>
    <row r="395" spans="1:2" x14ac:dyDescent="0.2">
      <c r="A395" s="23">
        <v>30042</v>
      </c>
      <c r="B395" s="43">
        <v>12</v>
      </c>
    </row>
    <row r="396" spans="1:2" x14ac:dyDescent="0.2">
      <c r="A396" s="23">
        <v>30072</v>
      </c>
      <c r="B396" s="43">
        <v>12</v>
      </c>
    </row>
    <row r="397" spans="1:2" x14ac:dyDescent="0.2">
      <c r="A397" s="23">
        <v>30103</v>
      </c>
      <c r="B397" s="43">
        <v>12</v>
      </c>
    </row>
    <row r="398" spans="1:2" x14ac:dyDescent="0.2">
      <c r="A398" s="23">
        <v>30133</v>
      </c>
      <c r="B398" s="43">
        <v>11.81</v>
      </c>
    </row>
    <row r="399" spans="1:2" x14ac:dyDescent="0.2">
      <c r="A399" s="23">
        <v>30164</v>
      </c>
      <c r="B399" s="43">
        <v>10.68</v>
      </c>
    </row>
    <row r="400" spans="1:2" x14ac:dyDescent="0.2">
      <c r="A400" s="23">
        <v>30195</v>
      </c>
      <c r="B400" s="43">
        <v>10</v>
      </c>
    </row>
    <row r="401" spans="1:2" x14ac:dyDescent="0.2">
      <c r="A401" s="23">
        <v>30225</v>
      </c>
      <c r="B401" s="43">
        <v>9.68</v>
      </c>
    </row>
    <row r="402" spans="1:2" x14ac:dyDescent="0.2">
      <c r="A402" s="23">
        <v>30256</v>
      </c>
      <c r="B402" s="43">
        <v>9.35</v>
      </c>
    </row>
    <row r="403" spans="1:2" x14ac:dyDescent="0.2">
      <c r="A403" s="23">
        <v>30286</v>
      </c>
      <c r="B403" s="43">
        <v>8.73</v>
      </c>
    </row>
    <row r="404" spans="1:2" x14ac:dyDescent="0.2">
      <c r="A404" s="23">
        <v>30317</v>
      </c>
      <c r="B404" s="43">
        <v>8.5</v>
      </c>
    </row>
    <row r="405" spans="1:2" x14ac:dyDescent="0.2">
      <c r="A405" s="23">
        <v>30348</v>
      </c>
      <c r="B405" s="43">
        <v>8.5</v>
      </c>
    </row>
    <row r="406" spans="1:2" x14ac:dyDescent="0.2">
      <c r="A406" s="23">
        <v>30376</v>
      </c>
      <c r="B406" s="43">
        <v>8.5</v>
      </c>
    </row>
    <row r="407" spans="1:2" x14ac:dyDescent="0.2">
      <c r="A407" s="23">
        <v>30407</v>
      </c>
      <c r="B407" s="43">
        <v>8.5</v>
      </c>
    </row>
    <row r="408" spans="1:2" x14ac:dyDescent="0.2">
      <c r="A408" s="23">
        <v>30437</v>
      </c>
      <c r="B408" s="43">
        <v>8.5</v>
      </c>
    </row>
    <row r="409" spans="1:2" x14ac:dyDescent="0.2">
      <c r="A409" s="23">
        <v>30468</v>
      </c>
      <c r="B409" s="43">
        <v>8.5</v>
      </c>
    </row>
    <row r="410" spans="1:2" x14ac:dyDescent="0.2">
      <c r="A410" s="23">
        <v>30498</v>
      </c>
      <c r="B410" s="43">
        <v>8.5</v>
      </c>
    </row>
    <row r="411" spans="1:2" x14ac:dyDescent="0.2">
      <c r="A411" s="23">
        <v>30529</v>
      </c>
      <c r="B411" s="43">
        <v>8.5</v>
      </c>
    </row>
    <row r="412" spans="1:2" x14ac:dyDescent="0.2">
      <c r="A412" s="23">
        <v>30560</v>
      </c>
      <c r="B412" s="43">
        <v>8.5</v>
      </c>
    </row>
    <row r="413" spans="1:2" x14ac:dyDescent="0.2">
      <c r="A413" s="23">
        <v>30590</v>
      </c>
      <c r="B413" s="43">
        <v>8.5</v>
      </c>
    </row>
    <row r="414" spans="1:2" x14ac:dyDescent="0.2">
      <c r="A414" s="23">
        <v>30621</v>
      </c>
      <c r="B414" s="43">
        <v>8.5</v>
      </c>
    </row>
    <row r="415" spans="1:2" x14ac:dyDescent="0.2">
      <c r="A415" s="23">
        <v>30651</v>
      </c>
      <c r="B415" s="43">
        <v>8.5</v>
      </c>
    </row>
    <row r="416" spans="1:2" x14ac:dyDescent="0.2">
      <c r="A416" s="23">
        <v>30682</v>
      </c>
      <c r="B416" s="43">
        <v>8.5</v>
      </c>
    </row>
    <row r="417" spans="1:2" x14ac:dyDescent="0.2">
      <c r="A417" s="23">
        <v>30713</v>
      </c>
      <c r="B417" s="43">
        <v>8.5</v>
      </c>
    </row>
    <row r="418" spans="1:2" x14ac:dyDescent="0.2">
      <c r="A418" s="23">
        <v>30742</v>
      </c>
      <c r="B418" s="43">
        <v>8.5</v>
      </c>
    </row>
    <row r="419" spans="1:2" x14ac:dyDescent="0.2">
      <c r="A419" s="23">
        <v>30773</v>
      </c>
      <c r="B419" s="43">
        <v>8.8699999999999992</v>
      </c>
    </row>
    <row r="420" spans="1:2" x14ac:dyDescent="0.2">
      <c r="A420" s="23">
        <v>30803</v>
      </c>
      <c r="B420" s="43">
        <v>9</v>
      </c>
    </row>
    <row r="421" spans="1:2" x14ac:dyDescent="0.2">
      <c r="A421" s="23">
        <v>30834</v>
      </c>
      <c r="B421" s="43">
        <v>9</v>
      </c>
    </row>
    <row r="422" spans="1:2" x14ac:dyDescent="0.2">
      <c r="A422" s="23">
        <v>30864</v>
      </c>
      <c r="B422" s="43">
        <v>9</v>
      </c>
    </row>
    <row r="423" spans="1:2" x14ac:dyDescent="0.2">
      <c r="A423" s="23">
        <v>30895</v>
      </c>
      <c r="B423" s="43">
        <v>9</v>
      </c>
    </row>
    <row r="424" spans="1:2" x14ac:dyDescent="0.2">
      <c r="A424" s="23">
        <v>30926</v>
      </c>
      <c r="B424" s="43">
        <v>9</v>
      </c>
    </row>
    <row r="425" spans="1:2" x14ac:dyDescent="0.2">
      <c r="A425" s="23">
        <v>30956</v>
      </c>
      <c r="B425" s="43">
        <v>9</v>
      </c>
    </row>
    <row r="426" spans="1:2" x14ac:dyDescent="0.2">
      <c r="A426" s="23">
        <v>30987</v>
      </c>
      <c r="B426" s="43">
        <v>8.83</v>
      </c>
    </row>
    <row r="427" spans="1:2" x14ac:dyDescent="0.2">
      <c r="A427" s="23">
        <v>31017</v>
      </c>
      <c r="B427" s="43">
        <v>8.3699999999999992</v>
      </c>
    </row>
    <row r="428" spans="1:2" x14ac:dyDescent="0.2">
      <c r="A428" s="23">
        <v>31048</v>
      </c>
      <c r="B428" s="43">
        <v>8</v>
      </c>
    </row>
    <row r="429" spans="1:2" x14ac:dyDescent="0.2">
      <c r="A429" s="23">
        <v>31079</v>
      </c>
      <c r="B429" s="43">
        <v>8</v>
      </c>
    </row>
    <row r="430" spans="1:2" x14ac:dyDescent="0.2">
      <c r="A430" s="23">
        <v>31107</v>
      </c>
      <c r="B430" s="43">
        <v>8</v>
      </c>
    </row>
    <row r="431" spans="1:2" x14ac:dyDescent="0.2">
      <c r="A431" s="23">
        <v>31138</v>
      </c>
      <c r="B431" s="43">
        <v>8</v>
      </c>
    </row>
    <row r="432" spans="1:2" x14ac:dyDescent="0.2">
      <c r="A432" s="23">
        <v>31168</v>
      </c>
      <c r="B432" s="43">
        <v>7.81</v>
      </c>
    </row>
    <row r="433" spans="1:2" x14ac:dyDescent="0.2">
      <c r="A433" s="23">
        <v>31199</v>
      </c>
      <c r="B433" s="43">
        <v>7.5</v>
      </c>
    </row>
    <row r="434" spans="1:2" x14ac:dyDescent="0.2">
      <c r="A434" s="23">
        <v>31229</v>
      </c>
      <c r="B434" s="43">
        <v>7.5</v>
      </c>
    </row>
    <row r="435" spans="1:2" x14ac:dyDescent="0.2">
      <c r="A435" s="23">
        <v>31260</v>
      </c>
      <c r="B435" s="43">
        <v>7.5</v>
      </c>
    </row>
    <row r="436" spans="1:2" x14ac:dyDescent="0.2">
      <c r="A436" s="23">
        <v>31291</v>
      </c>
      <c r="B436" s="43">
        <v>7.5</v>
      </c>
    </row>
    <row r="437" spans="1:2" x14ac:dyDescent="0.2">
      <c r="A437" s="23">
        <v>31321</v>
      </c>
      <c r="B437" s="43">
        <v>7.5</v>
      </c>
    </row>
    <row r="438" spans="1:2" x14ac:dyDescent="0.2">
      <c r="A438" s="23">
        <v>31352</v>
      </c>
      <c r="B438" s="43">
        <v>7.5</v>
      </c>
    </row>
    <row r="439" spans="1:2" x14ac:dyDescent="0.2">
      <c r="A439" s="23">
        <v>31382</v>
      </c>
      <c r="B439" s="43">
        <v>7.5</v>
      </c>
    </row>
    <row r="440" spans="1:2" x14ac:dyDescent="0.2">
      <c r="A440" s="23">
        <v>31413</v>
      </c>
      <c r="B440" s="43">
        <v>7.5</v>
      </c>
    </row>
    <row r="441" spans="1:2" x14ac:dyDescent="0.2">
      <c r="A441" s="23">
        <v>31444</v>
      </c>
      <c r="B441" s="43">
        <v>7.5</v>
      </c>
    </row>
    <row r="442" spans="1:2" x14ac:dyDescent="0.2">
      <c r="A442" s="23">
        <v>31472</v>
      </c>
      <c r="B442" s="43">
        <v>7.1</v>
      </c>
    </row>
    <row r="443" spans="1:2" x14ac:dyDescent="0.2">
      <c r="A443" s="23">
        <v>31503</v>
      </c>
      <c r="B443" s="43">
        <v>6.83</v>
      </c>
    </row>
    <row r="444" spans="1:2" x14ac:dyDescent="0.2">
      <c r="A444" s="23">
        <v>31533</v>
      </c>
      <c r="B444" s="43">
        <v>6.5</v>
      </c>
    </row>
    <row r="445" spans="1:2" x14ac:dyDescent="0.2">
      <c r="A445" s="23">
        <v>31564</v>
      </c>
      <c r="B445" s="43">
        <v>6.5</v>
      </c>
    </row>
    <row r="446" spans="1:2" x14ac:dyDescent="0.2">
      <c r="A446" s="23">
        <v>31594</v>
      </c>
      <c r="B446" s="43">
        <v>6.16</v>
      </c>
    </row>
    <row r="447" spans="1:2" x14ac:dyDescent="0.2">
      <c r="A447" s="23">
        <v>31625</v>
      </c>
      <c r="B447" s="43">
        <v>5.82</v>
      </c>
    </row>
    <row r="448" spans="1:2" x14ac:dyDescent="0.2">
      <c r="A448" s="23">
        <v>31656</v>
      </c>
      <c r="B448" s="43">
        <v>5.5</v>
      </c>
    </row>
    <row r="449" spans="1:2" x14ac:dyDescent="0.2">
      <c r="A449" s="23">
        <v>31686</v>
      </c>
      <c r="B449" s="43">
        <v>5.5</v>
      </c>
    </row>
    <row r="450" spans="1:2" x14ac:dyDescent="0.2">
      <c r="A450" s="23">
        <v>31717</v>
      </c>
      <c r="B450" s="43">
        <v>5.5</v>
      </c>
    </row>
    <row r="451" spans="1:2" x14ac:dyDescent="0.2">
      <c r="A451" s="23">
        <v>31747</v>
      </c>
      <c r="B451" s="43">
        <v>5.5</v>
      </c>
    </row>
    <row r="452" spans="1:2" x14ac:dyDescent="0.2">
      <c r="A452" s="23">
        <v>31778</v>
      </c>
      <c r="B452" s="43">
        <v>5.5</v>
      </c>
    </row>
    <row r="453" spans="1:2" x14ac:dyDescent="0.2">
      <c r="A453" s="23">
        <v>31809</v>
      </c>
      <c r="B453" s="43">
        <v>5.5</v>
      </c>
    </row>
    <row r="454" spans="1:2" x14ac:dyDescent="0.2">
      <c r="A454" s="23">
        <v>31837</v>
      </c>
      <c r="B454" s="43">
        <v>5.5</v>
      </c>
    </row>
    <row r="455" spans="1:2" x14ac:dyDescent="0.2">
      <c r="A455" s="23">
        <v>31868</v>
      </c>
      <c r="B455" s="43">
        <v>5.5</v>
      </c>
    </row>
    <row r="456" spans="1:2" x14ac:dyDescent="0.2">
      <c r="A456" s="23">
        <v>31898</v>
      </c>
      <c r="B456" s="43">
        <v>5.5</v>
      </c>
    </row>
    <row r="457" spans="1:2" x14ac:dyDescent="0.2">
      <c r="A457" s="23">
        <v>31929</v>
      </c>
      <c r="B457" s="43">
        <v>5.5</v>
      </c>
    </row>
    <row r="458" spans="1:2" x14ac:dyDescent="0.2">
      <c r="A458" s="23">
        <v>31959</v>
      </c>
      <c r="B458" s="43">
        <v>5.5</v>
      </c>
    </row>
    <row r="459" spans="1:2" x14ac:dyDescent="0.2">
      <c r="A459" s="23">
        <v>31990</v>
      </c>
      <c r="B459" s="43">
        <v>5.5</v>
      </c>
    </row>
    <row r="460" spans="1:2" x14ac:dyDescent="0.2">
      <c r="A460" s="23">
        <v>32021</v>
      </c>
      <c r="B460" s="43">
        <v>5.95</v>
      </c>
    </row>
    <row r="461" spans="1:2" x14ac:dyDescent="0.2">
      <c r="A461" s="23">
        <v>32051</v>
      </c>
      <c r="B461" s="43">
        <v>6</v>
      </c>
    </row>
    <row r="462" spans="1:2" x14ac:dyDescent="0.2">
      <c r="A462" s="23">
        <v>32082</v>
      </c>
      <c r="B462" s="43">
        <v>6</v>
      </c>
    </row>
    <row r="463" spans="1:2" x14ac:dyDescent="0.2">
      <c r="A463" s="23">
        <v>32112</v>
      </c>
      <c r="B463" s="43">
        <v>6</v>
      </c>
    </row>
    <row r="464" spans="1:2" x14ac:dyDescent="0.2">
      <c r="A464" s="23">
        <v>32143</v>
      </c>
      <c r="B464" s="43">
        <v>6</v>
      </c>
    </row>
    <row r="465" spans="1:2" x14ac:dyDescent="0.2">
      <c r="A465" s="23">
        <v>32174</v>
      </c>
      <c r="B465" s="43">
        <v>6</v>
      </c>
    </row>
    <row r="466" spans="1:2" x14ac:dyDescent="0.2">
      <c r="A466" s="23">
        <v>32203</v>
      </c>
      <c r="B466" s="43">
        <v>6</v>
      </c>
    </row>
    <row r="467" spans="1:2" x14ac:dyDescent="0.2">
      <c r="A467" s="23">
        <v>32234</v>
      </c>
      <c r="B467" s="43">
        <v>6</v>
      </c>
    </row>
    <row r="468" spans="1:2" x14ac:dyDescent="0.2">
      <c r="A468" s="23">
        <v>32264</v>
      </c>
      <c r="B468" s="43">
        <v>6</v>
      </c>
    </row>
    <row r="469" spans="1:2" x14ac:dyDescent="0.2">
      <c r="A469" s="23">
        <v>32295</v>
      </c>
      <c r="B469" s="43">
        <v>6</v>
      </c>
    </row>
    <row r="470" spans="1:2" x14ac:dyDescent="0.2">
      <c r="A470" s="23">
        <v>32325</v>
      </c>
      <c r="B470" s="43">
        <v>6</v>
      </c>
    </row>
    <row r="471" spans="1:2" x14ac:dyDescent="0.2">
      <c r="A471" s="23">
        <v>32356</v>
      </c>
      <c r="B471" s="43">
        <v>6.37</v>
      </c>
    </row>
    <row r="472" spans="1:2" x14ac:dyDescent="0.2">
      <c r="A472" s="23">
        <v>32387</v>
      </c>
      <c r="B472" s="43">
        <v>6.5</v>
      </c>
    </row>
    <row r="473" spans="1:2" x14ac:dyDescent="0.2">
      <c r="A473" s="23">
        <v>32417</v>
      </c>
      <c r="B473" s="43">
        <v>6.5</v>
      </c>
    </row>
    <row r="474" spans="1:2" x14ac:dyDescent="0.2">
      <c r="A474" s="23">
        <v>32448</v>
      </c>
      <c r="B474" s="43">
        <v>6.5</v>
      </c>
    </row>
    <row r="475" spans="1:2" x14ac:dyDescent="0.2">
      <c r="A475" s="23">
        <v>32478</v>
      </c>
      <c r="B475" s="43">
        <v>6.5</v>
      </c>
    </row>
    <row r="476" spans="1:2" x14ac:dyDescent="0.2">
      <c r="A476" s="23">
        <v>32509</v>
      </c>
      <c r="B476" s="43">
        <v>6.5</v>
      </c>
    </row>
    <row r="477" spans="1:2" x14ac:dyDescent="0.2">
      <c r="A477" s="23">
        <v>32540</v>
      </c>
      <c r="B477" s="43">
        <v>6.59</v>
      </c>
    </row>
    <row r="478" spans="1:2" x14ac:dyDescent="0.2">
      <c r="A478" s="23">
        <v>32568</v>
      </c>
      <c r="B478" s="43">
        <v>7</v>
      </c>
    </row>
    <row r="479" spans="1:2" x14ac:dyDescent="0.2">
      <c r="A479" s="23">
        <v>32599</v>
      </c>
      <c r="B479" s="43">
        <v>7</v>
      </c>
    </row>
    <row r="480" spans="1:2" x14ac:dyDescent="0.2">
      <c r="A480" s="23">
        <v>32629</v>
      </c>
      <c r="B480" s="43">
        <v>7</v>
      </c>
    </row>
    <row r="481" spans="1:2" x14ac:dyDescent="0.2">
      <c r="A481" s="23">
        <v>32660</v>
      </c>
      <c r="B481" s="43">
        <v>7</v>
      </c>
    </row>
    <row r="482" spans="1:2" x14ac:dyDescent="0.2">
      <c r="A482" s="23">
        <v>32690</v>
      </c>
      <c r="B482" s="43">
        <v>7</v>
      </c>
    </row>
    <row r="483" spans="1:2" x14ac:dyDescent="0.2">
      <c r="A483" s="23">
        <v>32721</v>
      </c>
      <c r="B483" s="43">
        <v>7</v>
      </c>
    </row>
    <row r="484" spans="1:2" x14ac:dyDescent="0.2">
      <c r="A484" s="23">
        <v>32752</v>
      </c>
      <c r="B484" s="43">
        <v>7</v>
      </c>
    </row>
    <row r="485" spans="1:2" x14ac:dyDescent="0.2">
      <c r="A485" s="23">
        <v>32782</v>
      </c>
      <c r="B485" s="43">
        <v>7</v>
      </c>
    </row>
    <row r="486" spans="1:2" x14ac:dyDescent="0.2">
      <c r="A486" s="23">
        <v>32813</v>
      </c>
      <c r="B486" s="43">
        <v>7</v>
      </c>
    </row>
    <row r="487" spans="1:2" x14ac:dyDescent="0.2">
      <c r="A487" s="23">
        <v>32843</v>
      </c>
      <c r="B487" s="43">
        <v>7</v>
      </c>
    </row>
    <row r="488" spans="1:2" x14ac:dyDescent="0.2">
      <c r="A488" s="23">
        <v>32874</v>
      </c>
      <c r="B488" s="43">
        <v>7</v>
      </c>
    </row>
    <row r="489" spans="1:2" x14ac:dyDescent="0.2">
      <c r="A489" s="23">
        <v>32905</v>
      </c>
      <c r="B489" s="43">
        <v>7</v>
      </c>
    </row>
    <row r="490" spans="1:2" x14ac:dyDescent="0.2">
      <c r="A490" s="23">
        <v>32933</v>
      </c>
      <c r="B490" s="43">
        <v>7</v>
      </c>
    </row>
    <row r="491" spans="1:2" x14ac:dyDescent="0.2">
      <c r="A491" s="23">
        <v>32964</v>
      </c>
      <c r="B491" s="43">
        <v>7</v>
      </c>
    </row>
    <row r="492" spans="1:2" x14ac:dyDescent="0.2">
      <c r="A492" s="23">
        <v>32994</v>
      </c>
      <c r="B492" s="43">
        <v>7</v>
      </c>
    </row>
    <row r="493" spans="1:2" x14ac:dyDescent="0.2">
      <c r="A493" s="23">
        <v>33025</v>
      </c>
      <c r="B493" s="43">
        <v>7</v>
      </c>
    </row>
    <row r="494" spans="1:2" x14ac:dyDescent="0.2">
      <c r="A494" s="23">
        <v>33055</v>
      </c>
      <c r="B494" s="43">
        <v>7</v>
      </c>
    </row>
    <row r="495" spans="1:2" x14ac:dyDescent="0.2">
      <c r="A495" s="23">
        <v>33086</v>
      </c>
      <c r="B495" s="43">
        <v>7</v>
      </c>
    </row>
    <row r="496" spans="1:2" x14ac:dyDescent="0.2">
      <c r="A496" s="23">
        <v>33117</v>
      </c>
      <c r="B496" s="43">
        <v>7</v>
      </c>
    </row>
    <row r="497" spans="1:2" x14ac:dyDescent="0.2">
      <c r="A497" s="23">
        <v>33147</v>
      </c>
      <c r="B497" s="43">
        <v>7</v>
      </c>
    </row>
    <row r="498" spans="1:2" x14ac:dyDescent="0.2">
      <c r="A498" s="23">
        <v>33178</v>
      </c>
      <c r="B498" s="43">
        <v>7</v>
      </c>
    </row>
    <row r="499" spans="1:2" x14ac:dyDescent="0.2">
      <c r="A499" s="23">
        <v>33208</v>
      </c>
      <c r="B499" s="43">
        <v>6.79</v>
      </c>
    </row>
    <row r="500" spans="1:2" x14ac:dyDescent="0.2">
      <c r="A500" s="23">
        <v>33239</v>
      </c>
      <c r="B500" s="43">
        <v>6.5</v>
      </c>
    </row>
    <row r="501" spans="1:2" x14ac:dyDescent="0.2">
      <c r="A501" s="23">
        <v>33270</v>
      </c>
      <c r="B501" s="43">
        <v>6</v>
      </c>
    </row>
    <row r="502" spans="1:2" x14ac:dyDescent="0.2">
      <c r="A502" s="23">
        <v>33298</v>
      </c>
      <c r="B502" s="43">
        <v>6</v>
      </c>
    </row>
    <row r="503" spans="1:2" x14ac:dyDescent="0.2">
      <c r="A503" s="23">
        <v>33329</v>
      </c>
      <c r="B503" s="43">
        <v>5.98</v>
      </c>
    </row>
    <row r="504" spans="1:2" x14ac:dyDescent="0.2">
      <c r="A504" s="23">
        <v>33359</v>
      </c>
      <c r="B504" s="43">
        <v>5.5</v>
      </c>
    </row>
    <row r="505" spans="1:2" x14ac:dyDescent="0.2">
      <c r="A505" s="23">
        <v>33390</v>
      </c>
      <c r="B505" s="43">
        <v>5.5</v>
      </c>
    </row>
    <row r="506" spans="1:2" x14ac:dyDescent="0.2">
      <c r="A506" s="23">
        <v>33420</v>
      </c>
      <c r="B506" s="43">
        <v>5.5</v>
      </c>
    </row>
    <row r="507" spans="1:2" x14ac:dyDescent="0.2">
      <c r="A507" s="23">
        <v>33451</v>
      </c>
      <c r="B507" s="43">
        <v>5.5</v>
      </c>
    </row>
    <row r="508" spans="1:2" x14ac:dyDescent="0.2">
      <c r="A508" s="23">
        <v>33482</v>
      </c>
      <c r="B508" s="43">
        <v>5.2</v>
      </c>
    </row>
    <row r="509" spans="1:2" x14ac:dyDescent="0.2">
      <c r="A509" s="23">
        <v>33512</v>
      </c>
      <c r="B509" s="43">
        <v>5</v>
      </c>
    </row>
    <row r="510" spans="1:2" x14ac:dyDescent="0.2">
      <c r="A510" s="23">
        <v>33543</v>
      </c>
      <c r="B510" s="43">
        <v>4.58</v>
      </c>
    </row>
    <row r="511" spans="1:2" x14ac:dyDescent="0.2">
      <c r="A511" s="23">
        <v>33573</v>
      </c>
      <c r="B511" s="43">
        <v>4.1100000000000003</v>
      </c>
    </row>
    <row r="512" spans="1:2" x14ac:dyDescent="0.2">
      <c r="A512" s="23">
        <v>33604</v>
      </c>
      <c r="B512" s="43">
        <v>3.5</v>
      </c>
    </row>
    <row r="513" spans="1:2" x14ac:dyDescent="0.2">
      <c r="A513" s="23">
        <v>33635</v>
      </c>
      <c r="B513" s="43">
        <v>3.5</v>
      </c>
    </row>
    <row r="514" spans="1:2" x14ac:dyDescent="0.2">
      <c r="A514" s="23">
        <v>33664</v>
      </c>
      <c r="B514" s="43">
        <v>3.5</v>
      </c>
    </row>
    <row r="515" spans="1:2" x14ac:dyDescent="0.2">
      <c r="A515" s="23">
        <v>33695</v>
      </c>
      <c r="B515" s="43">
        <v>3.5</v>
      </c>
    </row>
    <row r="516" spans="1:2" x14ac:dyDescent="0.2">
      <c r="A516" s="23">
        <v>33725</v>
      </c>
      <c r="B516" s="43">
        <v>3.5</v>
      </c>
    </row>
    <row r="517" spans="1:2" x14ac:dyDescent="0.2">
      <c r="A517" s="23">
        <v>33756</v>
      </c>
      <c r="B517" s="43">
        <v>3.5</v>
      </c>
    </row>
    <row r="518" spans="1:2" x14ac:dyDescent="0.2">
      <c r="A518" s="23">
        <v>33786</v>
      </c>
      <c r="B518" s="43">
        <v>3.02</v>
      </c>
    </row>
    <row r="519" spans="1:2" x14ac:dyDescent="0.2">
      <c r="A519" s="23">
        <v>33817</v>
      </c>
      <c r="B519" s="43">
        <v>3</v>
      </c>
    </row>
    <row r="520" spans="1:2" x14ac:dyDescent="0.2">
      <c r="A520" s="23">
        <v>33848</v>
      </c>
      <c r="B520" s="43">
        <v>3</v>
      </c>
    </row>
    <row r="521" spans="1:2" x14ac:dyDescent="0.2">
      <c r="A521" s="23">
        <v>33878</v>
      </c>
      <c r="B521" s="43">
        <v>3</v>
      </c>
    </row>
    <row r="522" spans="1:2" x14ac:dyDescent="0.2">
      <c r="A522" s="23">
        <v>33909</v>
      </c>
      <c r="B522" s="43">
        <v>3</v>
      </c>
    </row>
    <row r="523" spans="1:2" x14ac:dyDescent="0.2">
      <c r="A523" s="23">
        <v>33939</v>
      </c>
      <c r="B523" s="43">
        <v>3</v>
      </c>
    </row>
    <row r="524" spans="1:2" x14ac:dyDescent="0.2">
      <c r="A524" s="23">
        <v>33970</v>
      </c>
      <c r="B524" s="43">
        <v>3</v>
      </c>
    </row>
    <row r="525" spans="1:2" x14ac:dyDescent="0.2">
      <c r="A525" s="23">
        <v>34001</v>
      </c>
      <c r="B525" s="43">
        <v>3</v>
      </c>
    </row>
    <row r="526" spans="1:2" x14ac:dyDescent="0.2">
      <c r="A526" s="23">
        <v>34029</v>
      </c>
      <c r="B526" s="43">
        <v>3</v>
      </c>
    </row>
    <row r="527" spans="1:2" x14ac:dyDescent="0.2">
      <c r="A527" s="23">
        <v>34060</v>
      </c>
      <c r="B527" s="43">
        <v>3</v>
      </c>
    </row>
    <row r="528" spans="1:2" x14ac:dyDescent="0.2">
      <c r="A528" s="23">
        <v>34090</v>
      </c>
      <c r="B528" s="43">
        <v>3</v>
      </c>
    </row>
    <row r="529" spans="1:2" x14ac:dyDescent="0.2">
      <c r="A529" s="23">
        <v>34121</v>
      </c>
      <c r="B529" s="43">
        <v>3</v>
      </c>
    </row>
    <row r="530" spans="1:2" x14ac:dyDescent="0.2">
      <c r="A530" s="23">
        <v>34151</v>
      </c>
      <c r="B530" s="43">
        <v>3</v>
      </c>
    </row>
    <row r="531" spans="1:2" x14ac:dyDescent="0.2">
      <c r="A531" s="23">
        <v>34182</v>
      </c>
      <c r="B531" s="43">
        <v>3</v>
      </c>
    </row>
    <row r="532" spans="1:2" x14ac:dyDescent="0.2">
      <c r="A532" s="23">
        <v>34213</v>
      </c>
      <c r="B532" s="43">
        <v>3</v>
      </c>
    </row>
    <row r="533" spans="1:2" x14ac:dyDescent="0.2">
      <c r="A533" s="23">
        <v>34243</v>
      </c>
      <c r="B533" s="43">
        <v>3</v>
      </c>
    </row>
    <row r="534" spans="1:2" x14ac:dyDescent="0.2">
      <c r="A534" s="23">
        <v>34274</v>
      </c>
      <c r="B534" s="43">
        <v>3</v>
      </c>
    </row>
    <row r="535" spans="1:2" x14ac:dyDescent="0.2">
      <c r="A535" s="23">
        <v>34304</v>
      </c>
      <c r="B535" s="43">
        <v>3</v>
      </c>
    </row>
    <row r="536" spans="1:2" x14ac:dyDescent="0.2">
      <c r="A536" s="23">
        <v>34335</v>
      </c>
      <c r="B536" s="43">
        <v>3</v>
      </c>
    </row>
    <row r="537" spans="1:2" x14ac:dyDescent="0.2">
      <c r="A537" s="23">
        <v>34366</v>
      </c>
      <c r="B537" s="43">
        <v>3</v>
      </c>
    </row>
    <row r="538" spans="1:2" x14ac:dyDescent="0.2">
      <c r="A538" s="23">
        <v>34394</v>
      </c>
      <c r="B538" s="43">
        <v>3</v>
      </c>
    </row>
    <row r="539" spans="1:2" x14ac:dyDescent="0.2">
      <c r="A539" s="23">
        <v>34425</v>
      </c>
      <c r="B539" s="43">
        <v>3</v>
      </c>
    </row>
    <row r="540" spans="1:2" x14ac:dyDescent="0.2">
      <c r="A540" s="23">
        <v>34455</v>
      </c>
      <c r="B540" s="43">
        <v>3.24</v>
      </c>
    </row>
    <row r="541" spans="1:2" x14ac:dyDescent="0.2">
      <c r="A541" s="23">
        <v>34486</v>
      </c>
      <c r="B541" s="43">
        <v>3.5</v>
      </c>
    </row>
    <row r="542" spans="1:2" x14ac:dyDescent="0.2">
      <c r="A542" s="23">
        <v>34516</v>
      </c>
      <c r="B542" s="43">
        <v>3.5</v>
      </c>
    </row>
    <row r="543" spans="1:2" x14ac:dyDescent="0.2">
      <c r="A543" s="23">
        <v>34547</v>
      </c>
      <c r="B543" s="43">
        <v>3.76</v>
      </c>
    </row>
    <row r="544" spans="1:2" x14ac:dyDescent="0.2">
      <c r="A544" s="23">
        <v>34578</v>
      </c>
      <c r="B544" s="43">
        <v>4</v>
      </c>
    </row>
    <row r="545" spans="1:2" x14ac:dyDescent="0.2">
      <c r="A545" s="23">
        <v>34608</v>
      </c>
      <c r="B545" s="43">
        <v>4</v>
      </c>
    </row>
    <row r="546" spans="1:2" x14ac:dyDescent="0.2">
      <c r="A546" s="23">
        <v>34639</v>
      </c>
      <c r="B546" s="43">
        <v>4.4000000000000004</v>
      </c>
    </row>
    <row r="547" spans="1:2" x14ac:dyDescent="0.2">
      <c r="A547" s="23">
        <v>34669</v>
      </c>
      <c r="B547" s="43">
        <v>4.75</v>
      </c>
    </row>
    <row r="548" spans="1:2" x14ac:dyDescent="0.2">
      <c r="A548" s="23">
        <v>34700</v>
      </c>
      <c r="B548" s="43">
        <v>4.75</v>
      </c>
    </row>
    <row r="549" spans="1:2" x14ac:dyDescent="0.2">
      <c r="A549" s="23">
        <v>34731</v>
      </c>
      <c r="B549" s="43">
        <v>5.25</v>
      </c>
    </row>
    <row r="550" spans="1:2" x14ac:dyDescent="0.2">
      <c r="A550" s="23">
        <v>34759</v>
      </c>
      <c r="B550" s="43">
        <v>5.25</v>
      </c>
    </row>
    <row r="551" spans="1:2" x14ac:dyDescent="0.2">
      <c r="A551" s="23">
        <v>34790</v>
      </c>
      <c r="B551" s="43">
        <v>5.25</v>
      </c>
    </row>
    <row r="552" spans="1:2" x14ac:dyDescent="0.2">
      <c r="A552" s="23">
        <v>34820</v>
      </c>
      <c r="B552" s="43">
        <v>5.25</v>
      </c>
    </row>
    <row r="553" spans="1:2" x14ac:dyDescent="0.2">
      <c r="A553" s="23">
        <v>34851</v>
      </c>
      <c r="B553" s="43">
        <v>5.25</v>
      </c>
    </row>
    <row r="554" spans="1:2" x14ac:dyDescent="0.2">
      <c r="A554" s="23">
        <v>34881</v>
      </c>
      <c r="B554" s="43">
        <v>5.25</v>
      </c>
    </row>
    <row r="555" spans="1:2" x14ac:dyDescent="0.2">
      <c r="A555" s="23">
        <v>34912</v>
      </c>
      <c r="B555" s="43">
        <v>5.25</v>
      </c>
    </row>
    <row r="556" spans="1:2" x14ac:dyDescent="0.2">
      <c r="A556" s="23">
        <v>34943</v>
      </c>
      <c r="B556" s="43">
        <v>5.25</v>
      </c>
    </row>
    <row r="557" spans="1:2" x14ac:dyDescent="0.2">
      <c r="A557" s="23">
        <v>34973</v>
      </c>
      <c r="B557" s="43">
        <v>5.25</v>
      </c>
    </row>
    <row r="558" spans="1:2" x14ac:dyDescent="0.2">
      <c r="A558" s="23">
        <v>35004</v>
      </c>
      <c r="B558" s="43">
        <v>5.25</v>
      </c>
    </row>
    <row r="559" spans="1:2" x14ac:dyDescent="0.2">
      <c r="A559" s="23">
        <v>35034</v>
      </c>
      <c r="B559" s="43">
        <v>5.25</v>
      </c>
    </row>
    <row r="560" spans="1:2" x14ac:dyDescent="0.2">
      <c r="A560" s="23">
        <v>35065</v>
      </c>
      <c r="B560" s="43">
        <v>5.24</v>
      </c>
    </row>
    <row r="561" spans="1:2" x14ac:dyDescent="0.2">
      <c r="A561" s="23">
        <v>35096</v>
      </c>
      <c r="B561" s="43">
        <v>5</v>
      </c>
    </row>
    <row r="562" spans="1:2" x14ac:dyDescent="0.2">
      <c r="A562" s="23">
        <v>35125</v>
      </c>
      <c r="B562" s="43">
        <v>5</v>
      </c>
    </row>
    <row r="563" spans="1:2" x14ac:dyDescent="0.2">
      <c r="A563" s="23">
        <v>35156</v>
      </c>
      <c r="B563" s="43">
        <v>5</v>
      </c>
    </row>
    <row r="564" spans="1:2" x14ac:dyDescent="0.2">
      <c r="A564" s="23">
        <v>35186</v>
      </c>
      <c r="B564" s="43">
        <v>5</v>
      </c>
    </row>
    <row r="565" spans="1:2" x14ac:dyDescent="0.2">
      <c r="A565" s="23">
        <v>35217</v>
      </c>
      <c r="B565" s="43">
        <v>5</v>
      </c>
    </row>
    <row r="566" spans="1:2" x14ac:dyDescent="0.2">
      <c r="A566" s="23">
        <v>35247</v>
      </c>
      <c r="B566" s="43">
        <v>5</v>
      </c>
    </row>
    <row r="567" spans="1:2" x14ac:dyDescent="0.2">
      <c r="A567" s="23">
        <v>35278</v>
      </c>
      <c r="B567" s="43">
        <v>5</v>
      </c>
    </row>
    <row r="568" spans="1:2" x14ac:dyDescent="0.2">
      <c r="A568" s="23">
        <v>35309</v>
      </c>
      <c r="B568" s="43">
        <v>5</v>
      </c>
    </row>
    <row r="569" spans="1:2" x14ac:dyDescent="0.2">
      <c r="A569" s="23">
        <v>35339</v>
      </c>
      <c r="B569" s="43">
        <v>5</v>
      </c>
    </row>
    <row r="570" spans="1:2" x14ac:dyDescent="0.2">
      <c r="A570" s="23">
        <v>35370</v>
      </c>
      <c r="B570" s="43">
        <v>5</v>
      </c>
    </row>
    <row r="571" spans="1:2" x14ac:dyDescent="0.2">
      <c r="A571" s="23">
        <v>35400</v>
      </c>
      <c r="B571" s="43">
        <v>5</v>
      </c>
    </row>
    <row r="572" spans="1:2" x14ac:dyDescent="0.2">
      <c r="A572" s="23">
        <v>35431</v>
      </c>
      <c r="B572" s="43">
        <v>5</v>
      </c>
    </row>
    <row r="573" spans="1:2" x14ac:dyDescent="0.2">
      <c r="A573" s="23">
        <v>35462</v>
      </c>
      <c r="B573" s="43">
        <v>5</v>
      </c>
    </row>
    <row r="574" spans="1:2" x14ac:dyDescent="0.2">
      <c r="A574" s="23">
        <v>35490</v>
      </c>
      <c r="B574" s="43">
        <v>5</v>
      </c>
    </row>
    <row r="575" spans="1:2" x14ac:dyDescent="0.2">
      <c r="A575" s="23">
        <v>35521</v>
      </c>
      <c r="B575" s="43">
        <v>5</v>
      </c>
    </row>
    <row r="576" spans="1:2" x14ac:dyDescent="0.2">
      <c r="A576" s="23">
        <v>35551</v>
      </c>
      <c r="B576" s="43">
        <v>5</v>
      </c>
    </row>
    <row r="577" spans="1:2" x14ac:dyDescent="0.2">
      <c r="A577" s="23">
        <v>35582</v>
      </c>
      <c r="B577" s="43">
        <v>5</v>
      </c>
    </row>
    <row r="578" spans="1:2" x14ac:dyDescent="0.2">
      <c r="A578" s="23">
        <v>35612</v>
      </c>
      <c r="B578" s="43">
        <v>5</v>
      </c>
    </row>
    <row r="579" spans="1:2" x14ac:dyDescent="0.2">
      <c r="A579" s="23">
        <v>35643</v>
      </c>
      <c r="B579" s="43">
        <v>5</v>
      </c>
    </row>
    <row r="580" spans="1:2" x14ac:dyDescent="0.2">
      <c r="A580" s="23">
        <v>35674</v>
      </c>
      <c r="B580" s="43">
        <v>5</v>
      </c>
    </row>
    <row r="581" spans="1:2" x14ac:dyDescent="0.2">
      <c r="A581" s="23">
        <v>35704</v>
      </c>
      <c r="B581" s="43">
        <v>5</v>
      </c>
    </row>
    <row r="582" spans="1:2" x14ac:dyDescent="0.2">
      <c r="A582" s="23">
        <v>35735</v>
      </c>
      <c r="B582" s="43">
        <v>5</v>
      </c>
    </row>
    <row r="583" spans="1:2" x14ac:dyDescent="0.2">
      <c r="A583" s="23">
        <v>35765</v>
      </c>
      <c r="B583" s="43">
        <v>5</v>
      </c>
    </row>
    <row r="584" spans="1:2" x14ac:dyDescent="0.2">
      <c r="A584" s="23">
        <v>35796</v>
      </c>
      <c r="B584" s="43">
        <v>5</v>
      </c>
    </row>
    <row r="585" spans="1:2" x14ac:dyDescent="0.2">
      <c r="A585" s="23">
        <v>35827</v>
      </c>
      <c r="B585" s="43">
        <v>5</v>
      </c>
    </row>
    <row r="586" spans="1:2" x14ac:dyDescent="0.2">
      <c r="A586" s="23">
        <v>35855</v>
      </c>
      <c r="B586" s="43">
        <v>5</v>
      </c>
    </row>
    <row r="587" spans="1:2" x14ac:dyDescent="0.2">
      <c r="A587" s="23">
        <v>35886</v>
      </c>
      <c r="B587" s="43">
        <v>5</v>
      </c>
    </row>
    <row r="588" spans="1:2" x14ac:dyDescent="0.2">
      <c r="A588" s="23">
        <v>35916</v>
      </c>
      <c r="B588" s="43">
        <v>5</v>
      </c>
    </row>
    <row r="589" spans="1:2" x14ac:dyDescent="0.2">
      <c r="A589" s="23">
        <v>35947</v>
      </c>
      <c r="B589" s="43">
        <v>5</v>
      </c>
    </row>
    <row r="590" spans="1:2" x14ac:dyDescent="0.2">
      <c r="A590" s="23">
        <v>35977</v>
      </c>
      <c r="B590" s="43">
        <v>5</v>
      </c>
    </row>
    <row r="591" spans="1:2" x14ac:dyDescent="0.2">
      <c r="A591" s="23">
        <v>36008</v>
      </c>
      <c r="B591" s="43">
        <v>5</v>
      </c>
    </row>
    <row r="592" spans="1:2" x14ac:dyDescent="0.2">
      <c r="A592" s="23">
        <v>36039</v>
      </c>
      <c r="B592" s="43">
        <v>5</v>
      </c>
    </row>
    <row r="593" spans="1:2" x14ac:dyDescent="0.2">
      <c r="A593" s="23">
        <v>36069</v>
      </c>
      <c r="B593" s="43">
        <v>4.8600000000000003</v>
      </c>
    </row>
    <row r="594" spans="1:2" x14ac:dyDescent="0.2">
      <c r="A594" s="23">
        <v>36100</v>
      </c>
      <c r="B594" s="43">
        <v>4.63</v>
      </c>
    </row>
    <row r="595" spans="1:2" x14ac:dyDescent="0.2">
      <c r="A595" s="23">
        <v>36130</v>
      </c>
      <c r="B595" s="43">
        <v>4.5</v>
      </c>
    </row>
    <row r="596" spans="1:2" x14ac:dyDescent="0.2">
      <c r="A596" s="23">
        <v>36161</v>
      </c>
      <c r="B596" s="43">
        <v>4.5</v>
      </c>
    </row>
    <row r="597" spans="1:2" x14ac:dyDescent="0.2">
      <c r="A597" s="23">
        <v>36192</v>
      </c>
      <c r="B597" s="43">
        <v>4.5</v>
      </c>
    </row>
    <row r="598" spans="1:2" x14ac:dyDescent="0.2">
      <c r="A598" s="23">
        <v>36220</v>
      </c>
      <c r="B598" s="43">
        <v>4.5</v>
      </c>
    </row>
    <row r="599" spans="1:2" x14ac:dyDescent="0.2">
      <c r="A599" s="23">
        <v>36251</v>
      </c>
      <c r="B599" s="43">
        <v>4.5</v>
      </c>
    </row>
    <row r="600" spans="1:2" x14ac:dyDescent="0.2">
      <c r="A600" s="23">
        <v>36281</v>
      </c>
      <c r="B600" s="43">
        <v>4.5</v>
      </c>
    </row>
    <row r="601" spans="1:2" x14ac:dyDescent="0.2">
      <c r="A601" s="23">
        <v>36312</v>
      </c>
      <c r="B601" s="43">
        <v>4.5</v>
      </c>
    </row>
    <row r="602" spans="1:2" x14ac:dyDescent="0.2">
      <c r="A602" s="23">
        <v>36342</v>
      </c>
      <c r="B602" s="43">
        <v>4.5</v>
      </c>
    </row>
    <row r="603" spans="1:2" x14ac:dyDescent="0.2">
      <c r="A603" s="23">
        <v>36373</v>
      </c>
      <c r="B603" s="43">
        <v>4.5599999999999996</v>
      </c>
    </row>
    <row r="604" spans="1:2" x14ac:dyDescent="0.2">
      <c r="A604" s="23">
        <v>36404</v>
      </c>
      <c r="B604" s="43">
        <v>4.75</v>
      </c>
    </row>
    <row r="605" spans="1:2" x14ac:dyDescent="0.2">
      <c r="A605" s="23">
        <v>36434</v>
      </c>
      <c r="B605" s="43">
        <v>4.75</v>
      </c>
    </row>
    <row r="606" spans="1:2" x14ac:dyDescent="0.2">
      <c r="A606" s="23">
        <v>36465</v>
      </c>
      <c r="B606" s="43">
        <v>4.8600000000000003</v>
      </c>
    </row>
    <row r="607" spans="1:2" x14ac:dyDescent="0.2">
      <c r="A607" s="23">
        <v>36495</v>
      </c>
      <c r="B607" s="43">
        <v>5</v>
      </c>
    </row>
    <row r="608" spans="1:2" x14ac:dyDescent="0.2">
      <c r="A608" s="23">
        <v>36526</v>
      </c>
      <c r="B608" s="43">
        <v>5</v>
      </c>
    </row>
    <row r="609" spans="1:2" x14ac:dyDescent="0.2">
      <c r="A609" s="23">
        <v>36557</v>
      </c>
      <c r="B609" s="43">
        <v>5.24</v>
      </c>
    </row>
    <row r="610" spans="1:2" x14ac:dyDescent="0.2">
      <c r="A610" s="23">
        <v>36586</v>
      </c>
      <c r="B610" s="43">
        <v>5.34</v>
      </c>
    </row>
    <row r="611" spans="1:2" x14ac:dyDescent="0.2">
      <c r="A611" s="23">
        <v>36617</v>
      </c>
      <c r="B611" s="43">
        <v>5.5</v>
      </c>
    </row>
    <row r="612" spans="1:2" x14ac:dyDescent="0.2">
      <c r="A612" s="23">
        <v>36647</v>
      </c>
      <c r="B612" s="43">
        <v>5.71</v>
      </c>
    </row>
    <row r="613" spans="1:2" x14ac:dyDescent="0.2">
      <c r="A613" s="23">
        <v>36678</v>
      </c>
      <c r="B613" s="43">
        <v>6</v>
      </c>
    </row>
    <row r="614" spans="1:2" x14ac:dyDescent="0.2">
      <c r="A614" s="23">
        <v>36708</v>
      </c>
      <c r="B614" s="43">
        <v>6</v>
      </c>
    </row>
    <row r="615" spans="1:2" x14ac:dyDescent="0.2">
      <c r="A615" s="23">
        <v>36739</v>
      </c>
      <c r="B615" s="43">
        <v>6</v>
      </c>
    </row>
    <row r="616" spans="1:2" x14ac:dyDescent="0.2">
      <c r="A616" s="23">
        <v>36770</v>
      </c>
      <c r="B616" s="43">
        <v>6</v>
      </c>
    </row>
    <row r="617" spans="1:2" x14ac:dyDescent="0.2">
      <c r="A617" s="23">
        <v>36800</v>
      </c>
      <c r="B617" s="43">
        <v>6</v>
      </c>
    </row>
    <row r="618" spans="1:2" x14ac:dyDescent="0.2">
      <c r="A618" s="23">
        <v>36831</v>
      </c>
      <c r="B618" s="43">
        <v>6</v>
      </c>
    </row>
    <row r="619" spans="1:2" x14ac:dyDescent="0.2">
      <c r="A619" s="23">
        <v>36861</v>
      </c>
      <c r="B619" s="43">
        <v>6</v>
      </c>
    </row>
    <row r="620" spans="1:2" x14ac:dyDescent="0.2">
      <c r="A620" s="23">
        <v>36892</v>
      </c>
      <c r="B620" s="43">
        <v>5.52</v>
      </c>
    </row>
    <row r="621" spans="1:2" x14ac:dyDescent="0.2">
      <c r="A621" s="23">
        <v>36923</v>
      </c>
      <c r="B621" s="43">
        <v>5</v>
      </c>
    </row>
    <row r="622" spans="1:2" x14ac:dyDescent="0.2">
      <c r="A622" s="23">
        <v>36951</v>
      </c>
      <c r="B622" s="43">
        <v>4.8099999999999996</v>
      </c>
    </row>
    <row r="623" spans="1:2" x14ac:dyDescent="0.2">
      <c r="A623" s="23">
        <v>36982</v>
      </c>
      <c r="B623" s="43">
        <v>4.28</v>
      </c>
    </row>
    <row r="624" spans="1:2" x14ac:dyDescent="0.2">
      <c r="A624" s="23">
        <v>37012</v>
      </c>
      <c r="B624" s="43">
        <v>3.73</v>
      </c>
    </row>
    <row r="625" spans="1:2" x14ac:dyDescent="0.2">
      <c r="A625" s="23">
        <v>37043</v>
      </c>
      <c r="B625" s="43">
        <v>3.47</v>
      </c>
    </row>
    <row r="626" spans="1:2" x14ac:dyDescent="0.2">
      <c r="A626" s="23">
        <v>37073</v>
      </c>
      <c r="B626" s="43">
        <v>3.25</v>
      </c>
    </row>
    <row r="627" spans="1:2" x14ac:dyDescent="0.2">
      <c r="A627" s="23">
        <v>37104</v>
      </c>
      <c r="B627" s="43">
        <v>3.16</v>
      </c>
    </row>
    <row r="628" spans="1:2" x14ac:dyDescent="0.2">
      <c r="A628" s="23">
        <v>37135</v>
      </c>
      <c r="B628" s="43">
        <v>2.77</v>
      </c>
    </row>
    <row r="629" spans="1:2" x14ac:dyDescent="0.2">
      <c r="A629" s="23">
        <v>37165</v>
      </c>
      <c r="B629" s="43">
        <v>2.02</v>
      </c>
    </row>
    <row r="630" spans="1:2" x14ac:dyDescent="0.2">
      <c r="A630" s="23">
        <v>37196</v>
      </c>
      <c r="B630" s="43">
        <v>1.58</v>
      </c>
    </row>
    <row r="631" spans="1:2" x14ac:dyDescent="0.2">
      <c r="A631" s="23">
        <v>37226</v>
      </c>
      <c r="B631" s="43">
        <v>1.33</v>
      </c>
    </row>
    <row r="632" spans="1:2" x14ac:dyDescent="0.2">
      <c r="A632" s="23">
        <v>37257</v>
      </c>
      <c r="B632" s="43">
        <v>1.25</v>
      </c>
    </row>
    <row r="633" spans="1:2" x14ac:dyDescent="0.2">
      <c r="A633" s="23">
        <v>37288</v>
      </c>
      <c r="B633" s="43">
        <v>1.25</v>
      </c>
    </row>
    <row r="634" spans="1:2" x14ac:dyDescent="0.2">
      <c r="A634" s="23">
        <v>37316</v>
      </c>
      <c r="B634" s="43">
        <v>1.25</v>
      </c>
    </row>
    <row r="635" spans="1:2" x14ac:dyDescent="0.2">
      <c r="A635" s="23">
        <v>37347</v>
      </c>
      <c r="B635" s="43">
        <v>1.25</v>
      </c>
    </row>
    <row r="636" spans="1:2" x14ac:dyDescent="0.2">
      <c r="A636" s="23">
        <v>37377</v>
      </c>
      <c r="B636" s="43">
        <v>1.25</v>
      </c>
    </row>
    <row r="637" spans="1:2" x14ac:dyDescent="0.2">
      <c r="A637" s="23">
        <v>37408</v>
      </c>
      <c r="B637" s="43">
        <v>1.25</v>
      </c>
    </row>
    <row r="638" spans="1:2" x14ac:dyDescent="0.2">
      <c r="A638" s="23">
        <v>37438</v>
      </c>
      <c r="B638" s="43">
        <v>1.25</v>
      </c>
    </row>
    <row r="639" spans="1:2" x14ac:dyDescent="0.2">
      <c r="A639" s="23">
        <v>37469</v>
      </c>
      <c r="B639" s="43">
        <v>1.25</v>
      </c>
    </row>
    <row r="640" spans="1:2" x14ac:dyDescent="0.2">
      <c r="A640" s="23">
        <v>37500</v>
      </c>
      <c r="B640" s="43">
        <v>1.25</v>
      </c>
    </row>
    <row r="641" spans="1:2" x14ac:dyDescent="0.2">
      <c r="A641" s="23">
        <v>37530</v>
      </c>
      <c r="B641" s="43">
        <v>1.25</v>
      </c>
    </row>
    <row r="642" spans="1:2" x14ac:dyDescent="0.2">
      <c r="A642" s="23">
        <v>37561</v>
      </c>
      <c r="B642" s="43">
        <v>0.83</v>
      </c>
    </row>
    <row r="643" spans="1:2" x14ac:dyDescent="0.2">
      <c r="A643" s="23">
        <v>37591</v>
      </c>
      <c r="B643" s="43">
        <v>0.75</v>
      </c>
    </row>
    <row r="644" spans="1:2" x14ac:dyDescent="0.2">
      <c r="A644" s="23">
        <v>37622</v>
      </c>
      <c r="B644" s="43">
        <v>2.25</v>
      </c>
    </row>
    <row r="645" spans="1:2" x14ac:dyDescent="0.2">
      <c r="A645" s="23">
        <v>37653</v>
      </c>
      <c r="B645" s="43">
        <v>2.25</v>
      </c>
    </row>
    <row r="646" spans="1:2" x14ac:dyDescent="0.2">
      <c r="A646" s="23">
        <v>37681</v>
      </c>
      <c r="B646" s="43">
        <v>2.25</v>
      </c>
    </row>
    <row r="647" spans="1:2" x14ac:dyDescent="0.2">
      <c r="A647" s="23">
        <v>37712</v>
      </c>
      <c r="B647" s="43">
        <v>2.25</v>
      </c>
    </row>
    <row r="648" spans="1:2" x14ac:dyDescent="0.2">
      <c r="A648" s="23">
        <v>37742</v>
      </c>
      <c r="B648" s="43">
        <v>2.25</v>
      </c>
    </row>
    <row r="649" spans="1:2" x14ac:dyDescent="0.2">
      <c r="A649" s="23">
        <v>37773</v>
      </c>
      <c r="B649" s="43">
        <v>2</v>
      </c>
    </row>
    <row r="650" spans="1:2" x14ac:dyDescent="0.2">
      <c r="A650" s="23">
        <v>37803</v>
      </c>
      <c r="B650" s="43">
        <v>2</v>
      </c>
    </row>
    <row r="651" spans="1:2" x14ac:dyDescent="0.2">
      <c r="A651" s="23">
        <v>37834</v>
      </c>
      <c r="B651" s="43">
        <v>2</v>
      </c>
    </row>
    <row r="652" spans="1:2" x14ac:dyDescent="0.2">
      <c r="A652" s="23">
        <v>37865</v>
      </c>
      <c r="B652" s="43">
        <v>2</v>
      </c>
    </row>
    <row r="653" spans="1:2" x14ac:dyDescent="0.2">
      <c r="A653" s="23">
        <v>37895</v>
      </c>
      <c r="B653" s="43">
        <v>2</v>
      </c>
    </row>
    <row r="654" spans="1:2" x14ac:dyDescent="0.2">
      <c r="A654" s="23">
        <v>37926</v>
      </c>
      <c r="B654" s="43">
        <v>2</v>
      </c>
    </row>
    <row r="655" spans="1:2" x14ac:dyDescent="0.2">
      <c r="A655" s="23">
        <v>37956</v>
      </c>
      <c r="B655" s="43">
        <v>2</v>
      </c>
    </row>
    <row r="656" spans="1:2" x14ac:dyDescent="0.2">
      <c r="A656" s="23">
        <v>37987</v>
      </c>
      <c r="B656" s="43">
        <v>2</v>
      </c>
    </row>
    <row r="657" spans="1:2" x14ac:dyDescent="0.2">
      <c r="A657" s="23">
        <v>38018</v>
      </c>
      <c r="B657" s="43">
        <v>2</v>
      </c>
    </row>
    <row r="658" spans="1:2" x14ac:dyDescent="0.2">
      <c r="A658" s="23">
        <v>38047</v>
      </c>
      <c r="B658" s="43">
        <v>2</v>
      </c>
    </row>
    <row r="659" spans="1:2" x14ac:dyDescent="0.2">
      <c r="A659" s="23">
        <v>38078</v>
      </c>
      <c r="B659" s="43">
        <v>2</v>
      </c>
    </row>
    <row r="660" spans="1:2" x14ac:dyDescent="0.2">
      <c r="A660" s="23">
        <v>38108</v>
      </c>
      <c r="B660" s="43">
        <v>2</v>
      </c>
    </row>
    <row r="661" spans="1:2" x14ac:dyDescent="0.2">
      <c r="A661" s="23">
        <v>38139</v>
      </c>
      <c r="B661" s="43">
        <v>2.25</v>
      </c>
    </row>
    <row r="662" spans="1:2" x14ac:dyDescent="0.2">
      <c r="A662" s="23">
        <v>38169</v>
      </c>
      <c r="B662" s="43">
        <v>2.25</v>
      </c>
    </row>
    <row r="663" spans="1:2" x14ac:dyDescent="0.2">
      <c r="A663" s="23">
        <v>38200</v>
      </c>
      <c r="B663" s="43">
        <v>2.5</v>
      </c>
    </row>
    <row r="664" spans="1:2" x14ac:dyDescent="0.2">
      <c r="A664" s="23">
        <v>38231</v>
      </c>
      <c r="B664" s="43">
        <v>2.75</v>
      </c>
    </row>
    <row r="665" spans="1:2" x14ac:dyDescent="0.2">
      <c r="A665" s="23">
        <v>38261</v>
      </c>
      <c r="B665" s="43">
        <v>2.75</v>
      </c>
    </row>
    <row r="666" spans="1:2" x14ac:dyDescent="0.2">
      <c r="A666" s="23">
        <v>38292</v>
      </c>
      <c r="B666" s="43">
        <v>3</v>
      </c>
    </row>
    <row r="667" spans="1:2" x14ac:dyDescent="0.2">
      <c r="A667" s="23">
        <v>38322</v>
      </c>
      <c r="B667" s="43">
        <v>3.25</v>
      </c>
    </row>
    <row r="668" spans="1:2" x14ac:dyDescent="0.2">
      <c r="A668" s="23">
        <v>38353</v>
      </c>
      <c r="B668" s="43">
        <v>3.25</v>
      </c>
    </row>
    <row r="669" spans="1:2" x14ac:dyDescent="0.2">
      <c r="A669" s="23">
        <v>38384</v>
      </c>
      <c r="B669" s="43">
        <v>3.5</v>
      </c>
    </row>
    <row r="670" spans="1:2" x14ac:dyDescent="0.2">
      <c r="A670" s="23">
        <v>38412</v>
      </c>
      <c r="B670" s="43">
        <v>3.75</v>
      </c>
    </row>
    <row r="671" spans="1:2" x14ac:dyDescent="0.2">
      <c r="A671" s="23">
        <v>38443</v>
      </c>
      <c r="B671" s="43">
        <v>3.75</v>
      </c>
    </row>
    <row r="672" spans="1:2" x14ac:dyDescent="0.2">
      <c r="A672" s="23">
        <v>38473</v>
      </c>
      <c r="B672" s="43">
        <v>4</v>
      </c>
    </row>
    <row r="673" spans="1:2" x14ac:dyDescent="0.2">
      <c r="A673" s="23">
        <v>38504</v>
      </c>
      <c r="B673" s="43">
        <v>4.25</v>
      </c>
    </row>
    <row r="674" spans="1:2" x14ac:dyDescent="0.2">
      <c r="A674" s="23">
        <v>38534</v>
      </c>
      <c r="B674" s="43">
        <v>4.25</v>
      </c>
    </row>
    <row r="675" spans="1:2" x14ac:dyDescent="0.2">
      <c r="A675" s="23">
        <v>38565</v>
      </c>
      <c r="B675" s="43">
        <v>4.5</v>
      </c>
    </row>
    <row r="676" spans="1:2" x14ac:dyDescent="0.2">
      <c r="A676" s="23">
        <v>38596</v>
      </c>
      <c r="B676" s="43">
        <v>4.75</v>
      </c>
    </row>
    <row r="677" spans="1:2" x14ac:dyDescent="0.2">
      <c r="A677" s="23">
        <v>38626</v>
      </c>
      <c r="B677" s="43">
        <v>4.75</v>
      </c>
    </row>
    <row r="678" spans="1:2" x14ac:dyDescent="0.2">
      <c r="A678" s="23">
        <v>38657</v>
      </c>
      <c r="B678" s="43">
        <v>5</v>
      </c>
    </row>
    <row r="679" spans="1:2" x14ac:dyDescent="0.2">
      <c r="A679" s="23">
        <v>38687</v>
      </c>
      <c r="B679" s="43">
        <v>5.25</v>
      </c>
    </row>
    <row r="680" spans="1:2" x14ac:dyDescent="0.2">
      <c r="A680" s="23">
        <v>38718</v>
      </c>
      <c r="B680" s="43">
        <v>5.5</v>
      </c>
    </row>
    <row r="681" spans="1:2" x14ac:dyDescent="0.2">
      <c r="A681" s="23">
        <v>38749</v>
      </c>
      <c r="B681" s="43">
        <v>5.5</v>
      </c>
    </row>
    <row r="682" spans="1:2" x14ac:dyDescent="0.2">
      <c r="A682" s="23">
        <v>38777</v>
      </c>
      <c r="B682" s="43">
        <v>5.75</v>
      </c>
    </row>
    <row r="683" spans="1:2" x14ac:dyDescent="0.2">
      <c r="A683" s="23">
        <v>38808</v>
      </c>
      <c r="B683" s="43">
        <v>5.75</v>
      </c>
    </row>
    <row r="684" spans="1:2" x14ac:dyDescent="0.2">
      <c r="A684" s="23">
        <v>38838</v>
      </c>
      <c r="B684" s="43">
        <v>6</v>
      </c>
    </row>
    <row r="685" spans="1:2" x14ac:dyDescent="0.2">
      <c r="A685" s="23">
        <v>38869</v>
      </c>
      <c r="B685" s="43">
        <v>6.25</v>
      </c>
    </row>
    <row r="686" spans="1:2" x14ac:dyDescent="0.2">
      <c r="A686" s="23">
        <v>38899</v>
      </c>
      <c r="B686" s="43">
        <v>6.25</v>
      </c>
    </row>
    <row r="687" spans="1:2" x14ac:dyDescent="0.2">
      <c r="A687" s="23">
        <v>38930</v>
      </c>
      <c r="B687" s="43">
        <v>6.25</v>
      </c>
    </row>
    <row r="688" spans="1:2" x14ac:dyDescent="0.2">
      <c r="A688" s="23">
        <v>38961</v>
      </c>
      <c r="B688" s="43">
        <v>6.25</v>
      </c>
    </row>
    <row r="689" spans="1:2" x14ac:dyDescent="0.2">
      <c r="A689" s="23">
        <v>38991</v>
      </c>
      <c r="B689" s="43">
        <v>6.25</v>
      </c>
    </row>
    <row r="690" spans="1:2" x14ac:dyDescent="0.2">
      <c r="A690" s="23">
        <v>39022</v>
      </c>
      <c r="B690" s="43">
        <v>6.25</v>
      </c>
    </row>
    <row r="691" spans="1:2" x14ac:dyDescent="0.2">
      <c r="A691" s="23">
        <v>39052</v>
      </c>
      <c r="B691" s="43">
        <v>6.25</v>
      </c>
    </row>
    <row r="692" spans="1:2" x14ac:dyDescent="0.2">
      <c r="A692" s="23">
        <v>39083</v>
      </c>
      <c r="B692" s="43">
        <v>6.25</v>
      </c>
    </row>
    <row r="693" spans="1:2" x14ac:dyDescent="0.2">
      <c r="A693" s="23">
        <v>39114</v>
      </c>
      <c r="B693" s="43">
        <v>6.25</v>
      </c>
    </row>
    <row r="694" spans="1:2" x14ac:dyDescent="0.2">
      <c r="A694" s="23">
        <v>39142</v>
      </c>
      <c r="B694" s="43">
        <v>6.25</v>
      </c>
    </row>
    <row r="695" spans="1:2" x14ac:dyDescent="0.2">
      <c r="A695" s="23">
        <v>39173</v>
      </c>
      <c r="B695" s="43">
        <v>6.25</v>
      </c>
    </row>
    <row r="696" spans="1:2" x14ac:dyDescent="0.2">
      <c r="A696" s="23">
        <v>39203</v>
      </c>
      <c r="B696" s="43">
        <v>6.25</v>
      </c>
    </row>
    <row r="697" spans="1:2" x14ac:dyDescent="0.2">
      <c r="A697" s="23">
        <v>39234</v>
      </c>
      <c r="B697" s="43">
        <v>6.25</v>
      </c>
    </row>
    <row r="698" spans="1:2" x14ac:dyDescent="0.2">
      <c r="A698" s="23">
        <v>39264</v>
      </c>
      <c r="B698" s="43">
        <v>6.25</v>
      </c>
    </row>
    <row r="699" spans="1:2" x14ac:dyDescent="0.2">
      <c r="A699" s="23">
        <v>39295</v>
      </c>
      <c r="B699" s="43">
        <v>5.75</v>
      </c>
    </row>
    <row r="700" spans="1:2" x14ac:dyDescent="0.2">
      <c r="A700" s="23">
        <v>39326</v>
      </c>
      <c r="B700" s="43">
        <v>5.25</v>
      </c>
    </row>
    <row r="701" spans="1:2" x14ac:dyDescent="0.2">
      <c r="A701" s="23">
        <v>39356</v>
      </c>
      <c r="B701" s="43">
        <v>5</v>
      </c>
    </row>
    <row r="702" spans="1:2" x14ac:dyDescent="0.2">
      <c r="A702" s="23">
        <v>39387</v>
      </c>
      <c r="B702" s="43">
        <v>5</v>
      </c>
    </row>
    <row r="703" spans="1:2" x14ac:dyDescent="0.2">
      <c r="A703" s="23">
        <v>39417</v>
      </c>
      <c r="B703" s="43">
        <v>4.75</v>
      </c>
    </row>
    <row r="704" spans="1:2" x14ac:dyDescent="0.2">
      <c r="A704" s="23">
        <v>39448</v>
      </c>
      <c r="B704" s="43">
        <v>3.5</v>
      </c>
    </row>
    <row r="705" spans="1:2" x14ac:dyDescent="0.2">
      <c r="A705" s="23">
        <v>39479</v>
      </c>
      <c r="B705" s="43">
        <v>3.5</v>
      </c>
    </row>
    <row r="706" spans="1:2" x14ac:dyDescent="0.2">
      <c r="A706" s="23">
        <v>39508</v>
      </c>
      <c r="B706" s="43">
        <v>2.5</v>
      </c>
    </row>
    <row r="707" spans="1:2" x14ac:dyDescent="0.2">
      <c r="A707" s="23">
        <v>39539</v>
      </c>
      <c r="B707" s="43">
        <v>2.25</v>
      </c>
    </row>
    <row r="708" spans="1:2" x14ac:dyDescent="0.2">
      <c r="A708" s="23">
        <v>39569</v>
      </c>
      <c r="B708" s="43">
        <v>2.25</v>
      </c>
    </row>
    <row r="709" spans="1:2" x14ac:dyDescent="0.2">
      <c r="A709" s="23">
        <v>39600</v>
      </c>
      <c r="B709" s="43">
        <v>2.25</v>
      </c>
    </row>
    <row r="710" spans="1:2" x14ac:dyDescent="0.2">
      <c r="A710" s="23">
        <v>39630</v>
      </c>
      <c r="B710" s="43">
        <v>2.25</v>
      </c>
    </row>
    <row r="711" spans="1:2" x14ac:dyDescent="0.2">
      <c r="A711" s="23">
        <v>39661</v>
      </c>
      <c r="B711" s="43">
        <v>2.25</v>
      </c>
    </row>
    <row r="712" spans="1:2" x14ac:dyDescent="0.2">
      <c r="A712" s="23">
        <v>39692</v>
      </c>
      <c r="B712" s="43">
        <v>2.25</v>
      </c>
    </row>
    <row r="713" spans="1:2" x14ac:dyDescent="0.2">
      <c r="A713" s="23">
        <v>39722</v>
      </c>
      <c r="B713" s="43">
        <v>1.25</v>
      </c>
    </row>
    <row r="714" spans="1:2" x14ac:dyDescent="0.2">
      <c r="A714" s="23">
        <v>39753</v>
      </c>
      <c r="B714" s="43">
        <v>1.25</v>
      </c>
    </row>
    <row r="715" spans="1:2" x14ac:dyDescent="0.2">
      <c r="A715" s="23">
        <v>39783</v>
      </c>
      <c r="B715" s="43">
        <v>0.5</v>
      </c>
    </row>
    <row r="716" spans="1:2" x14ac:dyDescent="0.2">
      <c r="A716" s="23">
        <v>39814</v>
      </c>
      <c r="B716" s="43">
        <v>0.5</v>
      </c>
    </row>
    <row r="717" spans="1:2" x14ac:dyDescent="0.2">
      <c r="A717" s="23">
        <v>39845</v>
      </c>
      <c r="B717" s="43">
        <v>0.5</v>
      </c>
    </row>
    <row r="718" spans="1:2" x14ac:dyDescent="0.2">
      <c r="A718" s="23">
        <v>39873</v>
      </c>
      <c r="B718" s="43">
        <v>0.5</v>
      </c>
    </row>
    <row r="719" spans="1:2" x14ac:dyDescent="0.2">
      <c r="A719" s="23">
        <v>39904</v>
      </c>
      <c r="B719" s="43">
        <v>0.5</v>
      </c>
    </row>
    <row r="720" spans="1:2" x14ac:dyDescent="0.2">
      <c r="A720" s="23">
        <v>39934</v>
      </c>
      <c r="B720" s="43">
        <v>0.5</v>
      </c>
    </row>
    <row r="721" spans="1:2" x14ac:dyDescent="0.2">
      <c r="A721" s="23">
        <v>39965</v>
      </c>
      <c r="B721" s="43">
        <v>0.5</v>
      </c>
    </row>
    <row r="722" spans="1:2" x14ac:dyDescent="0.2">
      <c r="A722" s="23">
        <v>39995</v>
      </c>
      <c r="B722" s="43">
        <v>0.5</v>
      </c>
    </row>
    <row r="723" spans="1:2" x14ac:dyDescent="0.2">
      <c r="A723" s="23">
        <v>40026</v>
      </c>
      <c r="B723" s="43">
        <v>0.5</v>
      </c>
    </row>
    <row r="724" spans="1:2" x14ac:dyDescent="0.2">
      <c r="A724" s="23">
        <v>40057</v>
      </c>
      <c r="B724" s="43">
        <v>0.5</v>
      </c>
    </row>
    <row r="725" spans="1:2" x14ac:dyDescent="0.2">
      <c r="A725" s="23">
        <v>40087</v>
      </c>
      <c r="B725" s="43">
        <v>0.5</v>
      </c>
    </row>
    <row r="726" spans="1:2" x14ac:dyDescent="0.2">
      <c r="A726" s="23">
        <v>40118</v>
      </c>
      <c r="B726" s="43">
        <v>0.5</v>
      </c>
    </row>
    <row r="727" spans="1:2" x14ac:dyDescent="0.2">
      <c r="A727" s="23">
        <v>40148</v>
      </c>
      <c r="B727" s="43">
        <v>0.5</v>
      </c>
    </row>
    <row r="728" spans="1:2" x14ac:dyDescent="0.2">
      <c r="A728" s="23">
        <v>40179</v>
      </c>
      <c r="B728" s="43">
        <v>0.5</v>
      </c>
    </row>
    <row r="729" spans="1:2" x14ac:dyDescent="0.2">
      <c r="A729" s="23">
        <v>40210</v>
      </c>
      <c r="B729" s="43">
        <v>0.75</v>
      </c>
    </row>
    <row r="730" spans="1:2" x14ac:dyDescent="0.2">
      <c r="A730" s="23">
        <v>40238</v>
      </c>
      <c r="B730" s="43">
        <v>0.75</v>
      </c>
    </row>
    <row r="731" spans="1:2" x14ac:dyDescent="0.2">
      <c r="A731" s="23">
        <v>40269</v>
      </c>
      <c r="B731" s="43">
        <v>0.75</v>
      </c>
    </row>
    <row r="732" spans="1:2" x14ac:dyDescent="0.2">
      <c r="A732" s="23">
        <v>40299</v>
      </c>
      <c r="B732" s="43">
        <v>0.75</v>
      </c>
    </row>
    <row r="733" spans="1:2" x14ac:dyDescent="0.2">
      <c r="A733" s="23">
        <v>40330</v>
      </c>
      <c r="B733" s="43">
        <v>0.75</v>
      </c>
    </row>
    <row r="734" spans="1:2" x14ac:dyDescent="0.2">
      <c r="A734" s="23">
        <v>40360</v>
      </c>
      <c r="B734" s="43">
        <v>0.75</v>
      </c>
    </row>
    <row r="735" spans="1:2" x14ac:dyDescent="0.2">
      <c r="A735" s="23">
        <v>40391</v>
      </c>
      <c r="B735" s="43">
        <v>0.75</v>
      </c>
    </row>
    <row r="736" spans="1:2" x14ac:dyDescent="0.2">
      <c r="A736" s="23">
        <v>40422</v>
      </c>
      <c r="B736" s="43">
        <v>0.75</v>
      </c>
    </row>
    <row r="737" spans="1:2" x14ac:dyDescent="0.2">
      <c r="A737" s="23">
        <v>40452</v>
      </c>
      <c r="B737" s="43">
        <v>0.75</v>
      </c>
    </row>
    <row r="738" spans="1:2" x14ac:dyDescent="0.2">
      <c r="A738" s="23">
        <v>40483</v>
      </c>
      <c r="B738" s="43">
        <v>0.75</v>
      </c>
    </row>
    <row r="739" spans="1:2" x14ac:dyDescent="0.2">
      <c r="A739" s="23">
        <v>40513</v>
      </c>
      <c r="B739" s="43">
        <v>0.75</v>
      </c>
    </row>
    <row r="740" spans="1:2" x14ac:dyDescent="0.2">
      <c r="A740" s="23">
        <v>40544</v>
      </c>
      <c r="B740" s="43">
        <v>0.75</v>
      </c>
    </row>
    <row r="741" spans="1:2" x14ac:dyDescent="0.2">
      <c r="A741" s="23">
        <v>40575</v>
      </c>
      <c r="B741" s="43">
        <v>0.75</v>
      </c>
    </row>
    <row r="742" spans="1:2" x14ac:dyDescent="0.2">
      <c r="A742" s="23">
        <v>40603</v>
      </c>
      <c r="B742" s="43">
        <v>0.75</v>
      </c>
    </row>
    <row r="743" spans="1:2" x14ac:dyDescent="0.2">
      <c r="A743" s="23">
        <v>40634</v>
      </c>
      <c r="B743" s="43">
        <v>0.75</v>
      </c>
    </row>
    <row r="744" spans="1:2" x14ac:dyDescent="0.2">
      <c r="A744" s="23">
        <v>40664</v>
      </c>
      <c r="B744" s="43">
        <v>0.75</v>
      </c>
    </row>
    <row r="745" spans="1:2" x14ac:dyDescent="0.2">
      <c r="A745" s="23">
        <v>40695</v>
      </c>
      <c r="B745" s="43">
        <v>0.75</v>
      </c>
    </row>
    <row r="746" spans="1:2" x14ac:dyDescent="0.2">
      <c r="A746" s="23">
        <v>40725</v>
      </c>
      <c r="B746" s="43">
        <v>0.75</v>
      </c>
    </row>
    <row r="747" spans="1:2" x14ac:dyDescent="0.2">
      <c r="A747" s="23">
        <v>40756</v>
      </c>
      <c r="B747" s="43">
        <v>0.75</v>
      </c>
    </row>
    <row r="748" spans="1:2" x14ac:dyDescent="0.2">
      <c r="A748" s="23">
        <v>40787</v>
      </c>
      <c r="B748" s="43">
        <v>0.75</v>
      </c>
    </row>
    <row r="749" spans="1:2" x14ac:dyDescent="0.2">
      <c r="A749" s="23">
        <v>40817</v>
      </c>
      <c r="B749" s="43">
        <v>0.75</v>
      </c>
    </row>
    <row r="750" spans="1:2" x14ac:dyDescent="0.2">
      <c r="A750" s="23">
        <v>40848</v>
      </c>
      <c r="B750" s="43">
        <v>0.75</v>
      </c>
    </row>
    <row r="751" spans="1:2" x14ac:dyDescent="0.2">
      <c r="A751" s="23">
        <v>40878</v>
      </c>
      <c r="B751" s="43">
        <v>0.75</v>
      </c>
    </row>
    <row r="752" spans="1:2" x14ac:dyDescent="0.2">
      <c r="A752" s="23">
        <v>40909</v>
      </c>
      <c r="B752" s="43">
        <v>0.75</v>
      </c>
    </row>
    <row r="753" spans="1:2" x14ac:dyDescent="0.2">
      <c r="A753" s="23">
        <v>40940</v>
      </c>
      <c r="B753" s="43">
        <v>0.75</v>
      </c>
    </row>
    <row r="754" spans="1:2" x14ac:dyDescent="0.2">
      <c r="A754" s="23">
        <v>40969</v>
      </c>
      <c r="B754" s="43">
        <v>0.75</v>
      </c>
    </row>
    <row r="755" spans="1:2" x14ac:dyDescent="0.2">
      <c r="A755" s="23">
        <v>41000</v>
      </c>
      <c r="B755" s="43">
        <v>0.75</v>
      </c>
    </row>
    <row r="756" spans="1:2" x14ac:dyDescent="0.2">
      <c r="A756" s="23">
        <v>41030</v>
      </c>
      <c r="B756" s="43">
        <v>0.75</v>
      </c>
    </row>
    <row r="757" spans="1:2" x14ac:dyDescent="0.2">
      <c r="A757" s="23">
        <v>41061</v>
      </c>
      <c r="B757" s="43">
        <v>0.75</v>
      </c>
    </row>
    <row r="758" spans="1:2" x14ac:dyDescent="0.2">
      <c r="A758" s="23">
        <v>41091</v>
      </c>
      <c r="B758" s="43">
        <v>0.75</v>
      </c>
    </row>
    <row r="759" spans="1:2" x14ac:dyDescent="0.2">
      <c r="A759" s="23">
        <v>41122</v>
      </c>
      <c r="B759" s="43">
        <v>0.75</v>
      </c>
    </row>
    <row r="760" spans="1:2" x14ac:dyDescent="0.2">
      <c r="A760" s="23">
        <v>41153</v>
      </c>
      <c r="B760" s="43">
        <v>0.75</v>
      </c>
    </row>
    <row r="761" spans="1:2" x14ac:dyDescent="0.2">
      <c r="A761" s="23">
        <v>41183</v>
      </c>
      <c r="B761" s="43">
        <v>0.75</v>
      </c>
    </row>
    <row r="762" spans="1:2" x14ac:dyDescent="0.2">
      <c r="A762" s="23">
        <v>41214</v>
      </c>
      <c r="B762" s="43">
        <v>0.75</v>
      </c>
    </row>
    <row r="763" spans="1:2" x14ac:dyDescent="0.2">
      <c r="A763" s="23">
        <v>41244</v>
      </c>
      <c r="B763" s="43">
        <v>0.75</v>
      </c>
    </row>
    <row r="764" spans="1:2" x14ac:dyDescent="0.2">
      <c r="A764" s="23">
        <v>41275</v>
      </c>
      <c r="B764" s="43">
        <v>0.75</v>
      </c>
    </row>
    <row r="765" spans="1:2" x14ac:dyDescent="0.2">
      <c r="A765" s="23">
        <v>41306</v>
      </c>
      <c r="B765" s="43">
        <v>0.75</v>
      </c>
    </row>
    <row r="766" spans="1:2" x14ac:dyDescent="0.2">
      <c r="A766" s="23">
        <v>41334</v>
      </c>
      <c r="B766" s="43">
        <v>0.75</v>
      </c>
    </row>
    <row r="767" spans="1:2" x14ac:dyDescent="0.2">
      <c r="A767" s="23">
        <v>41365</v>
      </c>
      <c r="B767" s="43">
        <v>0.75</v>
      </c>
    </row>
    <row r="768" spans="1:2" x14ac:dyDescent="0.2">
      <c r="A768" s="23">
        <v>41395</v>
      </c>
      <c r="B768" s="43">
        <v>0.75</v>
      </c>
    </row>
    <row r="769" spans="1:2" x14ac:dyDescent="0.2">
      <c r="A769" s="23">
        <v>41426</v>
      </c>
      <c r="B769" s="43">
        <v>0.75</v>
      </c>
    </row>
    <row r="770" spans="1:2" x14ac:dyDescent="0.2">
      <c r="A770" s="23">
        <v>41456</v>
      </c>
      <c r="B770" s="43">
        <v>0.75</v>
      </c>
    </row>
    <row r="771" spans="1:2" x14ac:dyDescent="0.2">
      <c r="A771" s="23">
        <v>41487</v>
      </c>
      <c r="B771" s="43">
        <v>0.75</v>
      </c>
    </row>
    <row r="772" spans="1:2" x14ac:dyDescent="0.2">
      <c r="A772" s="23">
        <v>41518</v>
      </c>
      <c r="B772" s="43">
        <v>0.75</v>
      </c>
    </row>
    <row r="773" spans="1:2" x14ac:dyDescent="0.2">
      <c r="A773" s="23">
        <v>41548</v>
      </c>
      <c r="B773" s="43">
        <v>0.75</v>
      </c>
    </row>
    <row r="774" spans="1:2" x14ac:dyDescent="0.2">
      <c r="A774" s="23">
        <v>41579</v>
      </c>
      <c r="B774" s="43">
        <v>0.75</v>
      </c>
    </row>
    <row r="775" spans="1:2" x14ac:dyDescent="0.2">
      <c r="A775" s="23">
        <v>41609</v>
      </c>
      <c r="B775" s="43">
        <v>0.75</v>
      </c>
    </row>
    <row r="776" spans="1:2" x14ac:dyDescent="0.2">
      <c r="A776" s="23">
        <v>41640</v>
      </c>
      <c r="B776" s="43">
        <v>0.75</v>
      </c>
    </row>
    <row r="777" spans="1:2" x14ac:dyDescent="0.2">
      <c r="A777" s="23">
        <v>41671</v>
      </c>
      <c r="B777" s="43">
        <v>0.75</v>
      </c>
    </row>
    <row r="778" spans="1:2" x14ac:dyDescent="0.2">
      <c r="A778" s="23">
        <v>41699</v>
      </c>
      <c r="B778" s="43">
        <v>0.75</v>
      </c>
    </row>
    <row r="779" spans="1:2" x14ac:dyDescent="0.2">
      <c r="A779" s="23">
        <v>41730</v>
      </c>
      <c r="B779" s="43">
        <v>0.75</v>
      </c>
    </row>
    <row r="780" spans="1:2" x14ac:dyDescent="0.2">
      <c r="A780" s="23">
        <v>41760</v>
      </c>
      <c r="B780" s="43">
        <v>0.75</v>
      </c>
    </row>
    <row r="781" spans="1:2" x14ac:dyDescent="0.2">
      <c r="A781" s="23">
        <v>41791</v>
      </c>
      <c r="B781" s="43">
        <v>0.75</v>
      </c>
    </row>
    <row r="782" spans="1:2" x14ac:dyDescent="0.2">
      <c r="A782" s="23">
        <v>41821</v>
      </c>
      <c r="B782" s="43">
        <v>0.75</v>
      </c>
    </row>
    <row r="783" spans="1:2" x14ac:dyDescent="0.2">
      <c r="A783" s="23">
        <v>41852</v>
      </c>
      <c r="B783" s="43">
        <v>0.75</v>
      </c>
    </row>
    <row r="784" spans="1:2" x14ac:dyDescent="0.2">
      <c r="A784" s="23">
        <v>41883</v>
      </c>
      <c r="B784" s="43">
        <v>0.75</v>
      </c>
    </row>
    <row r="785" spans="1:2" x14ac:dyDescent="0.2">
      <c r="A785" s="23">
        <v>41913</v>
      </c>
      <c r="B785" s="43">
        <v>0.75</v>
      </c>
    </row>
    <row r="786" spans="1:2" x14ac:dyDescent="0.2">
      <c r="A786" s="23">
        <v>41944</v>
      </c>
      <c r="B786" s="43">
        <v>0.75</v>
      </c>
    </row>
    <row r="787" spans="1:2" x14ac:dyDescent="0.2">
      <c r="A787" s="23">
        <v>41974</v>
      </c>
      <c r="B787" s="43">
        <v>0.75</v>
      </c>
    </row>
    <row r="788" spans="1:2" x14ac:dyDescent="0.2">
      <c r="A788" s="23">
        <v>42005</v>
      </c>
      <c r="B788" s="43">
        <v>0.75</v>
      </c>
    </row>
    <row r="789" spans="1:2" x14ac:dyDescent="0.2">
      <c r="A789" s="23">
        <v>42036</v>
      </c>
      <c r="B789" s="43">
        <v>0.75</v>
      </c>
    </row>
    <row r="790" spans="1:2" x14ac:dyDescent="0.2">
      <c r="A790" s="23">
        <v>42064</v>
      </c>
      <c r="B790" s="43">
        <v>0.75</v>
      </c>
    </row>
    <row r="791" spans="1:2" x14ac:dyDescent="0.2">
      <c r="A791" s="23">
        <v>42095</v>
      </c>
      <c r="B791" s="43">
        <v>0.75</v>
      </c>
    </row>
    <row r="792" spans="1:2" x14ac:dyDescent="0.2">
      <c r="A792" s="23">
        <v>42125</v>
      </c>
      <c r="B792" s="43">
        <v>0.75</v>
      </c>
    </row>
    <row r="793" spans="1:2" x14ac:dyDescent="0.2">
      <c r="A793" s="23">
        <v>42156</v>
      </c>
      <c r="B793" s="43">
        <v>0.75</v>
      </c>
    </row>
    <row r="794" spans="1:2" x14ac:dyDescent="0.2">
      <c r="A794" s="23">
        <v>42186</v>
      </c>
      <c r="B794" s="43">
        <v>0.75</v>
      </c>
    </row>
    <row r="795" spans="1:2" x14ac:dyDescent="0.2">
      <c r="A795" s="23">
        <v>42217</v>
      </c>
      <c r="B795" s="43">
        <v>0.75</v>
      </c>
    </row>
    <row r="796" spans="1:2" x14ac:dyDescent="0.2">
      <c r="A796" s="23">
        <v>42248</v>
      </c>
      <c r="B796" s="43">
        <v>0.75</v>
      </c>
    </row>
    <row r="797" spans="1:2" x14ac:dyDescent="0.2">
      <c r="A797" s="23">
        <v>42278</v>
      </c>
      <c r="B797" s="43">
        <v>0.75</v>
      </c>
    </row>
    <row r="798" spans="1:2" x14ac:dyDescent="0.2">
      <c r="A798" s="23">
        <v>42309</v>
      </c>
      <c r="B798" s="43">
        <v>0.75</v>
      </c>
    </row>
    <row r="799" spans="1:2" x14ac:dyDescent="0.2">
      <c r="A799" s="23">
        <v>42339</v>
      </c>
      <c r="B799" s="43">
        <v>1</v>
      </c>
    </row>
    <row r="800" spans="1:2" x14ac:dyDescent="0.2">
      <c r="A800" s="23">
        <v>42370</v>
      </c>
      <c r="B800" s="43">
        <v>1</v>
      </c>
    </row>
    <row r="801" spans="1:2" x14ac:dyDescent="0.2">
      <c r="A801" s="23">
        <v>42401</v>
      </c>
      <c r="B801" s="43">
        <v>1</v>
      </c>
    </row>
    <row r="802" spans="1:2" x14ac:dyDescent="0.2">
      <c r="A802" s="23">
        <v>42430</v>
      </c>
      <c r="B802" s="43">
        <v>1</v>
      </c>
    </row>
    <row r="803" spans="1:2" x14ac:dyDescent="0.2">
      <c r="A803" s="23">
        <v>42461</v>
      </c>
      <c r="B803" s="43">
        <v>1</v>
      </c>
    </row>
    <row r="804" spans="1:2" x14ac:dyDescent="0.2">
      <c r="A804" s="23">
        <v>42491</v>
      </c>
      <c r="B804" s="43">
        <v>1</v>
      </c>
    </row>
    <row r="805" spans="1:2" x14ac:dyDescent="0.2">
      <c r="A805" s="23">
        <v>42522</v>
      </c>
      <c r="B805" s="43">
        <v>1</v>
      </c>
    </row>
    <row r="806" spans="1:2" x14ac:dyDescent="0.2">
      <c r="A806" s="23">
        <v>42552</v>
      </c>
      <c r="B806" s="43">
        <v>1</v>
      </c>
    </row>
    <row r="807" spans="1:2" x14ac:dyDescent="0.2">
      <c r="A807" s="23">
        <v>42583</v>
      </c>
      <c r="B807" s="43">
        <v>1</v>
      </c>
    </row>
    <row r="808" spans="1:2" x14ac:dyDescent="0.2">
      <c r="A808" s="23">
        <v>42614</v>
      </c>
      <c r="B808" s="43">
        <v>1</v>
      </c>
    </row>
    <row r="809" spans="1:2" x14ac:dyDescent="0.2">
      <c r="A809" s="23">
        <v>42644</v>
      </c>
      <c r="B809" s="43">
        <v>1</v>
      </c>
    </row>
    <row r="810" spans="1:2" x14ac:dyDescent="0.2">
      <c r="A810" s="23">
        <v>42675</v>
      </c>
      <c r="B810" s="43">
        <v>1</v>
      </c>
    </row>
    <row r="811" spans="1:2" x14ac:dyDescent="0.2">
      <c r="A811" s="23">
        <v>42705</v>
      </c>
      <c r="B811" s="43">
        <v>1.25</v>
      </c>
    </row>
    <row r="812" spans="1:2" x14ac:dyDescent="0.2">
      <c r="A812" s="23">
        <v>42736</v>
      </c>
      <c r="B812" s="43">
        <v>1.25</v>
      </c>
    </row>
    <row r="813" spans="1:2" x14ac:dyDescent="0.2">
      <c r="A813" s="23">
        <v>42767</v>
      </c>
      <c r="B813" s="43">
        <v>1.25</v>
      </c>
    </row>
    <row r="814" spans="1:2" x14ac:dyDescent="0.2">
      <c r="A814" s="23">
        <v>42795</v>
      </c>
      <c r="B814" s="43">
        <v>1.5</v>
      </c>
    </row>
    <row r="815" spans="1:2" x14ac:dyDescent="0.2">
      <c r="A815" s="23">
        <v>42826</v>
      </c>
      <c r="B815" s="43">
        <v>1.5</v>
      </c>
    </row>
    <row r="816" spans="1:2" x14ac:dyDescent="0.2">
      <c r="A816" s="23">
        <v>42856</v>
      </c>
      <c r="B816" s="43">
        <v>1.5</v>
      </c>
    </row>
    <row r="817" spans="1:2" x14ac:dyDescent="0.2">
      <c r="A817" s="23">
        <v>42887</v>
      </c>
      <c r="B817" s="43">
        <v>1.75</v>
      </c>
    </row>
    <row r="818" spans="1:2" x14ac:dyDescent="0.2">
      <c r="A818" s="23">
        <v>42917</v>
      </c>
      <c r="B818" s="43">
        <v>1.75</v>
      </c>
    </row>
    <row r="819" spans="1:2" x14ac:dyDescent="0.2">
      <c r="A819" s="23">
        <v>42948</v>
      </c>
      <c r="B819" s="43">
        <v>1.75</v>
      </c>
    </row>
    <row r="820" spans="1:2" x14ac:dyDescent="0.2">
      <c r="A820" s="23">
        <v>42979</v>
      </c>
      <c r="B820" s="43">
        <v>1.75</v>
      </c>
    </row>
    <row r="821" spans="1:2" x14ac:dyDescent="0.2">
      <c r="A821" s="23">
        <v>43009</v>
      </c>
      <c r="B821" s="43">
        <v>1.75</v>
      </c>
    </row>
    <row r="822" spans="1:2" x14ac:dyDescent="0.2">
      <c r="A822" s="23">
        <v>43040</v>
      </c>
      <c r="B822" s="43">
        <v>1.75</v>
      </c>
    </row>
    <row r="823" spans="1:2" x14ac:dyDescent="0.2">
      <c r="A823" s="23">
        <v>43070</v>
      </c>
      <c r="B823" s="43">
        <v>2</v>
      </c>
    </row>
    <row r="824" spans="1:2" x14ac:dyDescent="0.2">
      <c r="A824" s="23">
        <v>43101</v>
      </c>
      <c r="B824" s="43">
        <v>2</v>
      </c>
    </row>
    <row r="825" spans="1:2" x14ac:dyDescent="0.2">
      <c r="A825" s="23">
        <v>43132</v>
      </c>
      <c r="B825" s="43">
        <v>2</v>
      </c>
    </row>
    <row r="826" spans="1:2" x14ac:dyDescent="0.2">
      <c r="A826" s="23">
        <v>43160</v>
      </c>
      <c r="B826" s="43">
        <v>2.25</v>
      </c>
    </row>
    <row r="827" spans="1:2" x14ac:dyDescent="0.2">
      <c r="A827" s="23">
        <v>43191</v>
      </c>
      <c r="B827" s="43">
        <v>2.25</v>
      </c>
    </row>
    <row r="828" spans="1:2" x14ac:dyDescent="0.2">
      <c r="A828" s="23">
        <v>43221</v>
      </c>
      <c r="B828" s="43">
        <v>2.25</v>
      </c>
    </row>
    <row r="829" spans="1:2" x14ac:dyDescent="0.2">
      <c r="A829" s="23">
        <v>43252</v>
      </c>
      <c r="B829" s="43">
        <v>2.5</v>
      </c>
    </row>
    <row r="830" spans="1:2" x14ac:dyDescent="0.2">
      <c r="A830" s="23">
        <v>43282</v>
      </c>
      <c r="B830" s="43">
        <v>2.5</v>
      </c>
    </row>
    <row r="831" spans="1:2" x14ac:dyDescent="0.2">
      <c r="A831" s="23">
        <v>43313</v>
      </c>
      <c r="B831" s="43">
        <v>2.5</v>
      </c>
    </row>
    <row r="832" spans="1:2" x14ac:dyDescent="0.2">
      <c r="A832" s="23">
        <v>43344</v>
      </c>
      <c r="B832" s="43">
        <v>2.75</v>
      </c>
    </row>
    <row r="833" spans="1:2" x14ac:dyDescent="0.2">
      <c r="A833" s="23">
        <v>43374</v>
      </c>
      <c r="B833" s="43">
        <v>2.75</v>
      </c>
    </row>
    <row r="834" spans="1:2" x14ac:dyDescent="0.2">
      <c r="A834" s="23">
        <v>43405</v>
      </c>
      <c r="B834" s="43">
        <v>2.75</v>
      </c>
    </row>
    <row r="835" spans="1:2" x14ac:dyDescent="0.2">
      <c r="A835" s="23">
        <v>43435</v>
      </c>
      <c r="B835" s="43">
        <v>3</v>
      </c>
    </row>
    <row r="836" spans="1:2" x14ac:dyDescent="0.2">
      <c r="A836" s="23">
        <v>43466</v>
      </c>
      <c r="B836" s="43">
        <v>3</v>
      </c>
    </row>
    <row r="837" spans="1:2" x14ac:dyDescent="0.2">
      <c r="A837" s="23">
        <v>43497</v>
      </c>
      <c r="B837" s="43">
        <v>3</v>
      </c>
    </row>
    <row r="838" spans="1:2" x14ac:dyDescent="0.2">
      <c r="A838" s="23">
        <v>43525</v>
      </c>
      <c r="B838" s="43">
        <v>3</v>
      </c>
    </row>
    <row r="839" spans="1:2" x14ac:dyDescent="0.2">
      <c r="A839" s="23">
        <v>43556</v>
      </c>
      <c r="B839" s="43">
        <v>3</v>
      </c>
    </row>
    <row r="840" spans="1:2" x14ac:dyDescent="0.2">
      <c r="A840" s="23">
        <v>43586</v>
      </c>
      <c r="B840" s="43">
        <v>3</v>
      </c>
    </row>
    <row r="841" spans="1:2" x14ac:dyDescent="0.2">
      <c r="A841" s="23">
        <v>43617</v>
      </c>
      <c r="B841" s="43">
        <v>3</v>
      </c>
    </row>
    <row r="842" spans="1:2" x14ac:dyDescent="0.2">
      <c r="A842" s="23">
        <v>43647</v>
      </c>
      <c r="B842" s="43">
        <v>3</v>
      </c>
    </row>
    <row r="843" spans="1:2" x14ac:dyDescent="0.2">
      <c r="A843" s="23">
        <v>43678</v>
      </c>
      <c r="B843" s="43">
        <v>2.75</v>
      </c>
    </row>
    <row r="844" spans="1:2" x14ac:dyDescent="0.2">
      <c r="A844" s="23">
        <v>43709</v>
      </c>
      <c r="B844" s="43">
        <v>2.5</v>
      </c>
    </row>
    <row r="845" spans="1:2" x14ac:dyDescent="0.2">
      <c r="A845" s="23">
        <v>43739</v>
      </c>
      <c r="B845" s="43">
        <v>2.25</v>
      </c>
    </row>
    <row r="846" spans="1:2" x14ac:dyDescent="0.2">
      <c r="A846" s="23">
        <v>43770</v>
      </c>
      <c r="B846" s="43">
        <v>2.25</v>
      </c>
    </row>
    <row r="847" spans="1:2" x14ac:dyDescent="0.2">
      <c r="A847" s="23">
        <v>43800</v>
      </c>
      <c r="B847" s="43">
        <v>2.25</v>
      </c>
    </row>
    <row r="848" spans="1:2" x14ac:dyDescent="0.2">
      <c r="A848" s="23">
        <v>43831</v>
      </c>
      <c r="B848" s="43">
        <v>2.25</v>
      </c>
    </row>
    <row r="849" spans="1:2" x14ac:dyDescent="0.2">
      <c r="A849" s="23">
        <v>43862</v>
      </c>
      <c r="B849" s="43">
        <v>2.25</v>
      </c>
    </row>
    <row r="850" spans="1:2" x14ac:dyDescent="0.2">
      <c r="A850" s="33">
        <v>43891</v>
      </c>
      <c r="B850" s="44">
        <v>0.25</v>
      </c>
    </row>
    <row r="851" spans="1:2" x14ac:dyDescent="0.2">
      <c r="A851" s="23">
        <v>43922</v>
      </c>
      <c r="B851" s="44">
        <v>0.25</v>
      </c>
    </row>
    <row r="852" spans="1:2" x14ac:dyDescent="0.2">
      <c r="A852" s="33">
        <v>43952</v>
      </c>
      <c r="B852" s="44">
        <v>0.25</v>
      </c>
    </row>
    <row r="853" spans="1:2" x14ac:dyDescent="0.2">
      <c r="A853" s="23">
        <v>43983</v>
      </c>
      <c r="B853" s="44">
        <v>0.25</v>
      </c>
    </row>
    <row r="854" spans="1:2" x14ac:dyDescent="0.2">
      <c r="A854" s="33">
        <v>44013</v>
      </c>
      <c r="B854" s="44">
        <v>0.25</v>
      </c>
    </row>
    <row r="855" spans="1:2" x14ac:dyDescent="0.2">
      <c r="A855" s="23">
        <v>44044</v>
      </c>
      <c r="B855" s="44">
        <v>0.25</v>
      </c>
    </row>
    <row r="856" spans="1:2" x14ac:dyDescent="0.2">
      <c r="A856" s="33">
        <v>44075</v>
      </c>
      <c r="B856" s="44">
        <v>0.25</v>
      </c>
    </row>
    <row r="857" spans="1:2" x14ac:dyDescent="0.2">
      <c r="A857" s="23">
        <v>44105</v>
      </c>
      <c r="B857" s="44">
        <v>0.25</v>
      </c>
    </row>
    <row r="858" spans="1:2" x14ac:dyDescent="0.2">
      <c r="A858" s="33">
        <v>44136</v>
      </c>
      <c r="B858" s="44">
        <v>0.25</v>
      </c>
    </row>
    <row r="859" spans="1:2" x14ac:dyDescent="0.2">
      <c r="A859" s="23">
        <v>44166</v>
      </c>
      <c r="B859" s="44">
        <v>0.25</v>
      </c>
    </row>
    <row r="860" spans="1:2" x14ac:dyDescent="0.2">
      <c r="A860" s="33">
        <v>44197</v>
      </c>
      <c r="B860" s="44">
        <v>0.25</v>
      </c>
    </row>
    <row r="861" spans="1:2" x14ac:dyDescent="0.2">
      <c r="A861" s="23">
        <v>44228</v>
      </c>
      <c r="B861" s="44">
        <v>0.25</v>
      </c>
    </row>
    <row r="862" spans="1:2" x14ac:dyDescent="0.2">
      <c r="A862" s="33">
        <v>44256</v>
      </c>
      <c r="B862" s="44">
        <v>0.25</v>
      </c>
    </row>
    <row r="863" spans="1:2" x14ac:dyDescent="0.2">
      <c r="A863" s="33">
        <v>44287</v>
      </c>
      <c r="B863" s="44">
        <v>0.25</v>
      </c>
    </row>
    <row r="864" spans="1:2" x14ac:dyDescent="0.2">
      <c r="A864" s="23">
        <v>44317</v>
      </c>
      <c r="B864" s="44">
        <v>0.25</v>
      </c>
    </row>
    <row r="865" spans="1:2" x14ac:dyDescent="0.2">
      <c r="A865" s="33">
        <v>44348</v>
      </c>
      <c r="B865" s="44">
        <v>0.25</v>
      </c>
    </row>
    <row r="866" spans="1:2" x14ac:dyDescent="0.2">
      <c r="A866" s="23">
        <v>44378</v>
      </c>
      <c r="B866" s="44">
        <v>0.25</v>
      </c>
    </row>
    <row r="867" spans="1:2" x14ac:dyDescent="0.2">
      <c r="A867" s="33">
        <v>44409</v>
      </c>
      <c r="B867" s="44">
        <v>0.25</v>
      </c>
    </row>
    <row r="868" spans="1:2" x14ac:dyDescent="0.2">
      <c r="A868" s="33">
        <v>44440</v>
      </c>
      <c r="B868" s="44">
        <v>0.25</v>
      </c>
    </row>
  </sheetData>
  <hyperlinks>
    <hyperlink ref="A1" r:id="rId1" xr:uid="{03D955DE-E521-4D5E-B5CE-7E76BFCD80A7}"/>
    <hyperlink ref="A3" r:id="rId2" xr:uid="{F7C9A22E-BC1B-4B5C-A826-4B9DB7A34D4A}"/>
  </hyperlinks>
  <pageMargins left="0.7" right="0.7" top="0.75" bottom="0.75" header="0.3" footer="0.3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04947-01EE-4C64-824F-E54F354CE3A3}">
  <dimension ref="A1:B813"/>
  <sheetViews>
    <sheetView zoomScale="170" zoomScaleNormal="170" workbookViewId="0">
      <pane ySplit="7" topLeftCell="A743" activePane="bottomLeft" state="frozen"/>
      <selection pane="bottomLeft" activeCell="B813" sqref="B813"/>
    </sheetView>
  </sheetViews>
  <sheetFormatPr baseColWidth="10" defaultColWidth="9.1640625" defaultRowHeight="15" x14ac:dyDescent="0.2"/>
  <cols>
    <col min="1" max="1" width="11.6640625" style="5" customWidth="1"/>
    <col min="2" max="2" width="13.1640625" style="5" customWidth="1"/>
    <col min="3" max="16384" width="9.1640625" style="1"/>
  </cols>
  <sheetData>
    <row r="1" spans="1:2" x14ac:dyDescent="0.2">
      <c r="A1" s="3" t="s">
        <v>21</v>
      </c>
      <c r="B1" s="4"/>
    </row>
    <row r="2" spans="1:2" x14ac:dyDescent="0.2">
      <c r="A2" s="4"/>
      <c r="B2" s="4"/>
    </row>
    <row r="3" spans="1:2" x14ac:dyDescent="0.2">
      <c r="A3" s="4"/>
      <c r="B3" s="4"/>
    </row>
    <row r="4" spans="1:2" x14ac:dyDescent="0.2">
      <c r="A4" s="4"/>
      <c r="B4" s="4"/>
    </row>
    <row r="6" spans="1:2" ht="16" thickBot="1" x14ac:dyDescent="0.25">
      <c r="A6" s="4"/>
      <c r="B6" s="4"/>
    </row>
    <row r="7" spans="1:2" ht="16" thickBot="1" x14ac:dyDescent="0.25">
      <c r="A7" s="46" t="s">
        <v>20</v>
      </c>
      <c r="B7" s="47" t="s">
        <v>19</v>
      </c>
    </row>
    <row r="8" spans="1:2" x14ac:dyDescent="0.2">
      <c r="A8" s="37">
        <v>19906</v>
      </c>
      <c r="B8" s="45">
        <v>0.8</v>
      </c>
    </row>
    <row r="9" spans="1:2" x14ac:dyDescent="0.2">
      <c r="A9" s="23">
        <v>19937</v>
      </c>
      <c r="B9" s="43">
        <v>1.22</v>
      </c>
    </row>
    <row r="10" spans="1:2" x14ac:dyDescent="0.2">
      <c r="A10" s="23">
        <v>19968</v>
      </c>
      <c r="B10" s="43">
        <v>1.06</v>
      </c>
    </row>
    <row r="11" spans="1:2" x14ac:dyDescent="0.2">
      <c r="A11" s="23">
        <v>19998</v>
      </c>
      <c r="B11" s="43">
        <v>0.85</v>
      </c>
    </row>
    <row r="12" spans="1:2" x14ac:dyDescent="0.2">
      <c r="A12" s="23">
        <v>20029</v>
      </c>
      <c r="B12" s="43">
        <v>0.83</v>
      </c>
    </row>
    <row r="13" spans="1:2" x14ac:dyDescent="0.2">
      <c r="A13" s="23">
        <v>20059</v>
      </c>
      <c r="B13" s="43">
        <v>1.28</v>
      </c>
    </row>
    <row r="14" spans="1:2" x14ac:dyDescent="0.2">
      <c r="A14" s="23">
        <v>20090</v>
      </c>
      <c r="B14" s="43">
        <v>1.39</v>
      </c>
    </row>
    <row r="15" spans="1:2" x14ac:dyDescent="0.2">
      <c r="A15" s="23">
        <v>20121</v>
      </c>
      <c r="B15" s="43">
        <v>1.29</v>
      </c>
    </row>
    <row r="16" spans="1:2" x14ac:dyDescent="0.2">
      <c r="A16" s="23">
        <v>20149</v>
      </c>
      <c r="B16" s="43">
        <v>1.35</v>
      </c>
    </row>
    <row r="17" spans="1:2" x14ac:dyDescent="0.2">
      <c r="A17" s="23">
        <v>20180</v>
      </c>
      <c r="B17" s="43">
        <v>1.43</v>
      </c>
    </row>
    <row r="18" spans="1:2" x14ac:dyDescent="0.2">
      <c r="A18" s="23">
        <v>20210</v>
      </c>
      <c r="B18" s="43">
        <v>1.43</v>
      </c>
    </row>
    <row r="19" spans="1:2" x14ac:dyDescent="0.2">
      <c r="A19" s="23">
        <v>20241</v>
      </c>
      <c r="B19" s="43">
        <v>1.64</v>
      </c>
    </row>
    <row r="20" spans="1:2" x14ac:dyDescent="0.2">
      <c r="A20" s="23">
        <v>20271</v>
      </c>
      <c r="B20" s="43">
        <v>1.68</v>
      </c>
    </row>
    <row r="21" spans="1:2" x14ac:dyDescent="0.2">
      <c r="A21" s="23">
        <v>20302</v>
      </c>
      <c r="B21" s="43">
        <v>1.96</v>
      </c>
    </row>
    <row r="22" spans="1:2" x14ac:dyDescent="0.2">
      <c r="A22" s="23">
        <v>20333</v>
      </c>
      <c r="B22" s="43">
        <v>2.1800000000000002</v>
      </c>
    </row>
    <row r="23" spans="1:2" x14ac:dyDescent="0.2">
      <c r="A23" s="23">
        <v>20363</v>
      </c>
      <c r="B23" s="43">
        <v>2.2400000000000002</v>
      </c>
    </row>
    <row r="24" spans="1:2" x14ac:dyDescent="0.2">
      <c r="A24" s="23">
        <v>20394</v>
      </c>
      <c r="B24" s="43">
        <v>2.35</v>
      </c>
    </row>
    <row r="25" spans="1:2" x14ac:dyDescent="0.2">
      <c r="A25" s="23">
        <v>20424</v>
      </c>
      <c r="B25" s="43">
        <v>2.48</v>
      </c>
    </row>
    <row r="26" spans="1:2" x14ac:dyDescent="0.2">
      <c r="A26" s="23">
        <v>20455</v>
      </c>
      <c r="B26" s="43">
        <v>2.4500000000000002</v>
      </c>
    </row>
    <row r="27" spans="1:2" x14ac:dyDescent="0.2">
      <c r="A27" s="23">
        <v>20486</v>
      </c>
      <c r="B27" s="43">
        <v>2.5</v>
      </c>
    </row>
    <row r="28" spans="1:2" x14ac:dyDescent="0.2">
      <c r="A28" s="23">
        <v>20515</v>
      </c>
      <c r="B28" s="43">
        <v>2.5</v>
      </c>
    </row>
    <row r="29" spans="1:2" x14ac:dyDescent="0.2">
      <c r="A29" s="23">
        <v>20546</v>
      </c>
      <c r="B29" s="43">
        <v>2.62</v>
      </c>
    </row>
    <row r="30" spans="1:2" x14ac:dyDescent="0.2">
      <c r="A30" s="23">
        <v>20576</v>
      </c>
      <c r="B30" s="43">
        <v>2.75</v>
      </c>
    </row>
    <row r="31" spans="1:2" x14ac:dyDescent="0.2">
      <c r="A31" s="23">
        <v>20607</v>
      </c>
      <c r="B31" s="43">
        <v>2.71</v>
      </c>
    </row>
    <row r="32" spans="1:2" x14ac:dyDescent="0.2">
      <c r="A32" s="23">
        <v>20637</v>
      </c>
      <c r="B32" s="43">
        <v>2.75</v>
      </c>
    </row>
    <row r="33" spans="1:2" x14ac:dyDescent="0.2">
      <c r="A33" s="23">
        <v>20668</v>
      </c>
      <c r="B33" s="43">
        <v>2.73</v>
      </c>
    </row>
    <row r="34" spans="1:2" x14ac:dyDescent="0.2">
      <c r="A34" s="23">
        <v>20699</v>
      </c>
      <c r="B34" s="43">
        <v>2.95</v>
      </c>
    </row>
    <row r="35" spans="1:2" x14ac:dyDescent="0.2">
      <c r="A35" s="23">
        <v>20729</v>
      </c>
      <c r="B35" s="43">
        <v>2.96</v>
      </c>
    </row>
    <row r="36" spans="1:2" x14ac:dyDescent="0.2">
      <c r="A36" s="23">
        <v>20760</v>
      </c>
      <c r="B36" s="43">
        <v>2.88</v>
      </c>
    </row>
    <row r="37" spans="1:2" x14ac:dyDescent="0.2">
      <c r="A37" s="23">
        <v>20790</v>
      </c>
      <c r="B37" s="43">
        <v>2.94</v>
      </c>
    </row>
    <row r="38" spans="1:2" x14ac:dyDescent="0.2">
      <c r="A38" s="23">
        <v>20821</v>
      </c>
      <c r="B38" s="43">
        <v>2.84</v>
      </c>
    </row>
    <row r="39" spans="1:2" x14ac:dyDescent="0.2">
      <c r="A39" s="23">
        <v>20852</v>
      </c>
      <c r="B39" s="43">
        <v>3</v>
      </c>
    </row>
    <row r="40" spans="1:2" x14ac:dyDescent="0.2">
      <c r="A40" s="23">
        <v>20880</v>
      </c>
      <c r="B40" s="43">
        <v>2.96</v>
      </c>
    </row>
    <row r="41" spans="1:2" x14ac:dyDescent="0.2">
      <c r="A41" s="23">
        <v>20911</v>
      </c>
      <c r="B41" s="43">
        <v>3</v>
      </c>
    </row>
    <row r="42" spans="1:2" x14ac:dyDescent="0.2">
      <c r="A42" s="23">
        <v>20941</v>
      </c>
      <c r="B42" s="43">
        <v>3</v>
      </c>
    </row>
    <row r="43" spans="1:2" x14ac:dyDescent="0.2">
      <c r="A43" s="23">
        <v>20972</v>
      </c>
      <c r="B43" s="43">
        <v>3</v>
      </c>
    </row>
    <row r="44" spans="1:2" x14ac:dyDescent="0.2">
      <c r="A44" s="23">
        <v>21002</v>
      </c>
      <c r="B44" s="43">
        <v>2.99</v>
      </c>
    </row>
    <row r="45" spans="1:2" x14ac:dyDescent="0.2">
      <c r="A45" s="23">
        <v>21033</v>
      </c>
      <c r="B45" s="43">
        <v>3.24</v>
      </c>
    </row>
    <row r="46" spans="1:2" x14ac:dyDescent="0.2">
      <c r="A46" s="23">
        <v>21064</v>
      </c>
      <c r="B46" s="43">
        <v>3.47</v>
      </c>
    </row>
    <row r="47" spans="1:2" x14ac:dyDescent="0.2">
      <c r="A47" s="23">
        <v>21094</v>
      </c>
      <c r="B47" s="43">
        <v>3.5</v>
      </c>
    </row>
    <row r="48" spans="1:2" x14ac:dyDescent="0.2">
      <c r="A48" s="23">
        <v>21125</v>
      </c>
      <c r="B48" s="43">
        <v>3.28</v>
      </c>
    </row>
    <row r="49" spans="1:2" x14ac:dyDescent="0.2">
      <c r="A49" s="23">
        <v>21155</v>
      </c>
      <c r="B49" s="43">
        <v>2.98</v>
      </c>
    </row>
    <row r="50" spans="1:2" x14ac:dyDescent="0.2">
      <c r="A50" s="23">
        <v>21186</v>
      </c>
      <c r="B50" s="43">
        <v>2.72</v>
      </c>
    </row>
    <row r="51" spans="1:2" x14ac:dyDescent="0.2">
      <c r="A51" s="23">
        <v>21217</v>
      </c>
      <c r="B51" s="43">
        <v>1.67</v>
      </c>
    </row>
    <row r="52" spans="1:2" x14ac:dyDescent="0.2">
      <c r="A52" s="23">
        <v>21245</v>
      </c>
      <c r="B52" s="43">
        <v>1.2</v>
      </c>
    </row>
    <row r="53" spans="1:2" x14ac:dyDescent="0.2">
      <c r="A53" s="23">
        <v>21276</v>
      </c>
      <c r="B53" s="43">
        <v>1.26</v>
      </c>
    </row>
    <row r="54" spans="1:2" x14ac:dyDescent="0.2">
      <c r="A54" s="23">
        <v>21306</v>
      </c>
      <c r="B54" s="43">
        <v>0.63</v>
      </c>
    </row>
    <row r="55" spans="1:2" x14ac:dyDescent="0.2">
      <c r="A55" s="23">
        <v>21337</v>
      </c>
      <c r="B55" s="43">
        <v>0.93</v>
      </c>
    </row>
    <row r="56" spans="1:2" x14ac:dyDescent="0.2">
      <c r="A56" s="23">
        <v>21367</v>
      </c>
      <c r="B56" s="43">
        <v>0.68</v>
      </c>
    </row>
    <row r="57" spans="1:2" x14ac:dyDescent="0.2">
      <c r="A57" s="23">
        <v>21398</v>
      </c>
      <c r="B57" s="43">
        <v>1.53</v>
      </c>
    </row>
    <row r="58" spans="1:2" x14ac:dyDescent="0.2">
      <c r="A58" s="23">
        <v>21429</v>
      </c>
      <c r="B58" s="43">
        <v>1.76</v>
      </c>
    </row>
    <row r="59" spans="1:2" x14ac:dyDescent="0.2">
      <c r="A59" s="23">
        <v>21459</v>
      </c>
      <c r="B59" s="43">
        <v>1.8</v>
      </c>
    </row>
    <row r="60" spans="1:2" x14ac:dyDescent="0.2">
      <c r="A60" s="23">
        <v>21490</v>
      </c>
      <c r="B60" s="43">
        <v>2.27</v>
      </c>
    </row>
    <row r="61" spans="1:2" x14ac:dyDescent="0.2">
      <c r="A61" s="23">
        <v>21520</v>
      </c>
      <c r="B61" s="43">
        <v>2.42</v>
      </c>
    </row>
    <row r="62" spans="1:2" x14ac:dyDescent="0.2">
      <c r="A62" s="23">
        <v>21551</v>
      </c>
      <c r="B62" s="43">
        <v>2.48</v>
      </c>
    </row>
    <row r="63" spans="1:2" x14ac:dyDescent="0.2">
      <c r="A63" s="23">
        <v>21582</v>
      </c>
      <c r="B63" s="43">
        <v>2.4300000000000002</v>
      </c>
    </row>
    <row r="64" spans="1:2" x14ac:dyDescent="0.2">
      <c r="A64" s="23">
        <v>21610</v>
      </c>
      <c r="B64" s="43">
        <v>2.8</v>
      </c>
    </row>
    <row r="65" spans="1:2" x14ac:dyDescent="0.2">
      <c r="A65" s="23">
        <v>21641</v>
      </c>
      <c r="B65" s="43">
        <v>2.96</v>
      </c>
    </row>
    <row r="66" spans="1:2" x14ac:dyDescent="0.2">
      <c r="A66" s="23">
        <v>21671</v>
      </c>
      <c r="B66" s="43">
        <v>2.9</v>
      </c>
    </row>
    <row r="67" spans="1:2" x14ac:dyDescent="0.2">
      <c r="A67" s="23">
        <v>21702</v>
      </c>
      <c r="B67" s="43">
        <v>3.39</v>
      </c>
    </row>
    <row r="68" spans="1:2" x14ac:dyDescent="0.2">
      <c r="A68" s="23">
        <v>21732</v>
      </c>
      <c r="B68" s="43">
        <v>3.47</v>
      </c>
    </row>
    <row r="69" spans="1:2" x14ac:dyDescent="0.2">
      <c r="A69" s="23">
        <v>21763</v>
      </c>
      <c r="B69" s="43">
        <v>3.5</v>
      </c>
    </row>
    <row r="70" spans="1:2" x14ac:dyDescent="0.2">
      <c r="A70" s="23">
        <v>21794</v>
      </c>
      <c r="B70" s="43">
        <v>3.76</v>
      </c>
    </row>
    <row r="71" spans="1:2" x14ac:dyDescent="0.2">
      <c r="A71" s="23">
        <v>21824</v>
      </c>
      <c r="B71" s="43">
        <v>3.98</v>
      </c>
    </row>
    <row r="72" spans="1:2" x14ac:dyDescent="0.2">
      <c r="A72" s="23">
        <v>21855</v>
      </c>
      <c r="B72" s="43">
        <v>4</v>
      </c>
    </row>
    <row r="73" spans="1:2" x14ac:dyDescent="0.2">
      <c r="A73" s="23">
        <v>21885</v>
      </c>
      <c r="B73" s="43">
        <v>3.99</v>
      </c>
    </row>
    <row r="74" spans="1:2" x14ac:dyDescent="0.2">
      <c r="A74" s="23">
        <v>21916</v>
      </c>
      <c r="B74" s="43">
        <v>3.99</v>
      </c>
    </row>
    <row r="75" spans="1:2" x14ac:dyDescent="0.2">
      <c r="A75" s="23">
        <v>21947</v>
      </c>
      <c r="B75" s="43">
        <v>3.97</v>
      </c>
    </row>
    <row r="76" spans="1:2" x14ac:dyDescent="0.2">
      <c r="A76" s="23">
        <v>21976</v>
      </c>
      <c r="B76" s="43">
        <v>3.84</v>
      </c>
    </row>
    <row r="77" spans="1:2" x14ac:dyDescent="0.2">
      <c r="A77" s="23">
        <v>22007</v>
      </c>
      <c r="B77" s="43">
        <v>3.92</v>
      </c>
    </row>
    <row r="78" spans="1:2" x14ac:dyDescent="0.2">
      <c r="A78" s="23">
        <v>22037</v>
      </c>
      <c r="B78" s="43">
        <v>3.85</v>
      </c>
    </row>
    <row r="79" spans="1:2" x14ac:dyDescent="0.2">
      <c r="A79" s="23">
        <v>22068</v>
      </c>
      <c r="B79" s="43">
        <v>3.32</v>
      </c>
    </row>
    <row r="80" spans="1:2" x14ac:dyDescent="0.2">
      <c r="A80" s="23">
        <v>22098</v>
      </c>
      <c r="B80" s="43">
        <v>3.23</v>
      </c>
    </row>
    <row r="81" spans="1:2" x14ac:dyDescent="0.2">
      <c r="A81" s="23">
        <v>22129</v>
      </c>
      <c r="B81" s="43">
        <v>2.98</v>
      </c>
    </row>
    <row r="82" spans="1:2" x14ac:dyDescent="0.2">
      <c r="A82" s="23">
        <v>22160</v>
      </c>
      <c r="B82" s="43">
        <v>2.6</v>
      </c>
    </row>
    <row r="83" spans="1:2" x14ac:dyDescent="0.2">
      <c r="A83" s="23">
        <v>22190</v>
      </c>
      <c r="B83" s="43">
        <v>2.4700000000000002</v>
      </c>
    </row>
    <row r="84" spans="1:2" x14ac:dyDescent="0.2">
      <c r="A84" s="23">
        <v>22221</v>
      </c>
      <c r="B84" s="43">
        <v>2.44</v>
      </c>
    </row>
    <row r="85" spans="1:2" x14ac:dyDescent="0.2">
      <c r="A85" s="23">
        <v>22251</v>
      </c>
      <c r="B85" s="43">
        <v>1.98</v>
      </c>
    </row>
    <row r="86" spans="1:2" x14ac:dyDescent="0.2">
      <c r="A86" s="23">
        <v>22282</v>
      </c>
      <c r="B86" s="43">
        <v>1.45</v>
      </c>
    </row>
    <row r="87" spans="1:2" x14ac:dyDescent="0.2">
      <c r="A87" s="23">
        <v>22313</v>
      </c>
      <c r="B87" s="43">
        <v>2.54</v>
      </c>
    </row>
    <row r="88" spans="1:2" x14ac:dyDescent="0.2">
      <c r="A88" s="23">
        <v>22341</v>
      </c>
      <c r="B88" s="43">
        <v>2.02</v>
      </c>
    </row>
    <row r="89" spans="1:2" x14ac:dyDescent="0.2">
      <c r="A89" s="23">
        <v>22372</v>
      </c>
      <c r="B89" s="43">
        <v>1.49</v>
      </c>
    </row>
    <row r="90" spans="1:2" x14ac:dyDescent="0.2">
      <c r="A90" s="23">
        <v>22402</v>
      </c>
      <c r="B90" s="43">
        <v>1.98</v>
      </c>
    </row>
    <row r="91" spans="1:2" x14ac:dyDescent="0.2">
      <c r="A91" s="23">
        <v>22433</v>
      </c>
      <c r="B91" s="43">
        <v>1.73</v>
      </c>
    </row>
    <row r="92" spans="1:2" x14ac:dyDescent="0.2">
      <c r="A92" s="23">
        <v>22463</v>
      </c>
      <c r="B92" s="43">
        <v>1.17</v>
      </c>
    </row>
    <row r="93" spans="1:2" x14ac:dyDescent="0.2">
      <c r="A93" s="23">
        <v>22494</v>
      </c>
      <c r="B93" s="43">
        <v>2</v>
      </c>
    </row>
    <row r="94" spans="1:2" x14ac:dyDescent="0.2">
      <c r="A94" s="23">
        <v>22525</v>
      </c>
      <c r="B94" s="43">
        <v>1.88</v>
      </c>
    </row>
    <row r="95" spans="1:2" x14ac:dyDescent="0.2">
      <c r="A95" s="23">
        <v>22555</v>
      </c>
      <c r="B95" s="43">
        <v>2.2599999999999998</v>
      </c>
    </row>
    <row r="96" spans="1:2" x14ac:dyDescent="0.2">
      <c r="A96" s="23">
        <v>22586</v>
      </c>
      <c r="B96" s="43">
        <v>2.61</v>
      </c>
    </row>
    <row r="97" spans="1:2" x14ac:dyDescent="0.2">
      <c r="A97" s="23">
        <v>22616</v>
      </c>
      <c r="B97" s="43">
        <v>2.33</v>
      </c>
    </row>
    <row r="98" spans="1:2" x14ac:dyDescent="0.2">
      <c r="A98" s="23">
        <v>22647</v>
      </c>
      <c r="B98" s="43">
        <v>2.15</v>
      </c>
    </row>
    <row r="99" spans="1:2" x14ac:dyDescent="0.2">
      <c r="A99" s="23">
        <v>22678</v>
      </c>
      <c r="B99" s="43">
        <v>2.37</v>
      </c>
    </row>
    <row r="100" spans="1:2" x14ac:dyDescent="0.2">
      <c r="A100" s="23">
        <v>22706</v>
      </c>
      <c r="B100" s="43">
        <v>2.85</v>
      </c>
    </row>
    <row r="101" spans="1:2" x14ac:dyDescent="0.2">
      <c r="A101" s="23">
        <v>22737</v>
      </c>
      <c r="B101" s="43">
        <v>2.78</v>
      </c>
    </row>
    <row r="102" spans="1:2" x14ac:dyDescent="0.2">
      <c r="A102" s="23">
        <v>22767</v>
      </c>
      <c r="B102" s="43">
        <v>2.36</v>
      </c>
    </row>
    <row r="103" spans="1:2" x14ac:dyDescent="0.2">
      <c r="A103" s="23">
        <v>22798</v>
      </c>
      <c r="B103" s="43">
        <v>2.68</v>
      </c>
    </row>
    <row r="104" spans="1:2" x14ac:dyDescent="0.2">
      <c r="A104" s="23">
        <v>22828</v>
      </c>
      <c r="B104" s="43">
        <v>2.71</v>
      </c>
    </row>
    <row r="105" spans="1:2" x14ac:dyDescent="0.2">
      <c r="A105" s="23">
        <v>22859</v>
      </c>
      <c r="B105" s="43">
        <v>2.93</v>
      </c>
    </row>
    <row r="106" spans="1:2" x14ac:dyDescent="0.2">
      <c r="A106" s="23">
        <v>22890</v>
      </c>
      <c r="B106" s="43">
        <v>2.9</v>
      </c>
    </row>
    <row r="107" spans="1:2" x14ac:dyDescent="0.2">
      <c r="A107" s="23">
        <v>22920</v>
      </c>
      <c r="B107" s="43">
        <v>2.9</v>
      </c>
    </row>
    <row r="108" spans="1:2" x14ac:dyDescent="0.2">
      <c r="A108" s="23">
        <v>22951</v>
      </c>
      <c r="B108" s="43">
        <v>2.94</v>
      </c>
    </row>
    <row r="109" spans="1:2" x14ac:dyDescent="0.2">
      <c r="A109" s="23">
        <v>22981</v>
      </c>
      <c r="B109" s="43">
        <v>2.93</v>
      </c>
    </row>
    <row r="110" spans="1:2" x14ac:dyDescent="0.2">
      <c r="A110" s="23">
        <v>23012</v>
      </c>
      <c r="B110" s="43">
        <v>2.92</v>
      </c>
    </row>
    <row r="111" spans="1:2" x14ac:dyDescent="0.2">
      <c r="A111" s="23">
        <v>23043</v>
      </c>
      <c r="B111" s="43">
        <v>3</v>
      </c>
    </row>
    <row r="112" spans="1:2" x14ac:dyDescent="0.2">
      <c r="A112" s="23">
        <v>23071</v>
      </c>
      <c r="B112" s="43">
        <v>2.98</v>
      </c>
    </row>
    <row r="113" spans="1:2" x14ac:dyDescent="0.2">
      <c r="A113" s="23">
        <v>23102</v>
      </c>
      <c r="B113" s="43">
        <v>2.9</v>
      </c>
    </row>
    <row r="114" spans="1:2" x14ac:dyDescent="0.2">
      <c r="A114" s="23">
        <v>23132</v>
      </c>
      <c r="B114" s="43">
        <v>3</v>
      </c>
    </row>
    <row r="115" spans="1:2" x14ac:dyDescent="0.2">
      <c r="A115" s="23">
        <v>23163</v>
      </c>
      <c r="B115" s="43">
        <v>2.99</v>
      </c>
    </row>
    <row r="116" spans="1:2" x14ac:dyDescent="0.2">
      <c r="A116" s="23">
        <v>23193</v>
      </c>
      <c r="B116" s="43">
        <v>3.02</v>
      </c>
    </row>
    <row r="117" spans="1:2" x14ac:dyDescent="0.2">
      <c r="A117" s="23">
        <v>23224</v>
      </c>
      <c r="B117" s="43">
        <v>3.49</v>
      </c>
    </row>
    <row r="118" spans="1:2" x14ac:dyDescent="0.2">
      <c r="A118" s="23">
        <v>23255</v>
      </c>
      <c r="B118" s="43">
        <v>3.48</v>
      </c>
    </row>
    <row r="119" spans="1:2" x14ac:dyDescent="0.2">
      <c r="A119" s="23">
        <v>23285</v>
      </c>
      <c r="B119" s="43">
        <v>3.5</v>
      </c>
    </row>
    <row r="120" spans="1:2" x14ac:dyDescent="0.2">
      <c r="A120" s="23">
        <v>23316</v>
      </c>
      <c r="B120" s="43">
        <v>3.48</v>
      </c>
    </row>
    <row r="121" spans="1:2" x14ac:dyDescent="0.2">
      <c r="A121" s="23">
        <v>23346</v>
      </c>
      <c r="B121" s="43">
        <v>3.38</v>
      </c>
    </row>
    <row r="122" spans="1:2" x14ac:dyDescent="0.2">
      <c r="A122" s="23">
        <v>23377</v>
      </c>
      <c r="B122" s="43">
        <v>3.48</v>
      </c>
    </row>
    <row r="123" spans="1:2" x14ac:dyDescent="0.2">
      <c r="A123" s="23">
        <v>23408</v>
      </c>
      <c r="B123" s="43">
        <v>3.48</v>
      </c>
    </row>
    <row r="124" spans="1:2" x14ac:dyDescent="0.2">
      <c r="A124" s="23">
        <v>23437</v>
      </c>
      <c r="B124" s="43">
        <v>3.43</v>
      </c>
    </row>
    <row r="125" spans="1:2" x14ac:dyDescent="0.2">
      <c r="A125" s="23">
        <v>23468</v>
      </c>
      <c r="B125" s="43">
        <v>3.47</v>
      </c>
    </row>
    <row r="126" spans="1:2" x14ac:dyDescent="0.2">
      <c r="A126" s="23">
        <v>23498</v>
      </c>
      <c r="B126" s="43">
        <v>3.5</v>
      </c>
    </row>
    <row r="127" spans="1:2" x14ac:dyDescent="0.2">
      <c r="A127" s="23">
        <v>23529</v>
      </c>
      <c r="B127" s="43">
        <v>3.5</v>
      </c>
    </row>
    <row r="128" spans="1:2" x14ac:dyDescent="0.2">
      <c r="A128" s="23">
        <v>23559</v>
      </c>
      <c r="B128" s="43">
        <v>3.42</v>
      </c>
    </row>
    <row r="129" spans="1:2" x14ac:dyDescent="0.2">
      <c r="A129" s="23">
        <v>23590</v>
      </c>
      <c r="B129" s="43">
        <v>3.5</v>
      </c>
    </row>
    <row r="130" spans="1:2" x14ac:dyDescent="0.2">
      <c r="A130" s="23">
        <v>23621</v>
      </c>
      <c r="B130" s="43">
        <v>3.45</v>
      </c>
    </row>
    <row r="131" spans="1:2" x14ac:dyDescent="0.2">
      <c r="A131" s="23">
        <v>23651</v>
      </c>
      <c r="B131" s="43">
        <v>3.36</v>
      </c>
    </row>
    <row r="132" spans="1:2" x14ac:dyDescent="0.2">
      <c r="A132" s="23">
        <v>23682</v>
      </c>
      <c r="B132" s="43">
        <v>3.52</v>
      </c>
    </row>
    <row r="133" spans="1:2" x14ac:dyDescent="0.2">
      <c r="A133" s="23">
        <v>23712</v>
      </c>
      <c r="B133" s="43">
        <v>3.85</v>
      </c>
    </row>
    <row r="134" spans="1:2" x14ac:dyDescent="0.2">
      <c r="A134" s="23">
        <v>23743</v>
      </c>
      <c r="B134" s="43">
        <v>3.9</v>
      </c>
    </row>
    <row r="135" spans="1:2" x14ac:dyDescent="0.2">
      <c r="A135" s="23">
        <v>23774</v>
      </c>
      <c r="B135" s="43">
        <v>3.98</v>
      </c>
    </row>
    <row r="136" spans="1:2" x14ac:dyDescent="0.2">
      <c r="A136" s="23">
        <v>23802</v>
      </c>
      <c r="B136" s="43">
        <v>4.04</v>
      </c>
    </row>
    <row r="137" spans="1:2" x14ac:dyDescent="0.2">
      <c r="A137" s="23">
        <v>23833</v>
      </c>
      <c r="B137" s="43">
        <v>4.09</v>
      </c>
    </row>
    <row r="138" spans="1:2" x14ac:dyDescent="0.2">
      <c r="A138" s="23">
        <v>23863</v>
      </c>
      <c r="B138" s="43">
        <v>4.0999999999999996</v>
      </c>
    </row>
    <row r="139" spans="1:2" x14ac:dyDescent="0.2">
      <c r="A139" s="23">
        <v>23894</v>
      </c>
      <c r="B139" s="43">
        <v>4.04</v>
      </c>
    </row>
    <row r="140" spans="1:2" x14ac:dyDescent="0.2">
      <c r="A140" s="23">
        <v>23924</v>
      </c>
      <c r="B140" s="43">
        <v>4.09</v>
      </c>
    </row>
    <row r="141" spans="1:2" x14ac:dyDescent="0.2">
      <c r="A141" s="23">
        <v>23955</v>
      </c>
      <c r="B141" s="43">
        <v>4.12</v>
      </c>
    </row>
    <row r="142" spans="1:2" x14ac:dyDescent="0.2">
      <c r="A142" s="23">
        <v>23986</v>
      </c>
      <c r="B142" s="43">
        <v>4.01</v>
      </c>
    </row>
    <row r="143" spans="1:2" x14ac:dyDescent="0.2">
      <c r="A143" s="23">
        <v>24016</v>
      </c>
      <c r="B143" s="43">
        <v>4.08</v>
      </c>
    </row>
    <row r="144" spans="1:2" x14ac:dyDescent="0.2">
      <c r="A144" s="23">
        <v>24047</v>
      </c>
      <c r="B144" s="43">
        <v>4.0999999999999996</v>
      </c>
    </row>
    <row r="145" spans="1:2" x14ac:dyDescent="0.2">
      <c r="A145" s="23">
        <v>24077</v>
      </c>
      <c r="B145" s="43">
        <v>4.32</v>
      </c>
    </row>
    <row r="146" spans="1:2" x14ac:dyDescent="0.2">
      <c r="A146" s="23">
        <v>24108</v>
      </c>
      <c r="B146" s="43">
        <v>4.42</v>
      </c>
    </row>
    <row r="147" spans="1:2" x14ac:dyDescent="0.2">
      <c r="A147" s="23">
        <v>24139</v>
      </c>
      <c r="B147" s="43">
        <v>4.5999999999999996</v>
      </c>
    </row>
    <row r="148" spans="1:2" x14ac:dyDescent="0.2">
      <c r="A148" s="23">
        <v>24167</v>
      </c>
      <c r="B148" s="43">
        <v>4.6500000000000004</v>
      </c>
    </row>
    <row r="149" spans="1:2" x14ac:dyDescent="0.2">
      <c r="A149" s="23">
        <v>24198</v>
      </c>
      <c r="B149" s="43">
        <v>4.67</v>
      </c>
    </row>
    <row r="150" spans="1:2" x14ac:dyDescent="0.2">
      <c r="A150" s="23">
        <v>24228</v>
      </c>
      <c r="B150" s="43">
        <v>4.9000000000000004</v>
      </c>
    </row>
    <row r="151" spans="1:2" x14ac:dyDescent="0.2">
      <c r="A151" s="23">
        <v>24259</v>
      </c>
      <c r="B151" s="43">
        <v>5.17</v>
      </c>
    </row>
    <row r="152" spans="1:2" x14ac:dyDescent="0.2">
      <c r="A152" s="23">
        <v>24289</v>
      </c>
      <c r="B152" s="43">
        <v>5.3</v>
      </c>
    </row>
    <row r="153" spans="1:2" x14ac:dyDescent="0.2">
      <c r="A153" s="23">
        <v>24320</v>
      </c>
      <c r="B153" s="43">
        <v>5.53</v>
      </c>
    </row>
    <row r="154" spans="1:2" x14ac:dyDescent="0.2">
      <c r="A154" s="23">
        <v>24351</v>
      </c>
      <c r="B154" s="43">
        <v>5.4</v>
      </c>
    </row>
    <row r="155" spans="1:2" x14ac:dyDescent="0.2">
      <c r="A155" s="23">
        <v>24381</v>
      </c>
      <c r="B155" s="43">
        <v>5.53</v>
      </c>
    </row>
    <row r="156" spans="1:2" x14ac:dyDescent="0.2">
      <c r="A156" s="23">
        <v>24412</v>
      </c>
      <c r="B156" s="43">
        <v>5.76</v>
      </c>
    </row>
    <row r="157" spans="1:2" x14ac:dyDescent="0.2">
      <c r="A157" s="23">
        <v>24442</v>
      </c>
      <c r="B157" s="43">
        <v>5.4</v>
      </c>
    </row>
    <row r="158" spans="1:2" x14ac:dyDescent="0.2">
      <c r="A158" s="23">
        <v>24473</v>
      </c>
      <c r="B158" s="43">
        <v>4.9400000000000004</v>
      </c>
    </row>
    <row r="159" spans="1:2" x14ac:dyDescent="0.2">
      <c r="A159" s="23">
        <v>24504</v>
      </c>
      <c r="B159" s="43">
        <v>5</v>
      </c>
    </row>
    <row r="160" spans="1:2" x14ac:dyDescent="0.2">
      <c r="A160" s="23">
        <v>24532</v>
      </c>
      <c r="B160" s="43">
        <v>4.53</v>
      </c>
    </row>
    <row r="161" spans="1:2" x14ac:dyDescent="0.2">
      <c r="A161" s="23">
        <v>24563</v>
      </c>
      <c r="B161" s="43">
        <v>4.05</v>
      </c>
    </row>
    <row r="162" spans="1:2" x14ac:dyDescent="0.2">
      <c r="A162" s="23">
        <v>24593</v>
      </c>
      <c r="B162" s="43">
        <v>3.94</v>
      </c>
    </row>
    <row r="163" spans="1:2" x14ac:dyDescent="0.2">
      <c r="A163" s="23">
        <v>24624</v>
      </c>
      <c r="B163" s="43">
        <v>3.98</v>
      </c>
    </row>
    <row r="164" spans="1:2" x14ac:dyDescent="0.2">
      <c r="A164" s="23">
        <v>24654</v>
      </c>
      <c r="B164" s="43">
        <v>3.79</v>
      </c>
    </row>
    <row r="165" spans="1:2" x14ac:dyDescent="0.2">
      <c r="A165" s="23">
        <v>24685</v>
      </c>
      <c r="B165" s="43">
        <v>3.9</v>
      </c>
    </row>
    <row r="166" spans="1:2" x14ac:dyDescent="0.2">
      <c r="A166" s="23">
        <v>24716</v>
      </c>
      <c r="B166" s="43">
        <v>3.99</v>
      </c>
    </row>
    <row r="167" spans="1:2" x14ac:dyDescent="0.2">
      <c r="A167" s="23">
        <v>24746</v>
      </c>
      <c r="B167" s="43">
        <v>3.88</v>
      </c>
    </row>
    <row r="168" spans="1:2" x14ac:dyDescent="0.2">
      <c r="A168" s="23">
        <v>24777</v>
      </c>
      <c r="B168" s="43">
        <v>4.13</v>
      </c>
    </row>
    <row r="169" spans="1:2" x14ac:dyDescent="0.2">
      <c r="A169" s="23">
        <v>24807</v>
      </c>
      <c r="B169" s="43">
        <v>4.51</v>
      </c>
    </row>
    <row r="170" spans="1:2" x14ac:dyDescent="0.2">
      <c r="A170" s="23">
        <v>24838</v>
      </c>
      <c r="B170" s="43">
        <v>4.5999999999999996</v>
      </c>
    </row>
    <row r="171" spans="1:2" x14ac:dyDescent="0.2">
      <c r="A171" s="23">
        <v>24869</v>
      </c>
      <c r="B171" s="43">
        <v>4.71</v>
      </c>
    </row>
    <row r="172" spans="1:2" x14ac:dyDescent="0.2">
      <c r="A172" s="23">
        <v>24898</v>
      </c>
      <c r="B172" s="43">
        <v>5.05</v>
      </c>
    </row>
    <row r="173" spans="1:2" x14ac:dyDescent="0.2">
      <c r="A173" s="23">
        <v>24929</v>
      </c>
      <c r="B173" s="43">
        <v>5.76</v>
      </c>
    </row>
    <row r="174" spans="1:2" x14ac:dyDescent="0.2">
      <c r="A174" s="23">
        <v>24959</v>
      </c>
      <c r="B174" s="43">
        <v>6.11</v>
      </c>
    </row>
    <row r="175" spans="1:2" x14ac:dyDescent="0.2">
      <c r="A175" s="23">
        <v>24990</v>
      </c>
      <c r="B175" s="43">
        <v>6.07</v>
      </c>
    </row>
    <row r="176" spans="1:2" x14ac:dyDescent="0.2">
      <c r="A176" s="23">
        <v>25020</v>
      </c>
      <c r="B176" s="43">
        <v>6.02</v>
      </c>
    </row>
    <row r="177" spans="1:2" x14ac:dyDescent="0.2">
      <c r="A177" s="23">
        <v>25051</v>
      </c>
      <c r="B177" s="43">
        <v>6.03</v>
      </c>
    </row>
    <row r="178" spans="1:2" x14ac:dyDescent="0.2">
      <c r="A178" s="23">
        <v>25082</v>
      </c>
      <c r="B178" s="43">
        <v>5.78</v>
      </c>
    </row>
    <row r="179" spans="1:2" x14ac:dyDescent="0.2">
      <c r="A179" s="23">
        <v>25112</v>
      </c>
      <c r="B179" s="43">
        <v>5.91</v>
      </c>
    </row>
    <row r="180" spans="1:2" x14ac:dyDescent="0.2">
      <c r="A180" s="23">
        <v>25143</v>
      </c>
      <c r="B180" s="43">
        <v>5.82</v>
      </c>
    </row>
    <row r="181" spans="1:2" x14ac:dyDescent="0.2">
      <c r="A181" s="23">
        <v>25173</v>
      </c>
      <c r="B181" s="43">
        <v>6.02</v>
      </c>
    </row>
    <row r="182" spans="1:2" x14ac:dyDescent="0.2">
      <c r="A182" s="23">
        <v>25204</v>
      </c>
      <c r="B182" s="43">
        <v>6.3</v>
      </c>
    </row>
    <row r="183" spans="1:2" x14ac:dyDescent="0.2">
      <c r="A183" s="23">
        <v>25235</v>
      </c>
      <c r="B183" s="43">
        <v>6.61</v>
      </c>
    </row>
    <row r="184" spans="1:2" x14ac:dyDescent="0.2">
      <c r="A184" s="23">
        <v>25263</v>
      </c>
      <c r="B184" s="43">
        <v>6.79</v>
      </c>
    </row>
    <row r="185" spans="1:2" x14ac:dyDescent="0.2">
      <c r="A185" s="23">
        <v>25294</v>
      </c>
      <c r="B185" s="43">
        <v>7.41</v>
      </c>
    </row>
    <row r="186" spans="1:2" x14ac:dyDescent="0.2">
      <c r="A186" s="23">
        <v>25324</v>
      </c>
      <c r="B186" s="43">
        <v>8.67</v>
      </c>
    </row>
    <row r="187" spans="1:2" x14ac:dyDescent="0.2">
      <c r="A187" s="23">
        <v>25355</v>
      </c>
      <c r="B187" s="43">
        <v>8.9</v>
      </c>
    </row>
    <row r="188" spans="1:2" x14ac:dyDescent="0.2">
      <c r="A188" s="23">
        <v>25385</v>
      </c>
      <c r="B188" s="43">
        <v>8.61</v>
      </c>
    </row>
    <row r="189" spans="1:2" x14ac:dyDescent="0.2">
      <c r="A189" s="23">
        <v>25416</v>
      </c>
      <c r="B189" s="43">
        <v>9.19</v>
      </c>
    </row>
    <row r="190" spans="1:2" x14ac:dyDescent="0.2">
      <c r="A190" s="23">
        <v>25447</v>
      </c>
      <c r="B190" s="43">
        <v>9.15</v>
      </c>
    </row>
    <row r="191" spans="1:2" x14ac:dyDescent="0.2">
      <c r="A191" s="23">
        <v>25477</v>
      </c>
      <c r="B191" s="43">
        <v>9</v>
      </c>
    </row>
    <row r="192" spans="1:2" x14ac:dyDescent="0.2">
      <c r="A192" s="23">
        <v>25508</v>
      </c>
      <c r="B192" s="43">
        <v>8.85</v>
      </c>
    </row>
    <row r="193" spans="1:2" x14ac:dyDescent="0.2">
      <c r="A193" s="23">
        <v>25538</v>
      </c>
      <c r="B193" s="43">
        <v>8.9700000000000006</v>
      </c>
    </row>
    <row r="194" spans="1:2" x14ac:dyDescent="0.2">
      <c r="A194" s="23">
        <v>25569</v>
      </c>
      <c r="B194" s="43">
        <v>8.98</v>
      </c>
    </row>
    <row r="195" spans="1:2" x14ac:dyDescent="0.2">
      <c r="A195" s="23">
        <v>25600</v>
      </c>
      <c r="B195" s="43">
        <v>8.98</v>
      </c>
    </row>
    <row r="196" spans="1:2" x14ac:dyDescent="0.2">
      <c r="A196" s="23">
        <v>25628</v>
      </c>
      <c r="B196" s="43">
        <v>7.76</v>
      </c>
    </row>
    <row r="197" spans="1:2" x14ac:dyDescent="0.2">
      <c r="A197" s="23">
        <v>25659</v>
      </c>
      <c r="B197" s="43">
        <v>8.1</v>
      </c>
    </row>
    <row r="198" spans="1:2" x14ac:dyDescent="0.2">
      <c r="A198" s="23">
        <v>25689</v>
      </c>
      <c r="B198" s="43">
        <v>7.94</v>
      </c>
    </row>
    <row r="199" spans="1:2" x14ac:dyDescent="0.2">
      <c r="A199" s="23">
        <v>25720</v>
      </c>
      <c r="B199" s="43">
        <v>7.6</v>
      </c>
    </row>
    <row r="200" spans="1:2" x14ac:dyDescent="0.2">
      <c r="A200" s="23">
        <v>25750</v>
      </c>
      <c r="B200" s="43">
        <v>7.21</v>
      </c>
    </row>
    <row r="201" spans="1:2" x14ac:dyDescent="0.2">
      <c r="A201" s="23">
        <v>25781</v>
      </c>
      <c r="B201" s="43">
        <v>6.61</v>
      </c>
    </row>
    <row r="202" spans="1:2" x14ac:dyDescent="0.2">
      <c r="A202" s="23">
        <v>25812</v>
      </c>
      <c r="B202" s="43">
        <v>6.29</v>
      </c>
    </row>
    <row r="203" spans="1:2" x14ac:dyDescent="0.2">
      <c r="A203" s="23">
        <v>25842</v>
      </c>
      <c r="B203" s="43">
        <v>6.2</v>
      </c>
    </row>
    <row r="204" spans="1:2" x14ac:dyDescent="0.2">
      <c r="A204" s="23">
        <v>25873</v>
      </c>
      <c r="B204" s="43">
        <v>5.6</v>
      </c>
    </row>
    <row r="205" spans="1:2" x14ac:dyDescent="0.2">
      <c r="A205" s="23">
        <v>25903</v>
      </c>
      <c r="B205" s="43">
        <v>4.9000000000000004</v>
      </c>
    </row>
    <row r="206" spans="1:2" x14ac:dyDescent="0.2">
      <c r="A206" s="23">
        <v>25934</v>
      </c>
      <c r="B206" s="43">
        <v>4.1399999999999997</v>
      </c>
    </row>
    <row r="207" spans="1:2" x14ac:dyDescent="0.2">
      <c r="A207" s="23">
        <v>25965</v>
      </c>
      <c r="B207" s="43">
        <v>3.72</v>
      </c>
    </row>
    <row r="208" spans="1:2" x14ac:dyDescent="0.2">
      <c r="A208" s="23">
        <v>25993</v>
      </c>
      <c r="B208" s="43">
        <v>3.71</v>
      </c>
    </row>
    <row r="209" spans="1:2" x14ac:dyDescent="0.2">
      <c r="A209" s="23">
        <v>26024</v>
      </c>
      <c r="B209" s="43">
        <v>4.1500000000000004</v>
      </c>
    </row>
    <row r="210" spans="1:2" x14ac:dyDescent="0.2">
      <c r="A210" s="23">
        <v>26054</v>
      </c>
      <c r="B210" s="43">
        <v>4.63</v>
      </c>
    </row>
    <row r="211" spans="1:2" x14ac:dyDescent="0.2">
      <c r="A211" s="23">
        <v>26085</v>
      </c>
      <c r="B211" s="43">
        <v>4.91</v>
      </c>
    </row>
    <row r="212" spans="1:2" x14ac:dyDescent="0.2">
      <c r="A212" s="23">
        <v>26115</v>
      </c>
      <c r="B212" s="43">
        <v>5.31</v>
      </c>
    </row>
    <row r="213" spans="1:2" x14ac:dyDescent="0.2">
      <c r="A213" s="23">
        <v>26146</v>
      </c>
      <c r="B213" s="43">
        <v>5.56</v>
      </c>
    </row>
    <row r="214" spans="1:2" x14ac:dyDescent="0.2">
      <c r="A214" s="23">
        <v>26177</v>
      </c>
      <c r="B214" s="43">
        <v>5.55</v>
      </c>
    </row>
    <row r="215" spans="1:2" x14ac:dyDescent="0.2">
      <c r="A215" s="23">
        <v>26207</v>
      </c>
      <c r="B215" s="43">
        <v>5.2</v>
      </c>
    </row>
    <row r="216" spans="1:2" x14ac:dyDescent="0.2">
      <c r="A216" s="23">
        <v>26238</v>
      </c>
      <c r="B216" s="43">
        <v>4.91</v>
      </c>
    </row>
    <row r="217" spans="1:2" x14ac:dyDescent="0.2">
      <c r="A217" s="23">
        <v>26268</v>
      </c>
      <c r="B217" s="43">
        <v>4.1399999999999997</v>
      </c>
    </row>
    <row r="218" spans="1:2" x14ac:dyDescent="0.2">
      <c r="A218" s="23">
        <v>26299</v>
      </c>
      <c r="B218" s="43">
        <v>3.5</v>
      </c>
    </row>
    <row r="219" spans="1:2" x14ac:dyDescent="0.2">
      <c r="A219" s="23">
        <v>26330</v>
      </c>
      <c r="B219" s="43">
        <v>3.29</v>
      </c>
    </row>
    <row r="220" spans="1:2" x14ac:dyDescent="0.2">
      <c r="A220" s="23">
        <v>26359</v>
      </c>
      <c r="B220" s="43">
        <v>3.83</v>
      </c>
    </row>
    <row r="221" spans="1:2" x14ac:dyDescent="0.2">
      <c r="A221" s="23">
        <v>26390</v>
      </c>
      <c r="B221" s="43">
        <v>4.17</v>
      </c>
    </row>
    <row r="222" spans="1:2" x14ac:dyDescent="0.2">
      <c r="A222" s="23">
        <v>26420</v>
      </c>
      <c r="B222" s="43">
        <v>4.2699999999999996</v>
      </c>
    </row>
    <row r="223" spans="1:2" x14ac:dyDescent="0.2">
      <c r="A223" s="23">
        <v>26451</v>
      </c>
      <c r="B223" s="43">
        <v>4.46</v>
      </c>
    </row>
    <row r="224" spans="1:2" x14ac:dyDescent="0.2">
      <c r="A224" s="23">
        <v>26481</v>
      </c>
      <c r="B224" s="43">
        <v>4.55</v>
      </c>
    </row>
    <row r="225" spans="1:2" x14ac:dyDescent="0.2">
      <c r="A225" s="23">
        <v>26512</v>
      </c>
      <c r="B225" s="43">
        <v>4.8</v>
      </c>
    </row>
    <row r="226" spans="1:2" x14ac:dyDescent="0.2">
      <c r="A226" s="23">
        <v>26543</v>
      </c>
      <c r="B226" s="43">
        <v>4.87</v>
      </c>
    </row>
    <row r="227" spans="1:2" x14ac:dyDescent="0.2">
      <c r="A227" s="23">
        <v>26573</v>
      </c>
      <c r="B227" s="43">
        <v>5.04</v>
      </c>
    </row>
    <row r="228" spans="1:2" x14ac:dyDescent="0.2">
      <c r="A228" s="23">
        <v>26604</v>
      </c>
      <c r="B228" s="43">
        <v>5.0599999999999996</v>
      </c>
    </row>
    <row r="229" spans="1:2" x14ac:dyDescent="0.2">
      <c r="A229" s="23">
        <v>26634</v>
      </c>
      <c r="B229" s="43">
        <v>5.33</v>
      </c>
    </row>
    <row r="230" spans="1:2" x14ac:dyDescent="0.2">
      <c r="A230" s="23">
        <v>26665</v>
      </c>
      <c r="B230" s="43">
        <v>5.94</v>
      </c>
    </row>
    <row r="231" spans="1:2" x14ac:dyDescent="0.2">
      <c r="A231" s="23">
        <v>26696</v>
      </c>
      <c r="B231" s="43">
        <v>6.58</v>
      </c>
    </row>
    <row r="232" spans="1:2" x14ac:dyDescent="0.2">
      <c r="A232" s="23">
        <v>26724</v>
      </c>
      <c r="B232" s="43">
        <v>7.09</v>
      </c>
    </row>
    <row r="233" spans="1:2" x14ac:dyDescent="0.2">
      <c r="A233" s="23">
        <v>26755</v>
      </c>
      <c r="B233" s="43">
        <v>7.12</v>
      </c>
    </row>
    <row r="234" spans="1:2" x14ac:dyDescent="0.2">
      <c r="A234" s="23">
        <v>26785</v>
      </c>
      <c r="B234" s="43">
        <v>7.84</v>
      </c>
    </row>
    <row r="235" spans="1:2" x14ac:dyDescent="0.2">
      <c r="A235" s="23">
        <v>26816</v>
      </c>
      <c r="B235" s="43">
        <v>8.49</v>
      </c>
    </row>
    <row r="236" spans="1:2" x14ac:dyDescent="0.2">
      <c r="A236" s="23">
        <v>26846</v>
      </c>
      <c r="B236" s="43">
        <v>10.4</v>
      </c>
    </row>
    <row r="237" spans="1:2" x14ac:dyDescent="0.2">
      <c r="A237" s="23">
        <v>26877</v>
      </c>
      <c r="B237" s="43">
        <v>10.5</v>
      </c>
    </row>
    <row r="238" spans="1:2" x14ac:dyDescent="0.2">
      <c r="A238" s="23">
        <v>26908</v>
      </c>
      <c r="B238" s="43">
        <v>10.78</v>
      </c>
    </row>
    <row r="239" spans="1:2" x14ac:dyDescent="0.2">
      <c r="A239" s="23">
        <v>26938</v>
      </c>
      <c r="B239" s="43">
        <v>10.01</v>
      </c>
    </row>
    <row r="240" spans="1:2" x14ac:dyDescent="0.2">
      <c r="A240" s="23">
        <v>26969</v>
      </c>
      <c r="B240" s="43">
        <v>10.029999999999999</v>
      </c>
    </row>
    <row r="241" spans="1:2" x14ac:dyDescent="0.2">
      <c r="A241" s="23">
        <v>26999</v>
      </c>
      <c r="B241" s="43">
        <v>9.9499999999999993</v>
      </c>
    </row>
    <row r="242" spans="1:2" x14ac:dyDescent="0.2">
      <c r="A242" s="23">
        <v>27030</v>
      </c>
      <c r="B242" s="43">
        <v>9.65</v>
      </c>
    </row>
    <row r="243" spans="1:2" x14ac:dyDescent="0.2">
      <c r="A243" s="23">
        <v>27061</v>
      </c>
      <c r="B243" s="43">
        <v>8.9700000000000006</v>
      </c>
    </row>
    <row r="244" spans="1:2" x14ac:dyDescent="0.2">
      <c r="A244" s="23">
        <v>27089</v>
      </c>
      <c r="B244" s="43">
        <v>9.35</v>
      </c>
    </row>
    <row r="245" spans="1:2" x14ac:dyDescent="0.2">
      <c r="A245" s="23">
        <v>27120</v>
      </c>
      <c r="B245" s="43">
        <v>10.51</v>
      </c>
    </row>
    <row r="246" spans="1:2" x14ac:dyDescent="0.2">
      <c r="A246" s="23">
        <v>27150</v>
      </c>
      <c r="B246" s="43">
        <v>11.31</v>
      </c>
    </row>
    <row r="247" spans="1:2" x14ac:dyDescent="0.2">
      <c r="A247" s="23">
        <v>27181</v>
      </c>
      <c r="B247" s="43">
        <v>11.93</v>
      </c>
    </row>
    <row r="248" spans="1:2" x14ac:dyDescent="0.2">
      <c r="A248" s="23">
        <v>27211</v>
      </c>
      <c r="B248" s="43">
        <v>12.92</v>
      </c>
    </row>
    <row r="249" spans="1:2" x14ac:dyDescent="0.2">
      <c r="A249" s="23">
        <v>27242</v>
      </c>
      <c r="B249" s="43">
        <v>12.01</v>
      </c>
    </row>
    <row r="250" spans="1:2" x14ac:dyDescent="0.2">
      <c r="A250" s="23">
        <v>27273</v>
      </c>
      <c r="B250" s="43">
        <v>11.34</v>
      </c>
    </row>
    <row r="251" spans="1:2" x14ac:dyDescent="0.2">
      <c r="A251" s="23">
        <v>27303</v>
      </c>
      <c r="B251" s="43">
        <v>10.06</v>
      </c>
    </row>
    <row r="252" spans="1:2" x14ac:dyDescent="0.2">
      <c r="A252" s="23">
        <v>27334</v>
      </c>
      <c r="B252" s="43">
        <v>9.4499999999999993</v>
      </c>
    </row>
    <row r="253" spans="1:2" x14ac:dyDescent="0.2">
      <c r="A253" s="23">
        <v>27364</v>
      </c>
      <c r="B253" s="43">
        <v>8.5299999999999994</v>
      </c>
    </row>
    <row r="254" spans="1:2" x14ac:dyDescent="0.2">
      <c r="A254" s="23">
        <v>27395</v>
      </c>
      <c r="B254" s="43">
        <v>7.13</v>
      </c>
    </row>
    <row r="255" spans="1:2" x14ac:dyDescent="0.2">
      <c r="A255" s="23">
        <v>27426</v>
      </c>
      <c r="B255" s="43">
        <v>6.24</v>
      </c>
    </row>
    <row r="256" spans="1:2" x14ac:dyDescent="0.2">
      <c r="A256" s="23">
        <v>27454</v>
      </c>
      <c r="B256" s="43">
        <v>5.54</v>
      </c>
    </row>
    <row r="257" spans="1:2" x14ac:dyDescent="0.2">
      <c r="A257" s="23">
        <v>27485</v>
      </c>
      <c r="B257" s="43">
        <v>5.49</v>
      </c>
    </row>
    <row r="258" spans="1:2" x14ac:dyDescent="0.2">
      <c r="A258" s="23">
        <v>27515</v>
      </c>
      <c r="B258" s="43">
        <v>5.22</v>
      </c>
    </row>
    <row r="259" spans="1:2" x14ac:dyDescent="0.2">
      <c r="A259" s="23">
        <v>27546</v>
      </c>
      <c r="B259" s="43">
        <v>5.55</v>
      </c>
    </row>
    <row r="260" spans="1:2" x14ac:dyDescent="0.2">
      <c r="A260" s="23">
        <v>27576</v>
      </c>
      <c r="B260" s="43">
        <v>6.1</v>
      </c>
    </row>
    <row r="261" spans="1:2" x14ac:dyDescent="0.2">
      <c r="A261" s="23">
        <v>27607</v>
      </c>
      <c r="B261" s="43">
        <v>6.14</v>
      </c>
    </row>
    <row r="262" spans="1:2" x14ac:dyDescent="0.2">
      <c r="A262" s="23">
        <v>27638</v>
      </c>
      <c r="B262" s="43">
        <v>6.24</v>
      </c>
    </row>
    <row r="263" spans="1:2" x14ac:dyDescent="0.2">
      <c r="A263" s="23">
        <v>27668</v>
      </c>
      <c r="B263" s="43">
        <v>5.82</v>
      </c>
    </row>
    <row r="264" spans="1:2" x14ac:dyDescent="0.2">
      <c r="A264" s="23">
        <v>27699</v>
      </c>
      <c r="B264" s="43">
        <v>5.22</v>
      </c>
    </row>
    <row r="265" spans="1:2" x14ac:dyDescent="0.2">
      <c r="A265" s="23">
        <v>27729</v>
      </c>
      <c r="B265" s="43">
        <v>5.2</v>
      </c>
    </row>
    <row r="266" spans="1:2" x14ac:dyDescent="0.2">
      <c r="A266" s="23">
        <v>27760</v>
      </c>
      <c r="B266" s="43">
        <v>4.87</v>
      </c>
    </row>
    <row r="267" spans="1:2" x14ac:dyDescent="0.2">
      <c r="A267" s="23">
        <v>27791</v>
      </c>
      <c r="B267" s="43">
        <v>4.7699999999999996</v>
      </c>
    </row>
    <row r="268" spans="1:2" x14ac:dyDescent="0.2">
      <c r="A268" s="23">
        <v>27820</v>
      </c>
      <c r="B268" s="43">
        <v>4.84</v>
      </c>
    </row>
    <row r="269" spans="1:2" x14ac:dyDescent="0.2">
      <c r="A269" s="23">
        <v>27851</v>
      </c>
      <c r="B269" s="43">
        <v>4.82</v>
      </c>
    </row>
    <row r="270" spans="1:2" x14ac:dyDescent="0.2">
      <c r="A270" s="23">
        <v>27881</v>
      </c>
      <c r="B270" s="43">
        <v>5.29</v>
      </c>
    </row>
    <row r="271" spans="1:2" x14ac:dyDescent="0.2">
      <c r="A271" s="23">
        <v>27912</v>
      </c>
      <c r="B271" s="43">
        <v>5.48</v>
      </c>
    </row>
    <row r="272" spans="1:2" x14ac:dyDescent="0.2">
      <c r="A272" s="23">
        <v>27942</v>
      </c>
      <c r="B272" s="43">
        <v>5.31</v>
      </c>
    </row>
    <row r="273" spans="1:2" x14ac:dyDescent="0.2">
      <c r="A273" s="23">
        <v>27973</v>
      </c>
      <c r="B273" s="43">
        <v>5.29</v>
      </c>
    </row>
    <row r="274" spans="1:2" x14ac:dyDescent="0.2">
      <c r="A274" s="23">
        <v>28004</v>
      </c>
      <c r="B274" s="43">
        <v>5.25</v>
      </c>
    </row>
    <row r="275" spans="1:2" x14ac:dyDescent="0.2">
      <c r="A275" s="23">
        <v>28034</v>
      </c>
      <c r="B275" s="43">
        <v>5.0199999999999996</v>
      </c>
    </row>
    <row r="276" spans="1:2" x14ac:dyDescent="0.2">
      <c r="A276" s="23">
        <v>28065</v>
      </c>
      <c r="B276" s="43">
        <v>4.95</v>
      </c>
    </row>
    <row r="277" spans="1:2" x14ac:dyDescent="0.2">
      <c r="A277" s="23">
        <v>28095</v>
      </c>
      <c r="B277" s="43">
        <v>4.6500000000000004</v>
      </c>
    </row>
    <row r="278" spans="1:2" x14ac:dyDescent="0.2">
      <c r="A278" s="23">
        <v>28126</v>
      </c>
      <c r="B278" s="43">
        <v>4.6100000000000003</v>
      </c>
    </row>
    <row r="279" spans="1:2" x14ac:dyDescent="0.2">
      <c r="A279" s="23">
        <v>28157</v>
      </c>
      <c r="B279" s="43">
        <v>4.68</v>
      </c>
    </row>
    <row r="280" spans="1:2" x14ac:dyDescent="0.2">
      <c r="A280" s="23">
        <v>28185</v>
      </c>
      <c r="B280" s="43">
        <v>4.6900000000000004</v>
      </c>
    </row>
    <row r="281" spans="1:2" x14ac:dyDescent="0.2">
      <c r="A281" s="23">
        <v>28216</v>
      </c>
      <c r="B281" s="43">
        <v>4.7300000000000004</v>
      </c>
    </row>
    <row r="282" spans="1:2" x14ac:dyDescent="0.2">
      <c r="A282" s="23">
        <v>28246</v>
      </c>
      <c r="B282" s="43">
        <v>5.35</v>
      </c>
    </row>
    <row r="283" spans="1:2" x14ac:dyDescent="0.2">
      <c r="A283" s="23">
        <v>28277</v>
      </c>
      <c r="B283" s="43">
        <v>5.39</v>
      </c>
    </row>
    <row r="284" spans="1:2" x14ac:dyDescent="0.2">
      <c r="A284" s="23">
        <v>28307</v>
      </c>
      <c r="B284" s="43">
        <v>5.42</v>
      </c>
    </row>
    <row r="285" spans="1:2" x14ac:dyDescent="0.2">
      <c r="A285" s="23">
        <v>28338</v>
      </c>
      <c r="B285" s="43">
        <v>5.9</v>
      </c>
    </row>
    <row r="286" spans="1:2" x14ac:dyDescent="0.2">
      <c r="A286" s="23">
        <v>28369</v>
      </c>
      <c r="B286" s="43">
        <v>6.14</v>
      </c>
    </row>
    <row r="287" spans="1:2" x14ac:dyDescent="0.2">
      <c r="A287" s="23">
        <v>28399</v>
      </c>
      <c r="B287" s="43">
        <v>6.47</v>
      </c>
    </row>
    <row r="288" spans="1:2" x14ac:dyDescent="0.2">
      <c r="A288" s="23">
        <v>28430</v>
      </c>
      <c r="B288" s="43">
        <v>6.51</v>
      </c>
    </row>
    <row r="289" spans="1:2" x14ac:dyDescent="0.2">
      <c r="A289" s="23">
        <v>28460</v>
      </c>
      <c r="B289" s="43">
        <v>6.56</v>
      </c>
    </row>
    <row r="290" spans="1:2" x14ac:dyDescent="0.2">
      <c r="A290" s="23">
        <v>28491</v>
      </c>
      <c r="B290" s="43">
        <v>6.7</v>
      </c>
    </row>
    <row r="291" spans="1:2" x14ac:dyDescent="0.2">
      <c r="A291" s="23">
        <v>28522</v>
      </c>
      <c r="B291" s="43">
        <v>6.78</v>
      </c>
    </row>
    <row r="292" spans="1:2" x14ac:dyDescent="0.2">
      <c r="A292" s="23">
        <v>28550</v>
      </c>
      <c r="B292" s="43">
        <v>6.79</v>
      </c>
    </row>
    <row r="293" spans="1:2" x14ac:dyDescent="0.2">
      <c r="A293" s="23">
        <v>28581</v>
      </c>
      <c r="B293" s="43">
        <v>6.89</v>
      </c>
    </row>
    <row r="294" spans="1:2" x14ac:dyDescent="0.2">
      <c r="A294" s="23">
        <v>28611</v>
      </c>
      <c r="B294" s="43">
        <v>7.36</v>
      </c>
    </row>
    <row r="295" spans="1:2" x14ac:dyDescent="0.2">
      <c r="A295" s="23">
        <v>28642</v>
      </c>
      <c r="B295" s="43">
        <v>7.6</v>
      </c>
    </row>
    <row r="296" spans="1:2" x14ac:dyDescent="0.2">
      <c r="A296" s="23">
        <v>28672</v>
      </c>
      <c r="B296" s="43">
        <v>7.81</v>
      </c>
    </row>
    <row r="297" spans="1:2" x14ac:dyDescent="0.2">
      <c r="A297" s="23">
        <v>28703</v>
      </c>
      <c r="B297" s="43">
        <v>8.0399999999999991</v>
      </c>
    </row>
    <row r="298" spans="1:2" x14ac:dyDescent="0.2">
      <c r="A298" s="23">
        <v>28734</v>
      </c>
      <c r="B298" s="43">
        <v>8.4499999999999993</v>
      </c>
    </row>
    <row r="299" spans="1:2" x14ac:dyDescent="0.2">
      <c r="A299" s="23">
        <v>28764</v>
      </c>
      <c r="B299" s="43">
        <v>8.9600000000000009</v>
      </c>
    </row>
    <row r="300" spans="1:2" x14ac:dyDescent="0.2">
      <c r="A300" s="23">
        <v>28795</v>
      </c>
      <c r="B300" s="43">
        <v>9.76</v>
      </c>
    </row>
    <row r="301" spans="1:2" x14ac:dyDescent="0.2">
      <c r="A301" s="23">
        <v>28825</v>
      </c>
      <c r="B301" s="43">
        <v>10.029999999999999</v>
      </c>
    </row>
    <row r="302" spans="1:2" x14ac:dyDescent="0.2">
      <c r="A302" s="23">
        <v>28856</v>
      </c>
      <c r="B302" s="43">
        <v>10.07</v>
      </c>
    </row>
    <row r="303" spans="1:2" x14ac:dyDescent="0.2">
      <c r="A303" s="23">
        <v>28887</v>
      </c>
      <c r="B303" s="43">
        <v>10.06</v>
      </c>
    </row>
    <row r="304" spans="1:2" x14ac:dyDescent="0.2">
      <c r="A304" s="23">
        <v>28915</v>
      </c>
      <c r="B304" s="43">
        <v>10.09</v>
      </c>
    </row>
    <row r="305" spans="1:2" x14ac:dyDescent="0.2">
      <c r="A305" s="23">
        <v>28946</v>
      </c>
      <c r="B305" s="43">
        <v>10.01</v>
      </c>
    </row>
    <row r="306" spans="1:2" x14ac:dyDescent="0.2">
      <c r="A306" s="23">
        <v>28976</v>
      </c>
      <c r="B306" s="43">
        <v>10.24</v>
      </c>
    </row>
    <row r="307" spans="1:2" x14ac:dyDescent="0.2">
      <c r="A307" s="23">
        <v>29007</v>
      </c>
      <c r="B307" s="43">
        <v>10.29</v>
      </c>
    </row>
    <row r="308" spans="1:2" x14ac:dyDescent="0.2">
      <c r="A308" s="23">
        <v>29037</v>
      </c>
      <c r="B308" s="43">
        <v>10.47</v>
      </c>
    </row>
    <row r="309" spans="1:2" x14ac:dyDescent="0.2">
      <c r="A309" s="23">
        <v>29068</v>
      </c>
      <c r="B309" s="43">
        <v>10.94</v>
      </c>
    </row>
    <row r="310" spans="1:2" x14ac:dyDescent="0.2">
      <c r="A310" s="23">
        <v>29099</v>
      </c>
      <c r="B310" s="43">
        <v>11.43</v>
      </c>
    </row>
    <row r="311" spans="1:2" x14ac:dyDescent="0.2">
      <c r="A311" s="23">
        <v>29129</v>
      </c>
      <c r="B311" s="43">
        <v>13.77</v>
      </c>
    </row>
    <row r="312" spans="1:2" x14ac:dyDescent="0.2">
      <c r="A312" s="23">
        <v>29160</v>
      </c>
      <c r="B312" s="43">
        <v>13.18</v>
      </c>
    </row>
    <row r="313" spans="1:2" x14ac:dyDescent="0.2">
      <c r="A313" s="23">
        <v>29190</v>
      </c>
      <c r="B313" s="43">
        <v>13.78</v>
      </c>
    </row>
    <row r="314" spans="1:2" x14ac:dyDescent="0.2">
      <c r="A314" s="23">
        <v>29221</v>
      </c>
      <c r="B314" s="43">
        <v>13.82</v>
      </c>
    </row>
    <row r="315" spans="1:2" x14ac:dyDescent="0.2">
      <c r="A315" s="23">
        <v>29252</v>
      </c>
      <c r="B315" s="43">
        <v>14.13</v>
      </c>
    </row>
    <row r="316" spans="1:2" x14ac:dyDescent="0.2">
      <c r="A316" s="23">
        <v>29281</v>
      </c>
      <c r="B316" s="43">
        <v>17.190000000000001</v>
      </c>
    </row>
    <row r="317" spans="1:2" x14ac:dyDescent="0.2">
      <c r="A317" s="23">
        <v>29312</v>
      </c>
      <c r="B317" s="43">
        <v>17.61</v>
      </c>
    </row>
    <row r="318" spans="1:2" x14ac:dyDescent="0.2">
      <c r="A318" s="23">
        <v>29342</v>
      </c>
      <c r="B318" s="43">
        <v>10.98</v>
      </c>
    </row>
    <row r="319" spans="1:2" x14ac:dyDescent="0.2">
      <c r="A319" s="23">
        <v>29373</v>
      </c>
      <c r="B319" s="43">
        <v>9.4700000000000006</v>
      </c>
    </row>
    <row r="320" spans="1:2" x14ac:dyDescent="0.2">
      <c r="A320" s="23">
        <v>29403</v>
      </c>
      <c r="B320" s="43">
        <v>9.0299999999999994</v>
      </c>
    </row>
    <row r="321" spans="1:2" x14ac:dyDescent="0.2">
      <c r="A321" s="23">
        <v>29434</v>
      </c>
      <c r="B321" s="43">
        <v>9.61</v>
      </c>
    </row>
    <row r="322" spans="1:2" x14ac:dyDescent="0.2">
      <c r="A322" s="23">
        <v>29465</v>
      </c>
      <c r="B322" s="43">
        <v>10.87</v>
      </c>
    </row>
    <row r="323" spans="1:2" x14ac:dyDescent="0.2">
      <c r="A323" s="23">
        <v>29495</v>
      </c>
      <c r="B323" s="43">
        <v>12.81</v>
      </c>
    </row>
    <row r="324" spans="1:2" x14ac:dyDescent="0.2">
      <c r="A324" s="23">
        <v>29526</v>
      </c>
      <c r="B324" s="43">
        <v>15.85</v>
      </c>
    </row>
    <row r="325" spans="1:2" x14ac:dyDescent="0.2">
      <c r="A325" s="23">
        <v>29556</v>
      </c>
      <c r="B325" s="43">
        <v>18.899999999999999</v>
      </c>
    </row>
    <row r="326" spans="1:2" x14ac:dyDescent="0.2">
      <c r="A326" s="23">
        <v>29587</v>
      </c>
      <c r="B326" s="43">
        <v>19.079999999999998</v>
      </c>
    </row>
    <row r="327" spans="1:2" x14ac:dyDescent="0.2">
      <c r="A327" s="23">
        <v>29618</v>
      </c>
      <c r="B327" s="43">
        <v>15.93</v>
      </c>
    </row>
    <row r="328" spans="1:2" x14ac:dyDescent="0.2">
      <c r="A328" s="23">
        <v>29646</v>
      </c>
      <c r="B328" s="43">
        <v>14.7</v>
      </c>
    </row>
    <row r="329" spans="1:2" x14ac:dyDescent="0.2">
      <c r="A329" s="23">
        <v>29677</v>
      </c>
      <c r="B329" s="43">
        <v>15.72</v>
      </c>
    </row>
    <row r="330" spans="1:2" x14ac:dyDescent="0.2">
      <c r="A330" s="23">
        <v>29707</v>
      </c>
      <c r="B330" s="43">
        <v>18.52</v>
      </c>
    </row>
    <row r="331" spans="1:2" x14ac:dyDescent="0.2">
      <c r="A331" s="23">
        <v>29738</v>
      </c>
      <c r="B331" s="43">
        <v>19.100000000000001</v>
      </c>
    </row>
    <row r="332" spans="1:2" x14ac:dyDescent="0.2">
      <c r="A332" s="23">
        <v>29768</v>
      </c>
      <c r="B332" s="43">
        <v>19.04</v>
      </c>
    </row>
    <row r="333" spans="1:2" x14ac:dyDescent="0.2">
      <c r="A333" s="23">
        <v>29799</v>
      </c>
      <c r="B333" s="43">
        <v>17.82</v>
      </c>
    </row>
    <row r="334" spans="1:2" x14ac:dyDescent="0.2">
      <c r="A334" s="23">
        <v>29830</v>
      </c>
      <c r="B334" s="43">
        <v>15.87</v>
      </c>
    </row>
    <row r="335" spans="1:2" x14ac:dyDescent="0.2">
      <c r="A335" s="23">
        <v>29860</v>
      </c>
      <c r="B335" s="43">
        <v>15.08</v>
      </c>
    </row>
    <row r="336" spans="1:2" x14ac:dyDescent="0.2">
      <c r="A336" s="23">
        <v>29891</v>
      </c>
      <c r="B336" s="43">
        <v>13.31</v>
      </c>
    </row>
    <row r="337" spans="1:2" x14ac:dyDescent="0.2">
      <c r="A337" s="23">
        <v>29921</v>
      </c>
      <c r="B337" s="43">
        <v>12.37</v>
      </c>
    </row>
    <row r="338" spans="1:2" x14ac:dyDescent="0.2">
      <c r="A338" s="23">
        <v>29952</v>
      </c>
      <c r="B338" s="43">
        <v>13.22</v>
      </c>
    </row>
    <row r="339" spans="1:2" x14ac:dyDescent="0.2">
      <c r="A339" s="23">
        <v>29983</v>
      </c>
      <c r="B339" s="43">
        <v>14.78</v>
      </c>
    </row>
    <row r="340" spans="1:2" x14ac:dyDescent="0.2">
      <c r="A340" s="23">
        <v>30011</v>
      </c>
      <c r="B340" s="43">
        <v>14.68</v>
      </c>
    </row>
    <row r="341" spans="1:2" x14ac:dyDescent="0.2">
      <c r="A341" s="23">
        <v>30042</v>
      </c>
      <c r="B341" s="43">
        <v>14.94</v>
      </c>
    </row>
    <row r="342" spans="1:2" x14ac:dyDescent="0.2">
      <c r="A342" s="23">
        <v>30072</v>
      </c>
      <c r="B342" s="43">
        <v>14.45</v>
      </c>
    </row>
    <row r="343" spans="1:2" x14ac:dyDescent="0.2">
      <c r="A343" s="23">
        <v>30103</v>
      </c>
      <c r="B343" s="43">
        <v>14.15</v>
      </c>
    </row>
    <row r="344" spans="1:2" x14ac:dyDescent="0.2">
      <c r="A344" s="23">
        <v>30133</v>
      </c>
      <c r="B344" s="43">
        <v>12.59</v>
      </c>
    </row>
    <row r="345" spans="1:2" x14ac:dyDescent="0.2">
      <c r="A345" s="23">
        <v>30164</v>
      </c>
      <c r="B345" s="43">
        <v>10.119999999999999</v>
      </c>
    </row>
    <row r="346" spans="1:2" x14ac:dyDescent="0.2">
      <c r="A346" s="23">
        <v>30195</v>
      </c>
      <c r="B346" s="43">
        <v>10.31</v>
      </c>
    </row>
    <row r="347" spans="1:2" x14ac:dyDescent="0.2">
      <c r="A347" s="23">
        <v>30225</v>
      </c>
      <c r="B347" s="43">
        <v>9.7100000000000009</v>
      </c>
    </row>
    <row r="348" spans="1:2" x14ac:dyDescent="0.2">
      <c r="A348" s="23">
        <v>30256</v>
      </c>
      <c r="B348" s="43">
        <v>9.1999999999999993</v>
      </c>
    </row>
    <row r="349" spans="1:2" x14ac:dyDescent="0.2">
      <c r="A349" s="23">
        <v>30286</v>
      </c>
      <c r="B349" s="43">
        <v>8.9499999999999993</v>
      </c>
    </row>
    <row r="350" spans="1:2" x14ac:dyDescent="0.2">
      <c r="A350" s="23">
        <v>30317</v>
      </c>
      <c r="B350" s="43">
        <v>8.68</v>
      </c>
    </row>
    <row r="351" spans="1:2" x14ac:dyDescent="0.2">
      <c r="A351" s="23">
        <v>30348</v>
      </c>
      <c r="B351" s="43">
        <v>8.51</v>
      </c>
    </row>
    <row r="352" spans="1:2" x14ac:dyDescent="0.2">
      <c r="A352" s="23">
        <v>30376</v>
      </c>
      <c r="B352" s="43">
        <v>8.77</v>
      </c>
    </row>
    <row r="353" spans="1:2" x14ac:dyDescent="0.2">
      <c r="A353" s="23">
        <v>30407</v>
      </c>
      <c r="B353" s="43">
        <v>8.8000000000000007</v>
      </c>
    </row>
    <row r="354" spans="1:2" x14ac:dyDescent="0.2">
      <c r="A354" s="23">
        <v>30437</v>
      </c>
      <c r="B354" s="43">
        <v>8.6300000000000008</v>
      </c>
    </row>
    <row r="355" spans="1:2" x14ac:dyDescent="0.2">
      <c r="A355" s="23">
        <v>30468</v>
      </c>
      <c r="B355" s="43">
        <v>8.98</v>
      </c>
    </row>
    <row r="356" spans="1:2" x14ac:dyDescent="0.2">
      <c r="A356" s="23">
        <v>30498</v>
      </c>
      <c r="B356" s="43">
        <v>9.3699999999999992</v>
      </c>
    </row>
    <row r="357" spans="1:2" x14ac:dyDescent="0.2">
      <c r="A357" s="23">
        <v>30529</v>
      </c>
      <c r="B357" s="43">
        <v>9.56</v>
      </c>
    </row>
    <row r="358" spans="1:2" x14ac:dyDescent="0.2">
      <c r="A358" s="23">
        <v>30560</v>
      </c>
      <c r="B358" s="43">
        <v>9.4499999999999993</v>
      </c>
    </row>
    <row r="359" spans="1:2" x14ac:dyDescent="0.2">
      <c r="A359" s="23">
        <v>30590</v>
      </c>
      <c r="B359" s="43">
        <v>9.48</v>
      </c>
    </row>
    <row r="360" spans="1:2" x14ac:dyDescent="0.2">
      <c r="A360" s="23">
        <v>30621</v>
      </c>
      <c r="B360" s="43">
        <v>9.34</v>
      </c>
    </row>
    <row r="361" spans="1:2" x14ac:dyDescent="0.2">
      <c r="A361" s="23">
        <v>30651</v>
      </c>
      <c r="B361" s="43">
        <v>9.4700000000000006</v>
      </c>
    </row>
    <row r="362" spans="1:2" x14ac:dyDescent="0.2">
      <c r="A362" s="23">
        <v>30682</v>
      </c>
      <c r="B362" s="43">
        <v>9.56</v>
      </c>
    </row>
    <row r="363" spans="1:2" x14ac:dyDescent="0.2">
      <c r="A363" s="23">
        <v>30713</v>
      </c>
      <c r="B363" s="43">
        <v>9.59</v>
      </c>
    </row>
    <row r="364" spans="1:2" x14ac:dyDescent="0.2">
      <c r="A364" s="23">
        <v>30742</v>
      </c>
      <c r="B364" s="43">
        <v>9.91</v>
      </c>
    </row>
    <row r="365" spans="1:2" x14ac:dyDescent="0.2">
      <c r="A365" s="23">
        <v>30773</v>
      </c>
      <c r="B365" s="43">
        <v>10.29</v>
      </c>
    </row>
    <row r="366" spans="1:2" x14ac:dyDescent="0.2">
      <c r="A366" s="23">
        <v>30803</v>
      </c>
      <c r="B366" s="43">
        <v>10.32</v>
      </c>
    </row>
    <row r="367" spans="1:2" x14ac:dyDescent="0.2">
      <c r="A367" s="23">
        <v>30834</v>
      </c>
      <c r="B367" s="43">
        <v>11.06</v>
      </c>
    </row>
    <row r="368" spans="1:2" x14ac:dyDescent="0.2">
      <c r="A368" s="23">
        <v>30864</v>
      </c>
      <c r="B368" s="43">
        <v>11.23</v>
      </c>
    </row>
    <row r="369" spans="1:2" x14ac:dyDescent="0.2">
      <c r="A369" s="23">
        <v>30895</v>
      </c>
      <c r="B369" s="43">
        <v>11.64</v>
      </c>
    </row>
    <row r="370" spans="1:2" x14ac:dyDescent="0.2">
      <c r="A370" s="23">
        <v>30926</v>
      </c>
      <c r="B370" s="43">
        <v>11.3</v>
      </c>
    </row>
    <row r="371" spans="1:2" x14ac:dyDescent="0.2">
      <c r="A371" s="23">
        <v>30956</v>
      </c>
      <c r="B371" s="43">
        <v>9.99</v>
      </c>
    </row>
    <row r="372" spans="1:2" x14ac:dyDescent="0.2">
      <c r="A372" s="23">
        <v>30987</v>
      </c>
      <c r="B372" s="43">
        <v>9.43</v>
      </c>
    </row>
    <row r="373" spans="1:2" x14ac:dyDescent="0.2">
      <c r="A373" s="23">
        <v>31017</v>
      </c>
      <c r="B373" s="43">
        <v>8.3800000000000008</v>
      </c>
    </row>
    <row r="374" spans="1:2" x14ac:dyDescent="0.2">
      <c r="A374" s="23">
        <v>31048</v>
      </c>
      <c r="B374" s="43">
        <v>8.35</v>
      </c>
    </row>
    <row r="375" spans="1:2" x14ac:dyDescent="0.2">
      <c r="A375" s="23">
        <v>31079</v>
      </c>
      <c r="B375" s="43">
        <v>8.5</v>
      </c>
    </row>
    <row r="376" spans="1:2" x14ac:dyDescent="0.2">
      <c r="A376" s="23">
        <v>31107</v>
      </c>
      <c r="B376" s="43">
        <v>8.58</v>
      </c>
    </row>
    <row r="377" spans="1:2" x14ac:dyDescent="0.2">
      <c r="A377" s="23">
        <v>31138</v>
      </c>
      <c r="B377" s="43">
        <v>8.27</v>
      </c>
    </row>
    <row r="378" spans="1:2" x14ac:dyDescent="0.2">
      <c r="A378" s="23">
        <v>31168</v>
      </c>
      <c r="B378" s="43">
        <v>7.97</v>
      </c>
    </row>
    <row r="379" spans="1:2" x14ac:dyDescent="0.2">
      <c r="A379" s="23">
        <v>31199</v>
      </c>
      <c r="B379" s="43">
        <v>7.53</v>
      </c>
    </row>
    <row r="380" spans="1:2" x14ac:dyDescent="0.2">
      <c r="A380" s="23">
        <v>31229</v>
      </c>
      <c r="B380" s="43">
        <v>7.88</v>
      </c>
    </row>
    <row r="381" spans="1:2" x14ac:dyDescent="0.2">
      <c r="A381" s="23">
        <v>31260</v>
      </c>
      <c r="B381" s="43">
        <v>7.9</v>
      </c>
    </row>
    <row r="382" spans="1:2" x14ac:dyDescent="0.2">
      <c r="A382" s="23">
        <v>31291</v>
      </c>
      <c r="B382" s="43">
        <v>7.92</v>
      </c>
    </row>
    <row r="383" spans="1:2" x14ac:dyDescent="0.2">
      <c r="A383" s="23">
        <v>31321</v>
      </c>
      <c r="B383" s="43">
        <v>7.99</v>
      </c>
    </row>
    <row r="384" spans="1:2" x14ac:dyDescent="0.2">
      <c r="A384" s="23">
        <v>31352</v>
      </c>
      <c r="B384" s="43">
        <v>8.0500000000000007</v>
      </c>
    </row>
    <row r="385" spans="1:2" x14ac:dyDescent="0.2">
      <c r="A385" s="23">
        <v>31382</v>
      </c>
      <c r="B385" s="43">
        <v>8.27</v>
      </c>
    </row>
    <row r="386" spans="1:2" x14ac:dyDescent="0.2">
      <c r="A386" s="23">
        <v>31413</v>
      </c>
      <c r="B386" s="43">
        <v>8.14</v>
      </c>
    </row>
    <row r="387" spans="1:2" x14ac:dyDescent="0.2">
      <c r="A387" s="23">
        <v>31444</v>
      </c>
      <c r="B387" s="43">
        <v>7.86</v>
      </c>
    </row>
    <row r="388" spans="1:2" x14ac:dyDescent="0.2">
      <c r="A388" s="23">
        <v>31472</v>
      </c>
      <c r="B388" s="43">
        <v>7.48</v>
      </c>
    </row>
    <row r="389" spans="1:2" x14ac:dyDescent="0.2">
      <c r="A389" s="23">
        <v>31503</v>
      </c>
      <c r="B389" s="43">
        <v>6.99</v>
      </c>
    </row>
    <row r="390" spans="1:2" x14ac:dyDescent="0.2">
      <c r="A390" s="23">
        <v>31533</v>
      </c>
      <c r="B390" s="43">
        <v>6.85</v>
      </c>
    </row>
    <row r="391" spans="1:2" x14ac:dyDescent="0.2">
      <c r="A391" s="23">
        <v>31564</v>
      </c>
      <c r="B391" s="43">
        <v>6.92</v>
      </c>
    </row>
    <row r="392" spans="1:2" x14ac:dyDescent="0.2">
      <c r="A392" s="23">
        <v>31594</v>
      </c>
      <c r="B392" s="43">
        <v>6.56</v>
      </c>
    </row>
    <row r="393" spans="1:2" x14ac:dyDescent="0.2">
      <c r="A393" s="23">
        <v>31625</v>
      </c>
      <c r="B393" s="43">
        <v>6.17</v>
      </c>
    </row>
    <row r="394" spans="1:2" x14ac:dyDescent="0.2">
      <c r="A394" s="23">
        <v>31656</v>
      </c>
      <c r="B394" s="43">
        <v>5.89</v>
      </c>
    </row>
    <row r="395" spans="1:2" x14ac:dyDescent="0.2">
      <c r="A395" s="23">
        <v>31686</v>
      </c>
      <c r="B395" s="43">
        <v>5.85</v>
      </c>
    </row>
    <row r="396" spans="1:2" x14ac:dyDescent="0.2">
      <c r="A396" s="23">
        <v>31717</v>
      </c>
      <c r="B396" s="43">
        <v>6.04</v>
      </c>
    </row>
    <row r="397" spans="1:2" x14ac:dyDescent="0.2">
      <c r="A397" s="23">
        <v>31747</v>
      </c>
      <c r="B397" s="43">
        <v>6.91</v>
      </c>
    </row>
    <row r="398" spans="1:2" x14ac:dyDescent="0.2">
      <c r="A398" s="23">
        <v>31778</v>
      </c>
      <c r="B398" s="43">
        <v>6.43</v>
      </c>
    </row>
    <row r="399" spans="1:2" x14ac:dyDescent="0.2">
      <c r="A399" s="23">
        <v>31809</v>
      </c>
      <c r="B399" s="43">
        <v>6.1</v>
      </c>
    </row>
    <row r="400" spans="1:2" x14ac:dyDescent="0.2">
      <c r="A400" s="23">
        <v>31837</v>
      </c>
      <c r="B400" s="43">
        <v>6.13</v>
      </c>
    </row>
    <row r="401" spans="1:2" x14ac:dyDescent="0.2">
      <c r="A401" s="23">
        <v>31868</v>
      </c>
      <c r="B401" s="43">
        <v>6.37</v>
      </c>
    </row>
    <row r="402" spans="1:2" x14ac:dyDescent="0.2">
      <c r="A402" s="23">
        <v>31898</v>
      </c>
      <c r="B402" s="43">
        <v>6.85</v>
      </c>
    </row>
    <row r="403" spans="1:2" x14ac:dyDescent="0.2">
      <c r="A403" s="23">
        <v>31929</v>
      </c>
      <c r="B403" s="43">
        <v>6.73</v>
      </c>
    </row>
    <row r="404" spans="1:2" x14ac:dyDescent="0.2">
      <c r="A404" s="23">
        <v>31959</v>
      </c>
      <c r="B404" s="43">
        <v>6.58</v>
      </c>
    </row>
    <row r="405" spans="1:2" x14ac:dyDescent="0.2">
      <c r="A405" s="23">
        <v>31990</v>
      </c>
      <c r="B405" s="43">
        <v>6.73</v>
      </c>
    </row>
    <row r="406" spans="1:2" x14ac:dyDescent="0.2">
      <c r="A406" s="23">
        <v>32021</v>
      </c>
      <c r="B406" s="43">
        <v>7.22</v>
      </c>
    </row>
    <row r="407" spans="1:2" x14ac:dyDescent="0.2">
      <c r="A407" s="23">
        <v>32051</v>
      </c>
      <c r="B407" s="43">
        <v>7.29</v>
      </c>
    </row>
    <row r="408" spans="1:2" x14ac:dyDescent="0.2">
      <c r="A408" s="23">
        <v>32082</v>
      </c>
      <c r="B408" s="43">
        <v>6.69</v>
      </c>
    </row>
    <row r="409" spans="1:2" x14ac:dyDescent="0.2">
      <c r="A409" s="23">
        <v>32112</v>
      </c>
      <c r="B409" s="43">
        <v>6.77</v>
      </c>
    </row>
    <row r="410" spans="1:2" x14ac:dyDescent="0.2">
      <c r="A410" s="23">
        <v>32143</v>
      </c>
      <c r="B410" s="43">
        <v>6.83</v>
      </c>
    </row>
    <row r="411" spans="1:2" x14ac:dyDescent="0.2">
      <c r="A411" s="23">
        <v>32174</v>
      </c>
      <c r="B411" s="43">
        <v>6.58</v>
      </c>
    </row>
    <row r="412" spans="1:2" x14ac:dyDescent="0.2">
      <c r="A412" s="23">
        <v>32203</v>
      </c>
      <c r="B412" s="43">
        <v>6.58</v>
      </c>
    </row>
    <row r="413" spans="1:2" x14ac:dyDescent="0.2">
      <c r="A413" s="23">
        <v>32234</v>
      </c>
      <c r="B413" s="43">
        <v>6.87</v>
      </c>
    </row>
    <row r="414" spans="1:2" x14ac:dyDescent="0.2">
      <c r="A414" s="23">
        <v>32264</v>
      </c>
      <c r="B414" s="43">
        <v>7.09</v>
      </c>
    </row>
    <row r="415" spans="1:2" x14ac:dyDescent="0.2">
      <c r="A415" s="23">
        <v>32295</v>
      </c>
      <c r="B415" s="43">
        <v>7.51</v>
      </c>
    </row>
    <row r="416" spans="1:2" x14ac:dyDescent="0.2">
      <c r="A416" s="23">
        <v>32325</v>
      </c>
      <c r="B416" s="43">
        <v>7.75</v>
      </c>
    </row>
    <row r="417" spans="1:2" x14ac:dyDescent="0.2">
      <c r="A417" s="23">
        <v>32356</v>
      </c>
      <c r="B417" s="43">
        <v>8.01</v>
      </c>
    </row>
    <row r="418" spans="1:2" x14ac:dyDescent="0.2">
      <c r="A418" s="23">
        <v>32387</v>
      </c>
      <c r="B418" s="43">
        <v>8.19</v>
      </c>
    </row>
    <row r="419" spans="1:2" x14ac:dyDescent="0.2">
      <c r="A419" s="23">
        <v>32417</v>
      </c>
      <c r="B419" s="43">
        <v>8.3000000000000007</v>
      </c>
    </row>
    <row r="420" spans="1:2" x14ac:dyDescent="0.2">
      <c r="A420" s="23">
        <v>32448</v>
      </c>
      <c r="B420" s="43">
        <v>8.35</v>
      </c>
    </row>
    <row r="421" spans="1:2" x14ac:dyDescent="0.2">
      <c r="A421" s="23">
        <v>32478</v>
      </c>
      <c r="B421" s="43">
        <v>8.76</v>
      </c>
    </row>
    <row r="422" spans="1:2" x14ac:dyDescent="0.2">
      <c r="A422" s="23">
        <v>32509</v>
      </c>
      <c r="B422" s="43">
        <v>9.1199999999999992</v>
      </c>
    </row>
    <row r="423" spans="1:2" x14ac:dyDescent="0.2">
      <c r="A423" s="23">
        <v>32540</v>
      </c>
      <c r="B423" s="43">
        <v>9.36</v>
      </c>
    </row>
    <row r="424" spans="1:2" x14ac:dyDescent="0.2">
      <c r="A424" s="23">
        <v>32568</v>
      </c>
      <c r="B424" s="43">
        <v>9.85</v>
      </c>
    </row>
    <row r="425" spans="1:2" x14ac:dyDescent="0.2">
      <c r="A425" s="23">
        <v>32599</v>
      </c>
      <c r="B425" s="43">
        <v>9.84</v>
      </c>
    </row>
    <row r="426" spans="1:2" x14ac:dyDescent="0.2">
      <c r="A426" s="23">
        <v>32629</v>
      </c>
      <c r="B426" s="43">
        <v>9.81</v>
      </c>
    </row>
    <row r="427" spans="1:2" x14ac:dyDescent="0.2">
      <c r="A427" s="23">
        <v>32660</v>
      </c>
      <c r="B427" s="43">
        <v>9.5299999999999994</v>
      </c>
    </row>
    <row r="428" spans="1:2" x14ac:dyDescent="0.2">
      <c r="A428" s="23">
        <v>32690</v>
      </c>
      <c r="B428" s="43">
        <v>9.24</v>
      </c>
    </row>
    <row r="429" spans="1:2" x14ac:dyDescent="0.2">
      <c r="A429" s="23">
        <v>32721</v>
      </c>
      <c r="B429" s="43">
        <v>8.99</v>
      </c>
    </row>
    <row r="430" spans="1:2" x14ac:dyDescent="0.2">
      <c r="A430" s="23">
        <v>32752</v>
      </c>
      <c r="B430" s="43">
        <v>9.02</v>
      </c>
    </row>
    <row r="431" spans="1:2" x14ac:dyDescent="0.2">
      <c r="A431" s="23">
        <v>32782</v>
      </c>
      <c r="B431" s="43">
        <v>8.84</v>
      </c>
    </row>
    <row r="432" spans="1:2" x14ac:dyDescent="0.2">
      <c r="A432" s="23">
        <v>32813</v>
      </c>
      <c r="B432" s="43">
        <v>8.5500000000000007</v>
      </c>
    </row>
    <row r="433" spans="1:2" x14ac:dyDescent="0.2">
      <c r="A433" s="23">
        <v>32843</v>
      </c>
      <c r="B433" s="43">
        <v>8.4499999999999993</v>
      </c>
    </row>
    <row r="434" spans="1:2" x14ac:dyDescent="0.2">
      <c r="A434" s="23">
        <v>32874</v>
      </c>
      <c r="B434" s="43">
        <v>8.23</v>
      </c>
    </row>
    <row r="435" spans="1:2" x14ac:dyDescent="0.2">
      <c r="A435" s="23">
        <v>32905</v>
      </c>
      <c r="B435" s="43">
        <v>8.24</v>
      </c>
    </row>
    <row r="436" spans="1:2" x14ac:dyDescent="0.2">
      <c r="A436" s="23">
        <v>32933</v>
      </c>
      <c r="B436" s="43">
        <v>8.2799999999999994</v>
      </c>
    </row>
    <row r="437" spans="1:2" x14ac:dyDescent="0.2">
      <c r="A437" s="23">
        <v>32964</v>
      </c>
      <c r="B437" s="43">
        <v>8.26</v>
      </c>
    </row>
    <row r="438" spans="1:2" x14ac:dyDescent="0.2">
      <c r="A438" s="23">
        <v>32994</v>
      </c>
      <c r="B438" s="43">
        <v>8.18</v>
      </c>
    </row>
    <row r="439" spans="1:2" x14ac:dyDescent="0.2">
      <c r="A439" s="23">
        <v>33025</v>
      </c>
      <c r="B439" s="43">
        <v>8.2899999999999991</v>
      </c>
    </row>
    <row r="440" spans="1:2" x14ac:dyDescent="0.2">
      <c r="A440" s="23">
        <v>33055</v>
      </c>
      <c r="B440" s="43">
        <v>8.15</v>
      </c>
    </row>
    <row r="441" spans="1:2" x14ac:dyDescent="0.2">
      <c r="A441" s="23">
        <v>33086</v>
      </c>
      <c r="B441" s="43">
        <v>8.1300000000000008</v>
      </c>
    </row>
    <row r="442" spans="1:2" x14ac:dyDescent="0.2">
      <c r="A442" s="23">
        <v>33117</v>
      </c>
      <c r="B442" s="43">
        <v>8.1999999999999993</v>
      </c>
    </row>
    <row r="443" spans="1:2" x14ac:dyDescent="0.2">
      <c r="A443" s="23">
        <v>33147</v>
      </c>
      <c r="B443" s="43">
        <v>8.11</v>
      </c>
    </row>
    <row r="444" spans="1:2" x14ac:dyDescent="0.2">
      <c r="A444" s="23">
        <v>33178</v>
      </c>
      <c r="B444" s="43">
        <v>7.81</v>
      </c>
    </row>
    <row r="445" spans="1:2" x14ac:dyDescent="0.2">
      <c r="A445" s="23">
        <v>33208</v>
      </c>
      <c r="B445" s="43">
        <v>7.31</v>
      </c>
    </row>
    <row r="446" spans="1:2" x14ac:dyDescent="0.2">
      <c r="A446" s="23">
        <v>33239</v>
      </c>
      <c r="B446" s="43">
        <v>6.91</v>
      </c>
    </row>
    <row r="447" spans="1:2" x14ac:dyDescent="0.2">
      <c r="A447" s="23">
        <v>33270</v>
      </c>
      <c r="B447" s="43">
        <v>6.25</v>
      </c>
    </row>
    <row r="448" spans="1:2" x14ac:dyDescent="0.2">
      <c r="A448" s="23">
        <v>33298</v>
      </c>
      <c r="B448" s="43">
        <v>6.12</v>
      </c>
    </row>
    <row r="449" spans="1:2" x14ac:dyDescent="0.2">
      <c r="A449" s="23">
        <v>33329</v>
      </c>
      <c r="B449" s="43">
        <v>5.91</v>
      </c>
    </row>
    <row r="450" spans="1:2" x14ac:dyDescent="0.2">
      <c r="A450" s="23">
        <v>33359</v>
      </c>
      <c r="B450" s="43">
        <v>5.78</v>
      </c>
    </row>
    <row r="451" spans="1:2" x14ac:dyDescent="0.2">
      <c r="A451" s="23">
        <v>33390</v>
      </c>
      <c r="B451" s="43">
        <v>5.9</v>
      </c>
    </row>
    <row r="452" spans="1:2" x14ac:dyDescent="0.2">
      <c r="A452" s="23">
        <v>33420</v>
      </c>
      <c r="B452" s="43">
        <v>5.82</v>
      </c>
    </row>
    <row r="453" spans="1:2" x14ac:dyDescent="0.2">
      <c r="A453" s="23">
        <v>33451</v>
      </c>
      <c r="B453" s="43">
        <v>5.66</v>
      </c>
    </row>
    <row r="454" spans="1:2" x14ac:dyDescent="0.2">
      <c r="A454" s="23">
        <v>33482</v>
      </c>
      <c r="B454" s="43">
        <v>5.45</v>
      </c>
    </row>
    <row r="455" spans="1:2" x14ac:dyDescent="0.2">
      <c r="A455" s="23">
        <v>33512</v>
      </c>
      <c r="B455" s="43">
        <v>5.21</v>
      </c>
    </row>
    <row r="456" spans="1:2" x14ac:dyDescent="0.2">
      <c r="A456" s="23">
        <v>33543</v>
      </c>
      <c r="B456" s="43">
        <v>4.8099999999999996</v>
      </c>
    </row>
    <row r="457" spans="1:2" x14ac:dyDescent="0.2">
      <c r="A457" s="23">
        <v>33573</v>
      </c>
      <c r="B457" s="43">
        <v>4.43</v>
      </c>
    </row>
    <row r="458" spans="1:2" x14ac:dyDescent="0.2">
      <c r="A458" s="23">
        <v>33604</v>
      </c>
      <c r="B458" s="43">
        <v>4.03</v>
      </c>
    </row>
    <row r="459" spans="1:2" x14ac:dyDescent="0.2">
      <c r="A459" s="23">
        <v>33635</v>
      </c>
      <c r="B459" s="43">
        <v>4.0599999999999996</v>
      </c>
    </row>
    <row r="460" spans="1:2" x14ac:dyDescent="0.2">
      <c r="A460" s="23">
        <v>33664</v>
      </c>
      <c r="B460" s="43">
        <v>3.98</v>
      </c>
    </row>
    <row r="461" spans="1:2" x14ac:dyDescent="0.2">
      <c r="A461" s="23">
        <v>33695</v>
      </c>
      <c r="B461" s="43">
        <v>3.73</v>
      </c>
    </row>
    <row r="462" spans="1:2" x14ac:dyDescent="0.2">
      <c r="A462" s="23">
        <v>33725</v>
      </c>
      <c r="B462" s="43">
        <v>3.82</v>
      </c>
    </row>
    <row r="463" spans="1:2" x14ac:dyDescent="0.2">
      <c r="A463" s="23">
        <v>33756</v>
      </c>
      <c r="B463" s="43">
        <v>3.76</v>
      </c>
    </row>
    <row r="464" spans="1:2" x14ac:dyDescent="0.2">
      <c r="A464" s="23">
        <v>33786</v>
      </c>
      <c r="B464" s="43">
        <v>3.25</v>
      </c>
    </row>
    <row r="465" spans="1:2" x14ac:dyDescent="0.2">
      <c r="A465" s="23">
        <v>33817</v>
      </c>
      <c r="B465" s="43">
        <v>3.3</v>
      </c>
    </row>
    <row r="466" spans="1:2" x14ac:dyDescent="0.2">
      <c r="A466" s="23">
        <v>33848</v>
      </c>
      <c r="B466" s="43">
        <v>3.22</v>
      </c>
    </row>
    <row r="467" spans="1:2" x14ac:dyDescent="0.2">
      <c r="A467" s="23">
        <v>33878</v>
      </c>
      <c r="B467" s="43">
        <v>3.1</v>
      </c>
    </row>
    <row r="468" spans="1:2" x14ac:dyDescent="0.2">
      <c r="A468" s="23">
        <v>33909</v>
      </c>
      <c r="B468" s="43">
        <v>3.09</v>
      </c>
    </row>
    <row r="469" spans="1:2" x14ac:dyDescent="0.2">
      <c r="A469" s="23">
        <v>33939</v>
      </c>
      <c r="B469" s="43">
        <v>2.92</v>
      </c>
    </row>
    <row r="470" spans="1:2" x14ac:dyDescent="0.2">
      <c r="A470" s="23">
        <v>33970</v>
      </c>
      <c r="B470" s="43">
        <v>3.02</v>
      </c>
    </row>
    <row r="471" spans="1:2" x14ac:dyDescent="0.2">
      <c r="A471" s="23">
        <v>34001</v>
      </c>
      <c r="B471" s="43">
        <v>3.03</v>
      </c>
    </row>
    <row r="472" spans="1:2" x14ac:dyDescent="0.2">
      <c r="A472" s="23">
        <v>34029</v>
      </c>
      <c r="B472" s="43">
        <v>3.07</v>
      </c>
    </row>
    <row r="473" spans="1:2" x14ac:dyDescent="0.2">
      <c r="A473" s="23">
        <v>34060</v>
      </c>
      <c r="B473" s="43">
        <v>2.96</v>
      </c>
    </row>
    <row r="474" spans="1:2" x14ac:dyDescent="0.2">
      <c r="A474" s="23">
        <v>34090</v>
      </c>
      <c r="B474" s="43">
        <v>3</v>
      </c>
    </row>
    <row r="475" spans="1:2" x14ac:dyDescent="0.2">
      <c r="A475" s="23">
        <v>34121</v>
      </c>
      <c r="B475" s="43">
        <v>3.04</v>
      </c>
    </row>
    <row r="476" spans="1:2" x14ac:dyDescent="0.2">
      <c r="A476" s="23">
        <v>34151</v>
      </c>
      <c r="B476" s="43">
        <v>3.06</v>
      </c>
    </row>
    <row r="477" spans="1:2" x14ac:dyDescent="0.2">
      <c r="A477" s="23">
        <v>34182</v>
      </c>
      <c r="B477" s="43">
        <v>3.03</v>
      </c>
    </row>
    <row r="478" spans="1:2" x14ac:dyDescent="0.2">
      <c r="A478" s="23">
        <v>34213</v>
      </c>
      <c r="B478" s="43">
        <v>3.09</v>
      </c>
    </row>
    <row r="479" spans="1:2" x14ac:dyDescent="0.2">
      <c r="A479" s="23">
        <v>34243</v>
      </c>
      <c r="B479" s="43">
        <v>2.99</v>
      </c>
    </row>
    <row r="480" spans="1:2" x14ac:dyDescent="0.2">
      <c r="A480" s="23">
        <v>34274</v>
      </c>
      <c r="B480" s="43">
        <v>3.02</v>
      </c>
    </row>
    <row r="481" spans="1:2" x14ac:dyDescent="0.2">
      <c r="A481" s="23">
        <v>34304</v>
      </c>
      <c r="B481" s="43">
        <v>2.96</v>
      </c>
    </row>
    <row r="482" spans="1:2" x14ac:dyDescent="0.2">
      <c r="A482" s="23">
        <v>34335</v>
      </c>
      <c r="B482" s="43">
        <v>3.05</v>
      </c>
    </row>
    <row r="483" spans="1:2" x14ac:dyDescent="0.2">
      <c r="A483" s="23">
        <v>34366</v>
      </c>
      <c r="B483" s="43">
        <v>3.25</v>
      </c>
    </row>
    <row r="484" spans="1:2" x14ac:dyDescent="0.2">
      <c r="A484" s="23">
        <v>34394</v>
      </c>
      <c r="B484" s="43">
        <v>3.34</v>
      </c>
    </row>
    <row r="485" spans="1:2" x14ac:dyDescent="0.2">
      <c r="A485" s="23">
        <v>34425</v>
      </c>
      <c r="B485" s="43">
        <v>3.56</v>
      </c>
    </row>
    <row r="486" spans="1:2" x14ac:dyDescent="0.2">
      <c r="A486" s="23">
        <v>34455</v>
      </c>
      <c r="B486" s="43">
        <v>4.01</v>
      </c>
    </row>
    <row r="487" spans="1:2" x14ac:dyDescent="0.2">
      <c r="A487" s="23">
        <v>34486</v>
      </c>
      <c r="B487" s="43">
        <v>4.25</v>
      </c>
    </row>
    <row r="488" spans="1:2" x14ac:dyDescent="0.2">
      <c r="A488" s="23">
        <v>34516</v>
      </c>
      <c r="B488" s="43">
        <v>4.26</v>
      </c>
    </row>
    <row r="489" spans="1:2" x14ac:dyDescent="0.2">
      <c r="A489" s="23">
        <v>34547</v>
      </c>
      <c r="B489" s="43">
        <v>4.47</v>
      </c>
    </row>
    <row r="490" spans="1:2" x14ac:dyDescent="0.2">
      <c r="A490" s="23">
        <v>34578</v>
      </c>
      <c r="B490" s="43">
        <v>4.7300000000000004</v>
      </c>
    </row>
    <row r="491" spans="1:2" x14ac:dyDescent="0.2">
      <c r="A491" s="23">
        <v>34608</v>
      </c>
      <c r="B491" s="43">
        <v>4.76</v>
      </c>
    </row>
    <row r="492" spans="1:2" x14ac:dyDescent="0.2">
      <c r="A492" s="23">
        <v>34639</v>
      </c>
      <c r="B492" s="43">
        <v>5.29</v>
      </c>
    </row>
    <row r="493" spans="1:2" x14ac:dyDescent="0.2">
      <c r="A493" s="23">
        <v>34669</v>
      </c>
      <c r="B493" s="43">
        <v>5.45</v>
      </c>
    </row>
    <row r="494" spans="1:2" x14ac:dyDescent="0.2">
      <c r="A494" s="23">
        <v>34700</v>
      </c>
      <c r="B494" s="43">
        <v>5.53</v>
      </c>
    </row>
    <row r="495" spans="1:2" x14ac:dyDescent="0.2">
      <c r="A495" s="23">
        <v>34731</v>
      </c>
      <c r="B495" s="43">
        <v>5.92</v>
      </c>
    </row>
    <row r="496" spans="1:2" x14ac:dyDescent="0.2">
      <c r="A496" s="23">
        <v>34759</v>
      </c>
      <c r="B496" s="43">
        <v>5.98</v>
      </c>
    </row>
    <row r="497" spans="1:2" x14ac:dyDescent="0.2">
      <c r="A497" s="23">
        <v>34790</v>
      </c>
      <c r="B497" s="43">
        <v>6.05</v>
      </c>
    </row>
    <row r="498" spans="1:2" x14ac:dyDescent="0.2">
      <c r="A498" s="23">
        <v>34820</v>
      </c>
      <c r="B498" s="43">
        <v>6.01</v>
      </c>
    </row>
    <row r="499" spans="1:2" x14ac:dyDescent="0.2">
      <c r="A499" s="23">
        <v>34851</v>
      </c>
      <c r="B499" s="43">
        <v>6</v>
      </c>
    </row>
    <row r="500" spans="1:2" x14ac:dyDescent="0.2">
      <c r="A500" s="23">
        <v>34881</v>
      </c>
      <c r="B500" s="43">
        <v>5.85</v>
      </c>
    </row>
    <row r="501" spans="1:2" x14ac:dyDescent="0.2">
      <c r="A501" s="23">
        <v>34912</v>
      </c>
      <c r="B501" s="43">
        <v>5.74</v>
      </c>
    </row>
    <row r="502" spans="1:2" x14ac:dyDescent="0.2">
      <c r="A502" s="23">
        <v>34943</v>
      </c>
      <c r="B502" s="43">
        <v>5.8</v>
      </c>
    </row>
    <row r="503" spans="1:2" x14ac:dyDescent="0.2">
      <c r="A503" s="23">
        <v>34973</v>
      </c>
      <c r="B503" s="43">
        <v>5.76</v>
      </c>
    </row>
    <row r="504" spans="1:2" x14ac:dyDescent="0.2">
      <c r="A504" s="23">
        <v>35004</v>
      </c>
      <c r="B504" s="43">
        <v>5.8</v>
      </c>
    </row>
    <row r="505" spans="1:2" x14ac:dyDescent="0.2">
      <c r="A505" s="23">
        <v>35034</v>
      </c>
      <c r="B505" s="43">
        <v>5.6</v>
      </c>
    </row>
    <row r="506" spans="1:2" x14ac:dyDescent="0.2">
      <c r="A506" s="23">
        <v>35065</v>
      </c>
      <c r="B506" s="43">
        <v>5.56</v>
      </c>
    </row>
    <row r="507" spans="1:2" x14ac:dyDescent="0.2">
      <c r="A507" s="23">
        <v>35096</v>
      </c>
      <c r="B507" s="43">
        <v>5.22</v>
      </c>
    </row>
    <row r="508" spans="1:2" x14ac:dyDescent="0.2">
      <c r="A508" s="23">
        <v>35125</v>
      </c>
      <c r="B508" s="43">
        <v>5.31</v>
      </c>
    </row>
    <row r="509" spans="1:2" x14ac:dyDescent="0.2">
      <c r="A509" s="23">
        <v>35156</v>
      </c>
      <c r="B509" s="43">
        <v>5.22</v>
      </c>
    </row>
    <row r="510" spans="1:2" x14ac:dyDescent="0.2">
      <c r="A510" s="23">
        <v>35186</v>
      </c>
      <c r="B510" s="43">
        <v>5.24</v>
      </c>
    </row>
    <row r="511" spans="1:2" x14ac:dyDescent="0.2">
      <c r="A511" s="23">
        <v>35217</v>
      </c>
      <c r="B511" s="43">
        <v>5.27</v>
      </c>
    </row>
    <row r="512" spans="1:2" x14ac:dyDescent="0.2">
      <c r="A512" s="23">
        <v>35247</v>
      </c>
      <c r="B512" s="43">
        <v>5.4</v>
      </c>
    </row>
    <row r="513" spans="1:2" x14ac:dyDescent="0.2">
      <c r="A513" s="23">
        <v>35278</v>
      </c>
      <c r="B513" s="43">
        <v>5.22</v>
      </c>
    </row>
    <row r="514" spans="1:2" x14ac:dyDescent="0.2">
      <c r="A514" s="23">
        <v>35309</v>
      </c>
      <c r="B514" s="43">
        <v>5.3</v>
      </c>
    </row>
    <row r="515" spans="1:2" x14ac:dyDescent="0.2">
      <c r="A515" s="23">
        <v>35339</v>
      </c>
      <c r="B515" s="43">
        <v>5.24</v>
      </c>
    </row>
    <row r="516" spans="1:2" x14ac:dyDescent="0.2">
      <c r="A516" s="23">
        <v>35370</v>
      </c>
      <c r="B516" s="43">
        <v>5.31</v>
      </c>
    </row>
    <row r="517" spans="1:2" x14ac:dyDescent="0.2">
      <c r="A517" s="23">
        <v>35400</v>
      </c>
      <c r="B517" s="43">
        <v>5.29</v>
      </c>
    </row>
    <row r="518" spans="1:2" x14ac:dyDescent="0.2">
      <c r="A518" s="23">
        <v>35431</v>
      </c>
      <c r="B518" s="43">
        <v>5.25</v>
      </c>
    </row>
    <row r="519" spans="1:2" x14ac:dyDescent="0.2">
      <c r="A519" s="23">
        <v>35462</v>
      </c>
      <c r="B519" s="43">
        <v>5.19</v>
      </c>
    </row>
    <row r="520" spans="1:2" x14ac:dyDescent="0.2">
      <c r="A520" s="23">
        <v>35490</v>
      </c>
      <c r="B520" s="43">
        <v>5.39</v>
      </c>
    </row>
    <row r="521" spans="1:2" x14ac:dyDescent="0.2">
      <c r="A521" s="23">
        <v>35521</v>
      </c>
      <c r="B521" s="43">
        <v>5.51</v>
      </c>
    </row>
    <row r="522" spans="1:2" x14ac:dyDescent="0.2">
      <c r="A522" s="23">
        <v>35551</v>
      </c>
      <c r="B522" s="43">
        <v>5.5</v>
      </c>
    </row>
    <row r="523" spans="1:2" x14ac:dyDescent="0.2">
      <c r="A523" s="23">
        <v>35582</v>
      </c>
      <c r="B523" s="43">
        <v>5.56</v>
      </c>
    </row>
    <row r="524" spans="1:2" x14ac:dyDescent="0.2">
      <c r="A524" s="23">
        <v>35612</v>
      </c>
      <c r="B524" s="43">
        <v>5.52</v>
      </c>
    </row>
    <row r="525" spans="1:2" x14ac:dyDescent="0.2">
      <c r="A525" s="23">
        <v>35643</v>
      </c>
      <c r="B525" s="43">
        <v>5.54</v>
      </c>
    </row>
    <row r="526" spans="1:2" x14ac:dyDescent="0.2">
      <c r="A526" s="23">
        <v>35674</v>
      </c>
      <c r="B526" s="43">
        <v>5.54</v>
      </c>
    </row>
    <row r="527" spans="1:2" x14ac:dyDescent="0.2">
      <c r="A527" s="23">
        <v>35704</v>
      </c>
      <c r="B527" s="43">
        <v>5.5</v>
      </c>
    </row>
    <row r="528" spans="1:2" x14ac:dyDescent="0.2">
      <c r="A528" s="23">
        <v>35735</v>
      </c>
      <c r="B528" s="43">
        <v>5.52</v>
      </c>
    </row>
    <row r="529" spans="1:2" x14ac:dyDescent="0.2">
      <c r="A529" s="23">
        <v>35765</v>
      </c>
      <c r="B529" s="43">
        <v>5.5</v>
      </c>
    </row>
    <row r="530" spans="1:2" x14ac:dyDescent="0.2">
      <c r="A530" s="23">
        <v>35796</v>
      </c>
      <c r="B530" s="43">
        <v>5.56</v>
      </c>
    </row>
    <row r="531" spans="1:2" x14ac:dyDescent="0.2">
      <c r="A531" s="23">
        <v>35827</v>
      </c>
      <c r="B531" s="43">
        <v>5.51</v>
      </c>
    </row>
    <row r="532" spans="1:2" x14ac:dyDescent="0.2">
      <c r="A532" s="23">
        <v>35855</v>
      </c>
      <c r="B532" s="43">
        <v>5.49</v>
      </c>
    </row>
    <row r="533" spans="1:2" x14ac:dyDescent="0.2">
      <c r="A533" s="23">
        <v>35886</v>
      </c>
      <c r="B533" s="43">
        <v>5.45</v>
      </c>
    </row>
    <row r="534" spans="1:2" x14ac:dyDescent="0.2">
      <c r="A534" s="23">
        <v>35916</v>
      </c>
      <c r="B534" s="43">
        <v>5.49</v>
      </c>
    </row>
    <row r="535" spans="1:2" x14ac:dyDescent="0.2">
      <c r="A535" s="23">
        <v>35947</v>
      </c>
      <c r="B535" s="43">
        <v>5.56</v>
      </c>
    </row>
    <row r="536" spans="1:2" x14ac:dyDescent="0.2">
      <c r="A536" s="23">
        <v>35977</v>
      </c>
      <c r="B536" s="43">
        <v>5.54</v>
      </c>
    </row>
    <row r="537" spans="1:2" x14ac:dyDescent="0.2">
      <c r="A537" s="23">
        <v>36008</v>
      </c>
      <c r="B537" s="43">
        <v>5.55</v>
      </c>
    </row>
    <row r="538" spans="1:2" x14ac:dyDescent="0.2">
      <c r="A538" s="23">
        <v>36039</v>
      </c>
      <c r="B538" s="43">
        <v>5.51</v>
      </c>
    </row>
    <row r="539" spans="1:2" x14ac:dyDescent="0.2">
      <c r="A539" s="23">
        <v>36069</v>
      </c>
      <c r="B539" s="43">
        <v>5.07</v>
      </c>
    </row>
    <row r="540" spans="1:2" x14ac:dyDescent="0.2">
      <c r="A540" s="23">
        <v>36100</v>
      </c>
      <c r="B540" s="43">
        <v>4.83</v>
      </c>
    </row>
    <row r="541" spans="1:2" x14ac:dyDescent="0.2">
      <c r="A541" s="23">
        <v>36130</v>
      </c>
      <c r="B541" s="43">
        <v>4.68</v>
      </c>
    </row>
    <row r="542" spans="1:2" x14ac:dyDescent="0.2">
      <c r="A542" s="23">
        <v>36161</v>
      </c>
      <c r="B542" s="43">
        <v>4.63</v>
      </c>
    </row>
    <row r="543" spans="1:2" x14ac:dyDescent="0.2">
      <c r="A543" s="23">
        <v>36192</v>
      </c>
      <c r="B543" s="43">
        <v>4.76</v>
      </c>
    </row>
    <row r="544" spans="1:2" x14ac:dyDescent="0.2">
      <c r="A544" s="23">
        <v>36220</v>
      </c>
      <c r="B544" s="43">
        <v>4.8099999999999996</v>
      </c>
    </row>
    <row r="545" spans="1:2" x14ac:dyDescent="0.2">
      <c r="A545" s="23">
        <v>36251</v>
      </c>
      <c r="B545" s="43">
        <v>4.74</v>
      </c>
    </row>
    <row r="546" spans="1:2" x14ac:dyDescent="0.2">
      <c r="A546" s="23">
        <v>36281</v>
      </c>
      <c r="B546" s="43">
        <v>4.74</v>
      </c>
    </row>
    <row r="547" spans="1:2" x14ac:dyDescent="0.2">
      <c r="A547" s="23">
        <v>36312</v>
      </c>
      <c r="B547" s="43">
        <v>4.76</v>
      </c>
    </row>
    <row r="548" spans="1:2" x14ac:dyDescent="0.2">
      <c r="A548" s="23">
        <v>36342</v>
      </c>
      <c r="B548" s="43">
        <v>4.99</v>
      </c>
    </row>
    <row r="549" spans="1:2" x14ac:dyDescent="0.2">
      <c r="A549" s="23">
        <v>36373</v>
      </c>
      <c r="B549" s="43">
        <v>5.07</v>
      </c>
    </row>
    <row r="550" spans="1:2" x14ac:dyDescent="0.2">
      <c r="A550" s="23">
        <v>36404</v>
      </c>
      <c r="B550" s="43">
        <v>5.22</v>
      </c>
    </row>
    <row r="551" spans="1:2" x14ac:dyDescent="0.2">
      <c r="A551" s="23">
        <v>36434</v>
      </c>
      <c r="B551" s="43">
        <v>5.2</v>
      </c>
    </row>
    <row r="552" spans="1:2" x14ac:dyDescent="0.2">
      <c r="A552" s="23">
        <v>36465</v>
      </c>
      <c r="B552" s="43">
        <v>5.42</v>
      </c>
    </row>
    <row r="553" spans="1:2" x14ac:dyDescent="0.2">
      <c r="A553" s="23">
        <v>36495</v>
      </c>
      <c r="B553" s="43">
        <v>5.3</v>
      </c>
    </row>
    <row r="554" spans="1:2" x14ac:dyDescent="0.2">
      <c r="A554" s="23">
        <v>36526</v>
      </c>
      <c r="B554" s="43">
        <v>5.45</v>
      </c>
    </row>
    <row r="555" spans="1:2" x14ac:dyDescent="0.2">
      <c r="A555" s="23">
        <v>36557</v>
      </c>
      <c r="B555" s="43">
        <v>5.73</v>
      </c>
    </row>
    <row r="556" spans="1:2" x14ac:dyDescent="0.2">
      <c r="A556" s="23">
        <v>36586</v>
      </c>
      <c r="B556" s="43">
        <v>5.85</v>
      </c>
    </row>
    <row r="557" spans="1:2" x14ac:dyDescent="0.2">
      <c r="A557" s="23">
        <v>36617</v>
      </c>
      <c r="B557" s="43">
        <v>6.02</v>
      </c>
    </row>
    <row r="558" spans="1:2" x14ac:dyDescent="0.2">
      <c r="A558" s="23">
        <v>36647</v>
      </c>
      <c r="B558" s="43">
        <v>6.27</v>
      </c>
    </row>
    <row r="559" spans="1:2" x14ac:dyDescent="0.2">
      <c r="A559" s="23">
        <v>36678</v>
      </c>
      <c r="B559" s="43">
        <v>6.53</v>
      </c>
    </row>
    <row r="560" spans="1:2" x14ac:dyDescent="0.2">
      <c r="A560" s="23">
        <v>36708</v>
      </c>
      <c r="B560" s="43">
        <v>6.54</v>
      </c>
    </row>
    <row r="561" spans="1:2" x14ac:dyDescent="0.2">
      <c r="A561" s="23">
        <v>36739</v>
      </c>
      <c r="B561" s="43">
        <v>6.5</v>
      </c>
    </row>
    <row r="562" spans="1:2" x14ac:dyDescent="0.2">
      <c r="A562" s="23">
        <v>36770</v>
      </c>
      <c r="B562" s="43">
        <v>6.52</v>
      </c>
    </row>
    <row r="563" spans="1:2" x14ac:dyDescent="0.2">
      <c r="A563" s="23">
        <v>36800</v>
      </c>
      <c r="B563" s="43">
        <v>6.51</v>
      </c>
    </row>
    <row r="564" spans="1:2" x14ac:dyDescent="0.2">
      <c r="A564" s="23">
        <v>36831</v>
      </c>
      <c r="B564" s="43">
        <v>6.51</v>
      </c>
    </row>
    <row r="565" spans="1:2" x14ac:dyDescent="0.2">
      <c r="A565" s="23">
        <v>36861</v>
      </c>
      <c r="B565" s="43">
        <v>6.4</v>
      </c>
    </row>
    <row r="566" spans="1:2" x14ac:dyDescent="0.2">
      <c r="A566" s="23">
        <v>36892</v>
      </c>
      <c r="B566" s="43">
        <v>5.98</v>
      </c>
    </row>
    <row r="567" spans="1:2" x14ac:dyDescent="0.2">
      <c r="A567" s="23">
        <v>36923</v>
      </c>
      <c r="B567" s="43">
        <v>5.49</v>
      </c>
    </row>
    <row r="568" spans="1:2" x14ac:dyDescent="0.2">
      <c r="A568" s="23">
        <v>36951</v>
      </c>
      <c r="B568" s="43">
        <v>5.31</v>
      </c>
    </row>
    <row r="569" spans="1:2" x14ac:dyDescent="0.2">
      <c r="A569" s="23">
        <v>36982</v>
      </c>
      <c r="B569" s="43">
        <v>4.8</v>
      </c>
    </row>
    <row r="570" spans="1:2" x14ac:dyDescent="0.2">
      <c r="A570" s="23">
        <v>37012</v>
      </c>
      <c r="B570" s="43">
        <v>4.21</v>
      </c>
    </row>
    <row r="571" spans="1:2" x14ac:dyDescent="0.2">
      <c r="A571" s="23">
        <v>37043</v>
      </c>
      <c r="B571" s="43">
        <v>3.97</v>
      </c>
    </row>
    <row r="572" spans="1:2" x14ac:dyDescent="0.2">
      <c r="A572" s="23">
        <v>37073</v>
      </c>
      <c r="B572" s="43">
        <v>3.77</v>
      </c>
    </row>
    <row r="573" spans="1:2" x14ac:dyDescent="0.2">
      <c r="A573" s="23">
        <v>37104</v>
      </c>
      <c r="B573" s="43">
        <v>3.65</v>
      </c>
    </row>
    <row r="574" spans="1:2" x14ac:dyDescent="0.2">
      <c r="A574" s="23">
        <v>37135</v>
      </c>
      <c r="B574" s="43">
        <v>3.07</v>
      </c>
    </row>
    <row r="575" spans="1:2" x14ac:dyDescent="0.2">
      <c r="A575" s="23">
        <v>37165</v>
      </c>
      <c r="B575" s="43">
        <v>2.4900000000000002</v>
      </c>
    </row>
    <row r="576" spans="1:2" x14ac:dyDescent="0.2">
      <c r="A576" s="23">
        <v>37196</v>
      </c>
      <c r="B576" s="43">
        <v>2.09</v>
      </c>
    </row>
    <row r="577" spans="1:2" x14ac:dyDescent="0.2">
      <c r="A577" s="23">
        <v>37226</v>
      </c>
      <c r="B577" s="43">
        <v>1.82</v>
      </c>
    </row>
    <row r="578" spans="1:2" x14ac:dyDescent="0.2">
      <c r="A578" s="23">
        <v>37257</v>
      </c>
      <c r="B578" s="43">
        <v>1.73</v>
      </c>
    </row>
    <row r="579" spans="1:2" x14ac:dyDescent="0.2">
      <c r="A579" s="23">
        <v>37288</v>
      </c>
      <c r="B579" s="43">
        <v>1.74</v>
      </c>
    </row>
    <row r="580" spans="1:2" x14ac:dyDescent="0.2">
      <c r="A580" s="23">
        <v>37316</v>
      </c>
      <c r="B580" s="43">
        <v>1.73</v>
      </c>
    </row>
    <row r="581" spans="1:2" x14ac:dyDescent="0.2">
      <c r="A581" s="23">
        <v>37347</v>
      </c>
      <c r="B581" s="43">
        <v>1.75</v>
      </c>
    </row>
    <row r="582" spans="1:2" x14ac:dyDescent="0.2">
      <c r="A582" s="23">
        <v>37377</v>
      </c>
      <c r="B582" s="43">
        <v>1.75</v>
      </c>
    </row>
    <row r="583" spans="1:2" x14ac:dyDescent="0.2">
      <c r="A583" s="23">
        <v>37408</v>
      </c>
      <c r="B583" s="43">
        <v>1.75</v>
      </c>
    </row>
    <row r="584" spans="1:2" x14ac:dyDescent="0.2">
      <c r="A584" s="23">
        <v>37438</v>
      </c>
      <c r="B584" s="43">
        <v>1.73</v>
      </c>
    </row>
    <row r="585" spans="1:2" x14ac:dyDescent="0.2">
      <c r="A585" s="23">
        <v>37469</v>
      </c>
      <c r="B585" s="43">
        <v>1.74</v>
      </c>
    </row>
    <row r="586" spans="1:2" x14ac:dyDescent="0.2">
      <c r="A586" s="23">
        <v>37500</v>
      </c>
      <c r="B586" s="43">
        <v>1.75</v>
      </c>
    </row>
    <row r="587" spans="1:2" x14ac:dyDescent="0.2">
      <c r="A587" s="23">
        <v>37530</v>
      </c>
      <c r="B587" s="43">
        <v>1.75</v>
      </c>
    </row>
    <row r="588" spans="1:2" x14ac:dyDescent="0.2">
      <c r="A588" s="23">
        <v>37561</v>
      </c>
      <c r="B588" s="43">
        <v>1.34</v>
      </c>
    </row>
    <row r="589" spans="1:2" x14ac:dyDescent="0.2">
      <c r="A589" s="23">
        <v>37591</v>
      </c>
      <c r="B589" s="43">
        <v>1.24</v>
      </c>
    </row>
    <row r="590" spans="1:2" x14ac:dyDescent="0.2">
      <c r="A590" s="23">
        <v>37622</v>
      </c>
      <c r="B590" s="43">
        <v>1.24</v>
      </c>
    </row>
    <row r="591" spans="1:2" x14ac:dyDescent="0.2">
      <c r="A591" s="23">
        <v>37653</v>
      </c>
      <c r="B591" s="43">
        <v>1.26</v>
      </c>
    </row>
    <row r="592" spans="1:2" x14ac:dyDescent="0.2">
      <c r="A592" s="23">
        <v>37681</v>
      </c>
      <c r="B592" s="43">
        <v>1.25</v>
      </c>
    </row>
    <row r="593" spans="1:2" x14ac:dyDescent="0.2">
      <c r="A593" s="23">
        <v>37712</v>
      </c>
      <c r="B593" s="43">
        <v>1.26</v>
      </c>
    </row>
    <row r="594" spans="1:2" x14ac:dyDescent="0.2">
      <c r="A594" s="23">
        <v>37742</v>
      </c>
      <c r="B594" s="43">
        <v>1.26</v>
      </c>
    </row>
    <row r="595" spans="1:2" x14ac:dyDescent="0.2">
      <c r="A595" s="23">
        <v>37773</v>
      </c>
      <c r="B595" s="43">
        <v>1.22</v>
      </c>
    </row>
    <row r="596" spans="1:2" x14ac:dyDescent="0.2">
      <c r="A596" s="23">
        <v>37803</v>
      </c>
      <c r="B596" s="43">
        <v>1.01</v>
      </c>
    </row>
    <row r="597" spans="1:2" x14ac:dyDescent="0.2">
      <c r="A597" s="23">
        <v>37834</v>
      </c>
      <c r="B597" s="43">
        <v>1.03</v>
      </c>
    </row>
    <row r="598" spans="1:2" x14ac:dyDescent="0.2">
      <c r="A598" s="23">
        <v>37865</v>
      </c>
      <c r="B598" s="43">
        <v>1.01</v>
      </c>
    </row>
    <row r="599" spans="1:2" x14ac:dyDescent="0.2">
      <c r="A599" s="23">
        <v>37895</v>
      </c>
      <c r="B599" s="43">
        <v>1.01</v>
      </c>
    </row>
    <row r="600" spans="1:2" x14ac:dyDescent="0.2">
      <c r="A600" s="23">
        <v>37926</v>
      </c>
      <c r="B600" s="43">
        <v>1</v>
      </c>
    </row>
    <row r="601" spans="1:2" x14ac:dyDescent="0.2">
      <c r="A601" s="23">
        <v>37956</v>
      </c>
      <c r="B601" s="43">
        <v>0.98</v>
      </c>
    </row>
    <row r="602" spans="1:2" x14ac:dyDescent="0.2">
      <c r="A602" s="23">
        <v>37987</v>
      </c>
      <c r="B602" s="43">
        <v>1</v>
      </c>
    </row>
    <row r="603" spans="1:2" x14ac:dyDescent="0.2">
      <c r="A603" s="23">
        <v>38018</v>
      </c>
      <c r="B603" s="43">
        <v>1.01</v>
      </c>
    </row>
    <row r="604" spans="1:2" x14ac:dyDescent="0.2">
      <c r="A604" s="23">
        <v>38047</v>
      </c>
      <c r="B604" s="43">
        <v>1</v>
      </c>
    </row>
    <row r="605" spans="1:2" x14ac:dyDescent="0.2">
      <c r="A605" s="23">
        <v>38078</v>
      </c>
      <c r="B605" s="43">
        <v>1</v>
      </c>
    </row>
    <row r="606" spans="1:2" x14ac:dyDescent="0.2">
      <c r="A606" s="23">
        <v>38108</v>
      </c>
      <c r="B606" s="43">
        <v>1</v>
      </c>
    </row>
    <row r="607" spans="1:2" x14ac:dyDescent="0.2">
      <c r="A607" s="23">
        <v>38139</v>
      </c>
      <c r="B607" s="43">
        <v>1.03</v>
      </c>
    </row>
    <row r="608" spans="1:2" x14ac:dyDescent="0.2">
      <c r="A608" s="23">
        <v>38169</v>
      </c>
      <c r="B608" s="43">
        <v>1.26</v>
      </c>
    </row>
    <row r="609" spans="1:2" x14ac:dyDescent="0.2">
      <c r="A609" s="23">
        <v>38200</v>
      </c>
      <c r="B609" s="43">
        <v>1.43</v>
      </c>
    </row>
    <row r="610" spans="1:2" x14ac:dyDescent="0.2">
      <c r="A610" s="23">
        <v>38231</v>
      </c>
      <c r="B610" s="43">
        <v>1.61</v>
      </c>
    </row>
    <row r="611" spans="1:2" x14ac:dyDescent="0.2">
      <c r="A611" s="23">
        <v>38261</v>
      </c>
      <c r="B611" s="43">
        <v>1.76</v>
      </c>
    </row>
    <row r="612" spans="1:2" x14ac:dyDescent="0.2">
      <c r="A612" s="23">
        <v>38292</v>
      </c>
      <c r="B612" s="43">
        <v>1.93</v>
      </c>
    </row>
    <row r="613" spans="1:2" x14ac:dyDescent="0.2">
      <c r="A613" s="23">
        <v>38322</v>
      </c>
      <c r="B613" s="43">
        <v>2.16</v>
      </c>
    </row>
    <row r="614" spans="1:2" x14ac:dyDescent="0.2">
      <c r="A614" s="23">
        <v>38353</v>
      </c>
      <c r="B614" s="43">
        <v>2.2799999999999998</v>
      </c>
    </row>
    <row r="615" spans="1:2" x14ac:dyDescent="0.2">
      <c r="A615" s="23">
        <v>38384</v>
      </c>
      <c r="B615" s="43">
        <v>2.5</v>
      </c>
    </row>
    <row r="616" spans="1:2" x14ac:dyDescent="0.2">
      <c r="A616" s="23">
        <v>38412</v>
      </c>
      <c r="B616" s="43">
        <v>2.63</v>
      </c>
    </row>
    <row r="617" spans="1:2" x14ac:dyDescent="0.2">
      <c r="A617" s="23">
        <v>38443</v>
      </c>
      <c r="B617" s="43">
        <v>2.79</v>
      </c>
    </row>
    <row r="618" spans="1:2" x14ac:dyDescent="0.2">
      <c r="A618" s="23">
        <v>38473</v>
      </c>
      <c r="B618" s="43">
        <v>3</v>
      </c>
    </row>
    <row r="619" spans="1:2" x14ac:dyDescent="0.2">
      <c r="A619" s="23">
        <v>38504</v>
      </c>
      <c r="B619" s="43">
        <v>3.04</v>
      </c>
    </row>
    <row r="620" spans="1:2" x14ac:dyDescent="0.2">
      <c r="A620" s="23">
        <v>38534</v>
      </c>
      <c r="B620" s="43">
        <v>3.26</v>
      </c>
    </row>
    <row r="621" spans="1:2" x14ac:dyDescent="0.2">
      <c r="A621" s="23">
        <v>38565</v>
      </c>
      <c r="B621" s="43">
        <v>3.5</v>
      </c>
    </row>
    <row r="622" spans="1:2" x14ac:dyDescent="0.2">
      <c r="A622" s="23">
        <v>38596</v>
      </c>
      <c r="B622" s="43">
        <v>3.62</v>
      </c>
    </row>
    <row r="623" spans="1:2" x14ac:dyDescent="0.2">
      <c r="A623" s="23">
        <v>38626</v>
      </c>
      <c r="B623" s="43">
        <v>3.78</v>
      </c>
    </row>
    <row r="624" spans="1:2" x14ac:dyDescent="0.2">
      <c r="A624" s="23">
        <v>38657</v>
      </c>
      <c r="B624" s="43">
        <v>4</v>
      </c>
    </row>
    <row r="625" spans="1:2" x14ac:dyDescent="0.2">
      <c r="A625" s="23">
        <v>38687</v>
      </c>
      <c r="B625" s="43">
        <v>4.16</v>
      </c>
    </row>
    <row r="626" spans="1:2" x14ac:dyDescent="0.2">
      <c r="A626" s="23">
        <v>38718</v>
      </c>
      <c r="B626" s="43">
        <v>4.29</v>
      </c>
    </row>
    <row r="627" spans="1:2" x14ac:dyDescent="0.2">
      <c r="A627" s="23">
        <v>38749</v>
      </c>
      <c r="B627" s="43">
        <v>4.49</v>
      </c>
    </row>
    <row r="628" spans="1:2" x14ac:dyDescent="0.2">
      <c r="A628" s="23">
        <v>38777</v>
      </c>
      <c r="B628" s="43">
        <v>4.59</v>
      </c>
    </row>
    <row r="629" spans="1:2" x14ac:dyDescent="0.2">
      <c r="A629" s="23">
        <v>38808</v>
      </c>
      <c r="B629" s="43">
        <v>4.79</v>
      </c>
    </row>
    <row r="630" spans="1:2" x14ac:dyDescent="0.2">
      <c r="A630" s="23">
        <v>38838</v>
      </c>
      <c r="B630" s="43">
        <v>4.9400000000000004</v>
      </c>
    </row>
    <row r="631" spans="1:2" x14ac:dyDescent="0.2">
      <c r="A631" s="23">
        <v>38869</v>
      </c>
      <c r="B631" s="43">
        <v>4.99</v>
      </c>
    </row>
    <row r="632" spans="1:2" x14ac:dyDescent="0.2">
      <c r="A632" s="23">
        <v>38899</v>
      </c>
      <c r="B632" s="43">
        <v>5.24</v>
      </c>
    </row>
    <row r="633" spans="1:2" x14ac:dyDescent="0.2">
      <c r="A633" s="23">
        <v>38930</v>
      </c>
      <c r="B633" s="43">
        <v>5.25</v>
      </c>
    </row>
    <row r="634" spans="1:2" x14ac:dyDescent="0.2">
      <c r="A634" s="23">
        <v>38961</v>
      </c>
      <c r="B634" s="43">
        <v>5.25</v>
      </c>
    </row>
    <row r="635" spans="1:2" x14ac:dyDescent="0.2">
      <c r="A635" s="23">
        <v>38991</v>
      </c>
      <c r="B635" s="43">
        <v>5.25</v>
      </c>
    </row>
    <row r="636" spans="1:2" x14ac:dyDescent="0.2">
      <c r="A636" s="23">
        <v>39022</v>
      </c>
      <c r="B636" s="43">
        <v>5.25</v>
      </c>
    </row>
    <row r="637" spans="1:2" x14ac:dyDescent="0.2">
      <c r="A637" s="23">
        <v>39052</v>
      </c>
      <c r="B637" s="43">
        <v>5.24</v>
      </c>
    </row>
    <row r="638" spans="1:2" x14ac:dyDescent="0.2">
      <c r="A638" s="23">
        <v>39083</v>
      </c>
      <c r="B638" s="43">
        <v>5.25</v>
      </c>
    </row>
    <row r="639" spans="1:2" x14ac:dyDescent="0.2">
      <c r="A639" s="23">
        <v>39114</v>
      </c>
      <c r="B639" s="43">
        <v>5.26</v>
      </c>
    </row>
    <row r="640" spans="1:2" x14ac:dyDescent="0.2">
      <c r="A640" s="23">
        <v>39142</v>
      </c>
      <c r="B640" s="43">
        <v>5.26</v>
      </c>
    </row>
    <row r="641" spans="1:2" x14ac:dyDescent="0.2">
      <c r="A641" s="23">
        <v>39173</v>
      </c>
      <c r="B641" s="43">
        <v>5.25</v>
      </c>
    </row>
    <row r="642" spans="1:2" x14ac:dyDescent="0.2">
      <c r="A642" s="23">
        <v>39203</v>
      </c>
      <c r="B642" s="43">
        <v>5.25</v>
      </c>
    </row>
    <row r="643" spans="1:2" x14ac:dyDescent="0.2">
      <c r="A643" s="23">
        <v>39234</v>
      </c>
      <c r="B643" s="43">
        <v>5.25</v>
      </c>
    </row>
    <row r="644" spans="1:2" x14ac:dyDescent="0.2">
      <c r="A644" s="23">
        <v>39264</v>
      </c>
      <c r="B644" s="43">
        <v>5.26</v>
      </c>
    </row>
    <row r="645" spans="1:2" x14ac:dyDescent="0.2">
      <c r="A645" s="23">
        <v>39295</v>
      </c>
      <c r="B645" s="43">
        <v>5.0199999999999996</v>
      </c>
    </row>
    <row r="646" spans="1:2" x14ac:dyDescent="0.2">
      <c r="A646" s="23">
        <v>39326</v>
      </c>
      <c r="B646" s="43">
        <v>4.9400000000000004</v>
      </c>
    </row>
    <row r="647" spans="1:2" x14ac:dyDescent="0.2">
      <c r="A647" s="23">
        <v>39356</v>
      </c>
      <c r="B647" s="43">
        <v>4.76</v>
      </c>
    </row>
    <row r="648" spans="1:2" x14ac:dyDescent="0.2">
      <c r="A648" s="23">
        <v>39387</v>
      </c>
      <c r="B648" s="43">
        <v>4.49</v>
      </c>
    </row>
    <row r="649" spans="1:2" x14ac:dyDescent="0.2">
      <c r="A649" s="23">
        <v>39417</v>
      </c>
      <c r="B649" s="43">
        <v>4.24</v>
      </c>
    </row>
    <row r="650" spans="1:2" x14ac:dyDescent="0.2">
      <c r="A650" s="23">
        <v>39448</v>
      </c>
      <c r="B650" s="43">
        <v>3.94</v>
      </c>
    </row>
    <row r="651" spans="1:2" x14ac:dyDescent="0.2">
      <c r="A651" s="23">
        <v>39479</v>
      </c>
      <c r="B651" s="43">
        <v>2.98</v>
      </c>
    </row>
    <row r="652" spans="1:2" x14ac:dyDescent="0.2">
      <c r="A652" s="23">
        <v>39508</v>
      </c>
      <c r="B652" s="43">
        <v>2.61</v>
      </c>
    </row>
    <row r="653" spans="1:2" x14ac:dyDescent="0.2">
      <c r="A653" s="23">
        <v>39539</v>
      </c>
      <c r="B653" s="43">
        <v>2.2799999999999998</v>
      </c>
    </row>
    <row r="654" spans="1:2" x14ac:dyDescent="0.2">
      <c r="A654" s="23">
        <v>39569</v>
      </c>
      <c r="B654" s="43">
        <v>1.98</v>
      </c>
    </row>
    <row r="655" spans="1:2" x14ac:dyDescent="0.2">
      <c r="A655" s="23">
        <v>39600</v>
      </c>
      <c r="B655" s="43">
        <v>2</v>
      </c>
    </row>
    <row r="656" spans="1:2" x14ac:dyDescent="0.2">
      <c r="A656" s="23">
        <v>39630</v>
      </c>
      <c r="B656" s="43">
        <v>2.0099999999999998</v>
      </c>
    </row>
    <row r="657" spans="1:2" x14ac:dyDescent="0.2">
      <c r="A657" s="23">
        <v>39661</v>
      </c>
      <c r="B657" s="43">
        <v>2</v>
      </c>
    </row>
    <row r="658" spans="1:2" x14ac:dyDescent="0.2">
      <c r="A658" s="23">
        <v>39692</v>
      </c>
      <c r="B658" s="43">
        <v>1.81</v>
      </c>
    </row>
    <row r="659" spans="1:2" x14ac:dyDescent="0.2">
      <c r="A659" s="23">
        <v>39722</v>
      </c>
      <c r="B659" s="43">
        <v>0.97</v>
      </c>
    </row>
    <row r="660" spans="1:2" x14ac:dyDescent="0.2">
      <c r="A660" s="23">
        <v>39753</v>
      </c>
      <c r="B660" s="43">
        <v>0.39</v>
      </c>
    </row>
    <row r="661" spans="1:2" x14ac:dyDescent="0.2">
      <c r="A661" s="23">
        <v>39783</v>
      </c>
      <c r="B661" s="43">
        <v>0.16</v>
      </c>
    </row>
    <row r="662" spans="1:2" x14ac:dyDescent="0.2">
      <c r="A662" s="23">
        <v>39814</v>
      </c>
      <c r="B662" s="43">
        <v>0.15</v>
      </c>
    </row>
    <row r="663" spans="1:2" x14ac:dyDescent="0.2">
      <c r="A663" s="23">
        <v>39845</v>
      </c>
      <c r="B663" s="43">
        <v>0.22</v>
      </c>
    </row>
    <row r="664" spans="1:2" x14ac:dyDescent="0.2">
      <c r="A664" s="23">
        <v>39873</v>
      </c>
      <c r="B664" s="43">
        <v>0.18</v>
      </c>
    </row>
    <row r="665" spans="1:2" x14ac:dyDescent="0.2">
      <c r="A665" s="23">
        <v>39904</v>
      </c>
      <c r="B665" s="43">
        <v>0.15</v>
      </c>
    </row>
    <row r="666" spans="1:2" x14ac:dyDescent="0.2">
      <c r="A666" s="23">
        <v>39934</v>
      </c>
      <c r="B666" s="43">
        <v>0.18</v>
      </c>
    </row>
    <row r="667" spans="1:2" x14ac:dyDescent="0.2">
      <c r="A667" s="23">
        <v>39965</v>
      </c>
      <c r="B667" s="43">
        <v>0.21</v>
      </c>
    </row>
    <row r="668" spans="1:2" x14ac:dyDescent="0.2">
      <c r="A668" s="23">
        <v>39995</v>
      </c>
      <c r="B668" s="43">
        <v>0.16</v>
      </c>
    </row>
    <row r="669" spans="1:2" x14ac:dyDescent="0.2">
      <c r="A669" s="23">
        <v>40026</v>
      </c>
      <c r="B669" s="43">
        <v>0.16</v>
      </c>
    </row>
    <row r="670" spans="1:2" x14ac:dyDescent="0.2">
      <c r="A670" s="23">
        <v>40057</v>
      </c>
      <c r="B670" s="43">
        <v>0.15</v>
      </c>
    </row>
    <row r="671" spans="1:2" x14ac:dyDescent="0.2">
      <c r="A671" s="23">
        <v>40087</v>
      </c>
      <c r="B671" s="43">
        <v>0.12</v>
      </c>
    </row>
    <row r="672" spans="1:2" x14ac:dyDescent="0.2">
      <c r="A672" s="23">
        <v>40118</v>
      </c>
      <c r="B672" s="43">
        <v>0.12</v>
      </c>
    </row>
    <row r="673" spans="1:2" x14ac:dyDescent="0.2">
      <c r="A673" s="23">
        <v>40148</v>
      </c>
      <c r="B673" s="43">
        <v>0.12</v>
      </c>
    </row>
    <row r="674" spans="1:2" x14ac:dyDescent="0.2">
      <c r="A674" s="23">
        <v>40179</v>
      </c>
      <c r="B674" s="43">
        <v>0.11</v>
      </c>
    </row>
    <row r="675" spans="1:2" x14ac:dyDescent="0.2">
      <c r="A675" s="23">
        <v>40210</v>
      </c>
      <c r="B675" s="43">
        <v>0.13</v>
      </c>
    </row>
    <row r="676" spans="1:2" x14ac:dyDescent="0.2">
      <c r="A676" s="23">
        <v>40238</v>
      </c>
      <c r="B676" s="43">
        <v>0.16</v>
      </c>
    </row>
    <row r="677" spans="1:2" x14ac:dyDescent="0.2">
      <c r="A677" s="23">
        <v>40269</v>
      </c>
      <c r="B677" s="43">
        <v>0.2</v>
      </c>
    </row>
    <row r="678" spans="1:2" x14ac:dyDescent="0.2">
      <c r="A678" s="23">
        <v>40299</v>
      </c>
      <c r="B678" s="43">
        <v>0.2</v>
      </c>
    </row>
    <row r="679" spans="1:2" x14ac:dyDescent="0.2">
      <c r="A679" s="23">
        <v>40330</v>
      </c>
      <c r="B679" s="43">
        <v>0.18</v>
      </c>
    </row>
    <row r="680" spans="1:2" x14ac:dyDescent="0.2">
      <c r="A680" s="23">
        <v>40360</v>
      </c>
      <c r="B680" s="43">
        <v>0.18</v>
      </c>
    </row>
    <row r="681" spans="1:2" x14ac:dyDescent="0.2">
      <c r="A681" s="23">
        <v>40391</v>
      </c>
      <c r="B681" s="43">
        <v>0.19</v>
      </c>
    </row>
    <row r="682" spans="1:2" x14ac:dyDescent="0.2">
      <c r="A682" s="23">
        <v>40422</v>
      </c>
      <c r="B682" s="43">
        <v>0.19</v>
      </c>
    </row>
    <row r="683" spans="1:2" x14ac:dyDescent="0.2">
      <c r="A683" s="23">
        <v>40452</v>
      </c>
      <c r="B683" s="43">
        <v>0.19</v>
      </c>
    </row>
    <row r="684" spans="1:2" x14ac:dyDescent="0.2">
      <c r="A684" s="23">
        <v>40483</v>
      </c>
      <c r="B684" s="43">
        <v>0.19</v>
      </c>
    </row>
    <row r="685" spans="1:2" x14ac:dyDescent="0.2">
      <c r="A685" s="23">
        <v>40513</v>
      </c>
      <c r="B685" s="43">
        <v>0.18</v>
      </c>
    </row>
    <row r="686" spans="1:2" x14ac:dyDescent="0.2">
      <c r="A686" s="23">
        <v>40544</v>
      </c>
      <c r="B686" s="43">
        <v>0.17</v>
      </c>
    </row>
    <row r="687" spans="1:2" x14ac:dyDescent="0.2">
      <c r="A687" s="23">
        <v>40575</v>
      </c>
      <c r="B687" s="43">
        <v>0.16</v>
      </c>
    </row>
    <row r="688" spans="1:2" x14ac:dyDescent="0.2">
      <c r="A688" s="23">
        <v>40603</v>
      </c>
      <c r="B688" s="43">
        <v>0.14000000000000001</v>
      </c>
    </row>
    <row r="689" spans="1:2" x14ac:dyDescent="0.2">
      <c r="A689" s="23">
        <v>40634</v>
      </c>
      <c r="B689" s="43">
        <v>0.1</v>
      </c>
    </row>
    <row r="690" spans="1:2" x14ac:dyDescent="0.2">
      <c r="A690" s="23">
        <v>40664</v>
      </c>
      <c r="B690" s="43">
        <v>0.09</v>
      </c>
    </row>
    <row r="691" spans="1:2" x14ac:dyDescent="0.2">
      <c r="A691" s="23">
        <v>40695</v>
      </c>
      <c r="B691" s="43">
        <v>0.09</v>
      </c>
    </row>
    <row r="692" spans="1:2" x14ac:dyDescent="0.2">
      <c r="A692" s="23">
        <v>40725</v>
      </c>
      <c r="B692" s="43">
        <v>7.0000000000000007E-2</v>
      </c>
    </row>
    <row r="693" spans="1:2" x14ac:dyDescent="0.2">
      <c r="A693" s="23">
        <v>40756</v>
      </c>
      <c r="B693" s="43">
        <v>0.1</v>
      </c>
    </row>
    <row r="694" spans="1:2" x14ac:dyDescent="0.2">
      <c r="A694" s="23">
        <v>40787</v>
      </c>
      <c r="B694" s="43">
        <v>0.08</v>
      </c>
    </row>
    <row r="695" spans="1:2" x14ac:dyDescent="0.2">
      <c r="A695" s="23">
        <v>40817</v>
      </c>
      <c r="B695" s="43">
        <v>7.0000000000000007E-2</v>
      </c>
    </row>
    <row r="696" spans="1:2" x14ac:dyDescent="0.2">
      <c r="A696" s="23">
        <v>40848</v>
      </c>
      <c r="B696" s="43">
        <v>0.08</v>
      </c>
    </row>
    <row r="697" spans="1:2" x14ac:dyDescent="0.2">
      <c r="A697" s="23">
        <v>40878</v>
      </c>
      <c r="B697" s="43">
        <v>7.0000000000000007E-2</v>
      </c>
    </row>
    <row r="698" spans="1:2" x14ac:dyDescent="0.2">
      <c r="A698" s="23">
        <v>40909</v>
      </c>
      <c r="B698" s="43">
        <v>0.08</v>
      </c>
    </row>
    <row r="699" spans="1:2" x14ac:dyDescent="0.2">
      <c r="A699" s="23">
        <v>40940</v>
      </c>
      <c r="B699" s="43">
        <v>0.1</v>
      </c>
    </row>
    <row r="700" spans="1:2" x14ac:dyDescent="0.2">
      <c r="A700" s="23">
        <v>40969</v>
      </c>
      <c r="B700" s="43">
        <v>0.13</v>
      </c>
    </row>
    <row r="701" spans="1:2" x14ac:dyDescent="0.2">
      <c r="A701" s="23">
        <v>41000</v>
      </c>
      <c r="B701" s="43">
        <v>0.14000000000000001</v>
      </c>
    </row>
    <row r="702" spans="1:2" x14ac:dyDescent="0.2">
      <c r="A702" s="23">
        <v>41030</v>
      </c>
      <c r="B702" s="43">
        <v>0.16</v>
      </c>
    </row>
    <row r="703" spans="1:2" x14ac:dyDescent="0.2">
      <c r="A703" s="23">
        <v>41061</v>
      </c>
      <c r="B703" s="43">
        <v>0.16</v>
      </c>
    </row>
    <row r="704" spans="1:2" x14ac:dyDescent="0.2">
      <c r="A704" s="23">
        <v>41091</v>
      </c>
      <c r="B704" s="43">
        <v>0.16</v>
      </c>
    </row>
    <row r="705" spans="1:2" x14ac:dyDescent="0.2">
      <c r="A705" s="23">
        <v>41122</v>
      </c>
      <c r="B705" s="43">
        <v>0.13</v>
      </c>
    </row>
    <row r="706" spans="1:2" x14ac:dyDescent="0.2">
      <c r="A706" s="23">
        <v>41153</v>
      </c>
      <c r="B706" s="43">
        <v>0.14000000000000001</v>
      </c>
    </row>
    <row r="707" spans="1:2" x14ac:dyDescent="0.2">
      <c r="A707" s="23">
        <v>41183</v>
      </c>
      <c r="B707" s="43">
        <v>0.16</v>
      </c>
    </row>
    <row r="708" spans="1:2" x14ac:dyDescent="0.2">
      <c r="A708" s="23">
        <v>41214</v>
      </c>
      <c r="B708" s="43">
        <v>0.16</v>
      </c>
    </row>
    <row r="709" spans="1:2" x14ac:dyDescent="0.2">
      <c r="A709" s="23">
        <v>41244</v>
      </c>
      <c r="B709" s="43">
        <v>0.16</v>
      </c>
    </row>
    <row r="710" spans="1:2" x14ac:dyDescent="0.2">
      <c r="A710" s="23">
        <v>41275</v>
      </c>
      <c r="B710" s="43">
        <v>0.14000000000000001</v>
      </c>
    </row>
    <row r="711" spans="1:2" x14ac:dyDescent="0.2">
      <c r="A711" s="23">
        <v>41306</v>
      </c>
      <c r="B711" s="43">
        <v>0.15</v>
      </c>
    </row>
    <row r="712" spans="1:2" x14ac:dyDescent="0.2">
      <c r="A712" s="23">
        <v>41334</v>
      </c>
      <c r="B712" s="43">
        <v>0.14000000000000001</v>
      </c>
    </row>
    <row r="713" spans="1:2" x14ac:dyDescent="0.2">
      <c r="A713" s="23">
        <v>41365</v>
      </c>
      <c r="B713" s="43">
        <v>0.15</v>
      </c>
    </row>
    <row r="714" spans="1:2" x14ac:dyDescent="0.2">
      <c r="A714" s="23">
        <v>41395</v>
      </c>
      <c r="B714" s="43">
        <v>0.11</v>
      </c>
    </row>
    <row r="715" spans="1:2" x14ac:dyDescent="0.2">
      <c r="A715" s="23">
        <v>41426</v>
      </c>
      <c r="B715" s="43">
        <v>0.09</v>
      </c>
    </row>
    <row r="716" spans="1:2" x14ac:dyDescent="0.2">
      <c r="A716" s="23">
        <v>41456</v>
      </c>
      <c r="B716" s="43">
        <v>0.09</v>
      </c>
    </row>
    <row r="717" spans="1:2" x14ac:dyDescent="0.2">
      <c r="A717" s="23">
        <v>41487</v>
      </c>
      <c r="B717" s="43">
        <v>0.08</v>
      </c>
    </row>
    <row r="718" spans="1:2" x14ac:dyDescent="0.2">
      <c r="A718" s="23">
        <v>41518</v>
      </c>
      <c r="B718" s="43">
        <v>0.08</v>
      </c>
    </row>
    <row r="719" spans="1:2" x14ac:dyDescent="0.2">
      <c r="A719" s="23">
        <v>41548</v>
      </c>
      <c r="B719" s="43">
        <v>0.09</v>
      </c>
    </row>
    <row r="720" spans="1:2" x14ac:dyDescent="0.2">
      <c r="A720" s="23">
        <v>41579</v>
      </c>
      <c r="B720" s="43">
        <v>0.08</v>
      </c>
    </row>
    <row r="721" spans="1:2" x14ac:dyDescent="0.2">
      <c r="A721" s="23">
        <v>41609</v>
      </c>
      <c r="B721" s="43">
        <v>0.09</v>
      </c>
    </row>
    <row r="722" spans="1:2" x14ac:dyDescent="0.2">
      <c r="A722" s="23">
        <v>41640</v>
      </c>
      <c r="B722" s="43">
        <v>7.0000000000000007E-2</v>
      </c>
    </row>
    <row r="723" spans="1:2" x14ac:dyDescent="0.2">
      <c r="A723" s="23">
        <v>41671</v>
      </c>
      <c r="B723" s="43">
        <v>7.0000000000000007E-2</v>
      </c>
    </row>
    <row r="724" spans="1:2" x14ac:dyDescent="0.2">
      <c r="A724" s="23">
        <v>41699</v>
      </c>
      <c r="B724" s="43">
        <v>0.08</v>
      </c>
    </row>
    <row r="725" spans="1:2" x14ac:dyDescent="0.2">
      <c r="A725" s="23">
        <v>41730</v>
      </c>
      <c r="B725" s="43">
        <v>0.09</v>
      </c>
    </row>
    <row r="726" spans="1:2" x14ac:dyDescent="0.2">
      <c r="A726" s="23">
        <v>41760</v>
      </c>
      <c r="B726" s="43">
        <v>0.09</v>
      </c>
    </row>
    <row r="727" spans="1:2" x14ac:dyDescent="0.2">
      <c r="A727" s="23">
        <v>41791</v>
      </c>
      <c r="B727" s="43">
        <v>0.1</v>
      </c>
    </row>
    <row r="728" spans="1:2" x14ac:dyDescent="0.2">
      <c r="A728" s="23">
        <v>41821</v>
      </c>
      <c r="B728" s="43">
        <v>0.09</v>
      </c>
    </row>
    <row r="729" spans="1:2" x14ac:dyDescent="0.2">
      <c r="A729" s="23">
        <v>41852</v>
      </c>
      <c r="B729" s="43">
        <v>0.09</v>
      </c>
    </row>
    <row r="730" spans="1:2" x14ac:dyDescent="0.2">
      <c r="A730" s="23">
        <v>41883</v>
      </c>
      <c r="B730" s="43">
        <v>0.09</v>
      </c>
    </row>
    <row r="731" spans="1:2" x14ac:dyDescent="0.2">
      <c r="A731" s="23">
        <v>41913</v>
      </c>
      <c r="B731" s="43">
        <v>0.09</v>
      </c>
    </row>
    <row r="732" spans="1:2" x14ac:dyDescent="0.2">
      <c r="A732" s="23">
        <v>41944</v>
      </c>
      <c r="B732" s="43">
        <v>0.09</v>
      </c>
    </row>
    <row r="733" spans="1:2" x14ac:dyDescent="0.2">
      <c r="A733" s="23">
        <v>41974</v>
      </c>
      <c r="B733" s="43">
        <v>0.12</v>
      </c>
    </row>
    <row r="734" spans="1:2" x14ac:dyDescent="0.2">
      <c r="A734" s="23">
        <v>42005</v>
      </c>
      <c r="B734" s="43">
        <v>0.11</v>
      </c>
    </row>
    <row r="735" spans="1:2" x14ac:dyDescent="0.2">
      <c r="A735" s="23">
        <v>42036</v>
      </c>
      <c r="B735" s="43">
        <v>0.11</v>
      </c>
    </row>
    <row r="736" spans="1:2" x14ac:dyDescent="0.2">
      <c r="A736" s="23">
        <v>42064</v>
      </c>
      <c r="B736" s="43">
        <v>0.11</v>
      </c>
    </row>
    <row r="737" spans="1:2" x14ac:dyDescent="0.2">
      <c r="A737" s="23">
        <v>42095</v>
      </c>
      <c r="B737" s="43">
        <v>0.12</v>
      </c>
    </row>
    <row r="738" spans="1:2" x14ac:dyDescent="0.2">
      <c r="A738" s="23">
        <v>42125</v>
      </c>
      <c r="B738" s="43">
        <v>0.12</v>
      </c>
    </row>
    <row r="739" spans="1:2" x14ac:dyDescent="0.2">
      <c r="A739" s="23">
        <v>42156</v>
      </c>
      <c r="B739" s="43">
        <v>0.13</v>
      </c>
    </row>
    <row r="740" spans="1:2" x14ac:dyDescent="0.2">
      <c r="A740" s="23">
        <v>42186</v>
      </c>
      <c r="B740" s="43">
        <v>0.13</v>
      </c>
    </row>
    <row r="741" spans="1:2" x14ac:dyDescent="0.2">
      <c r="A741" s="23">
        <v>42217</v>
      </c>
      <c r="B741" s="43">
        <v>0.14000000000000001</v>
      </c>
    </row>
    <row r="742" spans="1:2" x14ac:dyDescent="0.2">
      <c r="A742" s="23">
        <v>42248</v>
      </c>
      <c r="B742" s="43">
        <v>0.14000000000000001</v>
      </c>
    </row>
    <row r="743" spans="1:2" x14ac:dyDescent="0.2">
      <c r="A743" s="23">
        <v>42278</v>
      </c>
      <c r="B743" s="43">
        <v>0.12</v>
      </c>
    </row>
    <row r="744" spans="1:2" x14ac:dyDescent="0.2">
      <c r="A744" s="23">
        <v>42309</v>
      </c>
      <c r="B744" s="43">
        <v>0.12</v>
      </c>
    </row>
    <row r="745" spans="1:2" x14ac:dyDescent="0.2">
      <c r="A745" s="23">
        <v>42339</v>
      </c>
      <c r="B745" s="43">
        <v>0.24</v>
      </c>
    </row>
    <row r="746" spans="1:2" x14ac:dyDescent="0.2">
      <c r="A746" s="23">
        <v>42370</v>
      </c>
      <c r="B746" s="43">
        <v>0.34</v>
      </c>
    </row>
    <row r="747" spans="1:2" x14ac:dyDescent="0.2">
      <c r="A747" s="23">
        <v>42401</v>
      </c>
      <c r="B747" s="43">
        <v>0.38</v>
      </c>
    </row>
    <row r="748" spans="1:2" x14ac:dyDescent="0.2">
      <c r="A748" s="23">
        <v>42430</v>
      </c>
      <c r="B748" s="43">
        <v>0.36</v>
      </c>
    </row>
    <row r="749" spans="1:2" x14ac:dyDescent="0.2">
      <c r="A749" s="23">
        <v>42461</v>
      </c>
      <c r="B749" s="43">
        <v>0.37</v>
      </c>
    </row>
    <row r="750" spans="1:2" x14ac:dyDescent="0.2">
      <c r="A750" s="23">
        <v>42491</v>
      </c>
      <c r="B750" s="43">
        <v>0.37</v>
      </c>
    </row>
    <row r="751" spans="1:2" x14ac:dyDescent="0.2">
      <c r="A751" s="23">
        <v>42522</v>
      </c>
      <c r="B751" s="43">
        <v>0.38</v>
      </c>
    </row>
    <row r="752" spans="1:2" x14ac:dyDescent="0.2">
      <c r="A752" s="23">
        <v>42552</v>
      </c>
      <c r="B752" s="43">
        <v>0.39</v>
      </c>
    </row>
    <row r="753" spans="1:2" x14ac:dyDescent="0.2">
      <c r="A753" s="23">
        <v>42583</v>
      </c>
      <c r="B753" s="43">
        <v>0.4</v>
      </c>
    </row>
    <row r="754" spans="1:2" x14ac:dyDescent="0.2">
      <c r="A754" s="23">
        <v>42614</v>
      </c>
      <c r="B754" s="43">
        <v>0.4</v>
      </c>
    </row>
    <row r="755" spans="1:2" x14ac:dyDescent="0.2">
      <c r="A755" s="23">
        <v>42644</v>
      </c>
      <c r="B755" s="43">
        <v>0.4</v>
      </c>
    </row>
    <row r="756" spans="1:2" x14ac:dyDescent="0.2">
      <c r="A756" s="23">
        <v>42675</v>
      </c>
      <c r="B756" s="43">
        <v>0.41</v>
      </c>
    </row>
    <row r="757" spans="1:2" x14ac:dyDescent="0.2">
      <c r="A757" s="23">
        <v>42705</v>
      </c>
      <c r="B757" s="43">
        <v>0.54</v>
      </c>
    </row>
    <row r="758" spans="1:2" x14ac:dyDescent="0.2">
      <c r="A758" s="23">
        <v>42736</v>
      </c>
      <c r="B758" s="43">
        <v>0.65</v>
      </c>
    </row>
    <row r="759" spans="1:2" x14ac:dyDescent="0.2">
      <c r="A759" s="23">
        <v>42767</v>
      </c>
      <c r="B759" s="43">
        <v>0.66</v>
      </c>
    </row>
    <row r="760" spans="1:2" x14ac:dyDescent="0.2">
      <c r="A760" s="23">
        <v>42795</v>
      </c>
      <c r="B760" s="43">
        <v>0.79</v>
      </c>
    </row>
    <row r="761" spans="1:2" x14ac:dyDescent="0.2">
      <c r="A761" s="23">
        <v>42826</v>
      </c>
      <c r="B761" s="43">
        <v>0.9</v>
      </c>
    </row>
    <row r="762" spans="1:2" x14ac:dyDescent="0.2">
      <c r="A762" s="23">
        <v>42856</v>
      </c>
      <c r="B762" s="43">
        <v>0.91</v>
      </c>
    </row>
    <row r="763" spans="1:2" x14ac:dyDescent="0.2">
      <c r="A763" s="23">
        <v>42887</v>
      </c>
      <c r="B763" s="43">
        <v>1.04</v>
      </c>
    </row>
    <row r="764" spans="1:2" x14ac:dyDescent="0.2">
      <c r="A764" s="23">
        <v>42917</v>
      </c>
      <c r="B764" s="43">
        <v>1.1499999999999999</v>
      </c>
    </row>
    <row r="765" spans="1:2" x14ac:dyDescent="0.2">
      <c r="A765" s="23">
        <v>42948</v>
      </c>
      <c r="B765" s="43">
        <v>1.1599999999999999</v>
      </c>
    </row>
    <row r="766" spans="1:2" x14ac:dyDescent="0.2">
      <c r="A766" s="23">
        <v>42979</v>
      </c>
      <c r="B766" s="43">
        <v>1.1499999999999999</v>
      </c>
    </row>
    <row r="767" spans="1:2" x14ac:dyDescent="0.2">
      <c r="A767" s="23">
        <v>43009</v>
      </c>
      <c r="B767" s="43">
        <v>1.1499999999999999</v>
      </c>
    </row>
    <row r="768" spans="1:2" x14ac:dyDescent="0.2">
      <c r="A768" s="23">
        <v>43040</v>
      </c>
      <c r="B768" s="43">
        <v>1.1599999999999999</v>
      </c>
    </row>
    <row r="769" spans="1:2" x14ac:dyDescent="0.2">
      <c r="A769" s="23">
        <v>43070</v>
      </c>
      <c r="B769" s="43">
        <v>1.3</v>
      </c>
    </row>
    <row r="770" spans="1:2" x14ac:dyDescent="0.2">
      <c r="A770" s="23">
        <v>43101</v>
      </c>
      <c r="B770" s="43">
        <v>1.41</v>
      </c>
    </row>
    <row r="771" spans="1:2" x14ac:dyDescent="0.2">
      <c r="A771" s="23">
        <v>43132</v>
      </c>
      <c r="B771" s="43">
        <v>1.42</v>
      </c>
    </row>
    <row r="772" spans="1:2" x14ac:dyDescent="0.2">
      <c r="A772" s="23">
        <v>43160</v>
      </c>
      <c r="B772" s="43">
        <v>1.51</v>
      </c>
    </row>
    <row r="773" spans="1:2" x14ac:dyDescent="0.2">
      <c r="A773" s="23">
        <v>43191</v>
      </c>
      <c r="B773" s="43">
        <v>1.69</v>
      </c>
    </row>
    <row r="774" spans="1:2" x14ac:dyDescent="0.2">
      <c r="A774" s="23">
        <v>43221</v>
      </c>
      <c r="B774" s="43">
        <v>1.7</v>
      </c>
    </row>
    <row r="775" spans="1:2" x14ac:dyDescent="0.2">
      <c r="A775" s="23">
        <v>43252</v>
      </c>
      <c r="B775" s="43">
        <v>1.82</v>
      </c>
    </row>
    <row r="776" spans="1:2" x14ac:dyDescent="0.2">
      <c r="A776" s="23">
        <v>43282</v>
      </c>
      <c r="B776" s="43">
        <v>1.91</v>
      </c>
    </row>
    <row r="777" spans="1:2" x14ac:dyDescent="0.2">
      <c r="A777" s="23">
        <v>43313</v>
      </c>
      <c r="B777" s="43">
        <v>1.91</v>
      </c>
    </row>
    <row r="778" spans="1:2" x14ac:dyDescent="0.2">
      <c r="A778" s="23">
        <v>43344</v>
      </c>
      <c r="B778" s="43">
        <v>1.95</v>
      </c>
    </row>
    <row r="779" spans="1:2" x14ac:dyDescent="0.2">
      <c r="A779" s="23">
        <v>43374</v>
      </c>
      <c r="B779" s="43">
        <v>2.19</v>
      </c>
    </row>
    <row r="780" spans="1:2" x14ac:dyDescent="0.2">
      <c r="A780" s="23">
        <v>43405</v>
      </c>
      <c r="B780" s="43">
        <v>2.2000000000000002</v>
      </c>
    </row>
    <row r="781" spans="1:2" x14ac:dyDescent="0.2">
      <c r="A781" s="23">
        <v>43435</v>
      </c>
      <c r="B781" s="43">
        <v>2.27</v>
      </c>
    </row>
    <row r="782" spans="1:2" x14ac:dyDescent="0.2">
      <c r="A782" s="23">
        <v>43466</v>
      </c>
      <c r="B782" s="43">
        <v>2.4</v>
      </c>
    </row>
    <row r="783" spans="1:2" x14ac:dyDescent="0.2">
      <c r="A783" s="23">
        <v>43497</v>
      </c>
      <c r="B783" s="43">
        <v>2.4</v>
      </c>
    </row>
    <row r="784" spans="1:2" x14ac:dyDescent="0.2">
      <c r="A784" s="23">
        <v>43525</v>
      </c>
      <c r="B784" s="43">
        <v>2.41</v>
      </c>
    </row>
    <row r="785" spans="1:2" x14ac:dyDescent="0.2">
      <c r="A785" s="48">
        <v>43556</v>
      </c>
      <c r="B785" s="49">
        <v>2.42</v>
      </c>
    </row>
    <row r="786" spans="1:2" x14ac:dyDescent="0.2">
      <c r="A786" s="23">
        <v>43586</v>
      </c>
      <c r="B786" s="43">
        <v>2.39</v>
      </c>
    </row>
    <row r="787" spans="1:2" x14ac:dyDescent="0.2">
      <c r="A787" s="23">
        <v>43617</v>
      </c>
      <c r="B787" s="43">
        <v>2.38</v>
      </c>
    </row>
    <row r="788" spans="1:2" x14ac:dyDescent="0.2">
      <c r="A788" s="23">
        <v>43647</v>
      </c>
      <c r="B788" s="43">
        <v>2.4</v>
      </c>
    </row>
    <row r="789" spans="1:2" x14ac:dyDescent="0.2">
      <c r="A789" s="23">
        <v>43678</v>
      </c>
      <c r="B789" s="43">
        <v>2.13</v>
      </c>
    </row>
    <row r="790" spans="1:2" x14ac:dyDescent="0.2">
      <c r="A790" s="23">
        <v>43709</v>
      </c>
      <c r="B790" s="43">
        <v>2.04</v>
      </c>
    </row>
    <row r="791" spans="1:2" x14ac:dyDescent="0.2">
      <c r="A791" s="23">
        <v>43739</v>
      </c>
      <c r="B791" s="43">
        <v>1.83</v>
      </c>
    </row>
    <row r="792" spans="1:2" x14ac:dyDescent="0.2">
      <c r="A792" s="23">
        <v>43770</v>
      </c>
      <c r="B792" s="43">
        <v>1.55</v>
      </c>
    </row>
    <row r="793" spans="1:2" x14ac:dyDescent="0.2">
      <c r="A793" s="23">
        <v>43800</v>
      </c>
      <c r="B793" s="43">
        <v>1.55</v>
      </c>
    </row>
    <row r="794" spans="1:2" x14ac:dyDescent="0.2">
      <c r="A794" s="23">
        <v>43831</v>
      </c>
      <c r="B794" s="43">
        <v>1.55</v>
      </c>
    </row>
    <row r="795" spans="1:2" x14ac:dyDescent="0.2">
      <c r="A795" s="23">
        <v>43862</v>
      </c>
      <c r="B795" s="43">
        <v>1.58</v>
      </c>
    </row>
    <row r="796" spans="1:2" x14ac:dyDescent="0.2">
      <c r="A796" s="33">
        <v>43891</v>
      </c>
      <c r="B796" s="44">
        <v>0.65</v>
      </c>
    </row>
    <row r="797" spans="1:2" x14ac:dyDescent="0.2">
      <c r="A797" s="23">
        <v>43922</v>
      </c>
      <c r="B797" s="43">
        <v>0.05</v>
      </c>
    </row>
    <row r="798" spans="1:2" x14ac:dyDescent="0.2">
      <c r="A798" s="33">
        <v>43952</v>
      </c>
      <c r="B798" s="44">
        <v>0.05</v>
      </c>
    </row>
    <row r="799" spans="1:2" x14ac:dyDescent="0.2">
      <c r="A799" s="23">
        <v>43983</v>
      </c>
      <c r="B799" s="43">
        <v>0.08</v>
      </c>
    </row>
    <row r="800" spans="1:2" x14ac:dyDescent="0.2">
      <c r="A800" s="33">
        <v>44013</v>
      </c>
      <c r="B800" s="44">
        <v>0.09</v>
      </c>
    </row>
    <row r="801" spans="1:2" x14ac:dyDescent="0.2">
      <c r="A801" s="23">
        <v>44044</v>
      </c>
      <c r="B801" s="43">
        <v>0.1</v>
      </c>
    </row>
    <row r="802" spans="1:2" x14ac:dyDescent="0.2">
      <c r="A802" s="33">
        <v>44075</v>
      </c>
      <c r="B802" s="44">
        <v>0.09</v>
      </c>
    </row>
    <row r="803" spans="1:2" x14ac:dyDescent="0.2">
      <c r="A803" s="23">
        <v>44105</v>
      </c>
      <c r="B803" s="43">
        <v>0.09</v>
      </c>
    </row>
    <row r="804" spans="1:2" x14ac:dyDescent="0.2">
      <c r="A804" s="33">
        <v>44136</v>
      </c>
      <c r="B804" s="44">
        <v>0.09</v>
      </c>
    </row>
    <row r="805" spans="1:2" x14ac:dyDescent="0.2">
      <c r="A805" s="23">
        <v>44166</v>
      </c>
      <c r="B805" s="43">
        <v>0.09</v>
      </c>
    </row>
    <row r="806" spans="1:2" x14ac:dyDescent="0.2">
      <c r="A806" s="33">
        <v>44197</v>
      </c>
      <c r="B806" s="44">
        <v>0.09</v>
      </c>
    </row>
    <row r="807" spans="1:2" x14ac:dyDescent="0.2">
      <c r="A807" s="23">
        <v>44228</v>
      </c>
      <c r="B807" s="43">
        <v>0.08</v>
      </c>
    </row>
    <row r="808" spans="1:2" x14ac:dyDescent="0.2">
      <c r="A808" s="33">
        <v>44256</v>
      </c>
      <c r="B808" s="44">
        <v>7.0000000000000007E-2</v>
      </c>
    </row>
    <row r="809" spans="1:2" x14ac:dyDescent="0.2">
      <c r="A809" s="23">
        <v>44287</v>
      </c>
      <c r="B809" s="43">
        <v>7.0000000000000007E-2</v>
      </c>
    </row>
    <row r="810" spans="1:2" x14ac:dyDescent="0.2">
      <c r="A810" s="33">
        <v>44317</v>
      </c>
      <c r="B810" s="44">
        <v>0.06</v>
      </c>
    </row>
    <row r="811" spans="1:2" x14ac:dyDescent="0.2">
      <c r="A811" s="23">
        <v>44348</v>
      </c>
      <c r="B811" s="43">
        <v>0.08</v>
      </c>
    </row>
    <row r="812" spans="1:2" x14ac:dyDescent="0.2">
      <c r="A812" s="33">
        <v>44378</v>
      </c>
      <c r="B812" s="44">
        <v>0.1</v>
      </c>
    </row>
    <row r="813" spans="1:2" x14ac:dyDescent="0.2">
      <c r="A813" s="23">
        <v>44409</v>
      </c>
      <c r="B813" s="43">
        <v>0.09</v>
      </c>
    </row>
  </sheetData>
  <hyperlinks>
    <hyperlink ref="A1" r:id="rId1" xr:uid="{7FBE3D09-926D-41BE-A93F-8A4D0A1A95A1}"/>
  </hyperlinks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FE0D-F4C7-40C2-8543-23C32FC566A7}">
  <dimension ref="A1:E757"/>
  <sheetViews>
    <sheetView tabSelected="1" zoomScale="140" zoomScaleNormal="140" workbookViewId="0">
      <selection activeCell="K768" sqref="K768"/>
    </sheetView>
  </sheetViews>
  <sheetFormatPr baseColWidth="10" defaultColWidth="9.1640625" defaultRowHeight="15" x14ac:dyDescent="0.2"/>
  <cols>
    <col min="1" max="1" width="16.6640625" style="5" customWidth="1"/>
    <col min="2" max="2" width="19" style="5" customWidth="1"/>
    <col min="3" max="3" width="14.6640625" style="5" customWidth="1"/>
    <col min="4" max="4" width="14.6640625" style="1" customWidth="1"/>
    <col min="5" max="5" width="18.1640625" style="1" customWidth="1"/>
    <col min="6" max="16384" width="9.1640625" style="1"/>
  </cols>
  <sheetData>
    <row r="1" spans="1:5" x14ac:dyDescent="0.2">
      <c r="A1" s="1" t="s">
        <v>62</v>
      </c>
    </row>
    <row r="3" spans="1:5" x14ac:dyDescent="0.2">
      <c r="A3" s="1" t="s">
        <v>29</v>
      </c>
      <c r="B3" s="7">
        <f>AVERAGE(D8:D755)</f>
        <v>7.248727516861285E-2</v>
      </c>
    </row>
    <row r="4" spans="1:5" x14ac:dyDescent="0.2">
      <c r="A4" s="1"/>
      <c r="B4" s="7">
        <f>_xlfn.STDEV.S(D8:D755)</f>
        <v>6.6970805680020187E-2</v>
      </c>
    </row>
    <row r="5" spans="1:5" ht="16" thickBot="1" x14ac:dyDescent="0.25"/>
    <row r="6" spans="1:5" ht="39.75" customHeight="1" thickBot="1" x14ac:dyDescent="0.25">
      <c r="A6" s="61" t="s">
        <v>30</v>
      </c>
      <c r="B6" s="62" t="s">
        <v>31</v>
      </c>
      <c r="C6" s="63" t="s">
        <v>63</v>
      </c>
      <c r="D6" s="63" t="s">
        <v>64</v>
      </c>
      <c r="E6" s="64" t="s">
        <v>61</v>
      </c>
    </row>
    <row r="7" spans="1:5" x14ac:dyDescent="0.2">
      <c r="A7" s="58">
        <v>21551</v>
      </c>
      <c r="B7" s="59">
        <v>286.60000000000002</v>
      </c>
      <c r="C7" s="60"/>
      <c r="D7" s="60"/>
      <c r="E7" s="60"/>
    </row>
    <row r="8" spans="1:5" x14ac:dyDescent="0.2">
      <c r="A8" s="50">
        <v>21582</v>
      </c>
      <c r="B8" s="51">
        <v>287.7</v>
      </c>
      <c r="C8" s="53">
        <f>(Table267[[#This Row],[M2 Money Stock, Billions of Dollars, Weekly, Seasonally Adjusted]]-B7)/B7</f>
        <v>3.8381018841589874E-3</v>
      </c>
      <c r="D8" s="54">
        <f>((1+Table267[[#This Row],[Monthly change]])^12)-1</f>
        <v>4.7042017029254479E-2</v>
      </c>
      <c r="E8" s="52"/>
    </row>
    <row r="9" spans="1:5" x14ac:dyDescent="0.2">
      <c r="A9" s="50">
        <v>21610</v>
      </c>
      <c r="B9" s="51">
        <v>289.2</v>
      </c>
      <c r="C9" s="53">
        <f>(Table267[[#This Row],[M2 Money Stock, Billions of Dollars, Weekly, Seasonally Adjusted]]-B8)/B8</f>
        <v>5.2137643378519297E-3</v>
      </c>
      <c r="D9" s="54">
        <f>((1+Table267[[#This Row],[Monthly change]])^12)-1</f>
        <v>6.4390821296760548E-2</v>
      </c>
      <c r="E9" s="52"/>
    </row>
    <row r="10" spans="1:5" x14ac:dyDescent="0.2">
      <c r="A10" s="50">
        <v>21641</v>
      </c>
      <c r="B10" s="51">
        <v>290.10000000000002</v>
      </c>
      <c r="C10" s="53">
        <f>(Table267[[#This Row],[M2 Money Stock, Billions of Dollars, Weekly, Seasonally Adjusted]]-B9)/B9</f>
        <v>3.1120331950208651E-3</v>
      </c>
      <c r="D10" s="54">
        <f>((1+Table267[[#This Row],[Monthly change]])^12)-1</f>
        <v>3.7990269178933556E-2</v>
      </c>
      <c r="E10" s="52"/>
    </row>
    <row r="11" spans="1:5" x14ac:dyDescent="0.2">
      <c r="A11" s="50">
        <v>21671</v>
      </c>
      <c r="B11" s="51">
        <v>292.2</v>
      </c>
      <c r="C11" s="53">
        <f>(Table267[[#This Row],[M2 Money Stock, Billions of Dollars, Weekly, Seasonally Adjusted]]-B10)/B10</f>
        <v>7.2388831437434189E-3</v>
      </c>
      <c r="D11" s="54">
        <f>((1+Table267[[#This Row],[Monthly change]])^12)-1</f>
        <v>9.0409919272929296E-2</v>
      </c>
      <c r="E11" s="52"/>
    </row>
    <row r="12" spans="1:5" x14ac:dyDescent="0.2">
      <c r="A12" s="50">
        <v>21702</v>
      </c>
      <c r="B12" s="51">
        <v>294.10000000000002</v>
      </c>
      <c r="C12" s="53">
        <f>(Table267[[#This Row],[M2 Money Stock, Billions of Dollars, Weekly, Seasonally Adjusted]]-B11)/B11</f>
        <v>6.5023956194388572E-3</v>
      </c>
      <c r="D12" s="54">
        <f>((1+Table267[[#This Row],[Monthly change]])^12)-1</f>
        <v>8.0880681765962859E-2</v>
      </c>
      <c r="E12" s="52"/>
    </row>
    <row r="13" spans="1:5" x14ac:dyDescent="0.2">
      <c r="A13" s="50">
        <v>21732</v>
      </c>
      <c r="B13" s="51">
        <v>295.2</v>
      </c>
      <c r="C13" s="53">
        <f>(Table267[[#This Row],[M2 Money Stock, Billions of Dollars, Weekly, Seasonally Adjusted]]-B12)/B12</f>
        <v>3.7402244134646916E-3</v>
      </c>
      <c r="D13" s="54">
        <f>((1+Table267[[#This Row],[Monthly change]])^12)-1</f>
        <v>4.5817593876198659E-2</v>
      </c>
      <c r="E13" s="52"/>
    </row>
    <row r="14" spans="1:5" x14ac:dyDescent="0.2">
      <c r="A14" s="50">
        <v>21763</v>
      </c>
      <c r="B14" s="51">
        <v>296.39999999999998</v>
      </c>
      <c r="C14" s="53">
        <f>(Table267[[#This Row],[M2 Money Stock, Billions of Dollars, Weekly, Seasonally Adjusted]]-B13)/B13</f>
        <v>4.0650406504064655E-3</v>
      </c>
      <c r="D14" s="54">
        <f>((1+Table267[[#This Row],[Monthly change]])^12)-1</f>
        <v>4.9886022573404576E-2</v>
      </c>
      <c r="E14" s="52"/>
    </row>
    <row r="15" spans="1:5" x14ac:dyDescent="0.2">
      <c r="A15" s="50">
        <v>21794</v>
      </c>
      <c r="B15" s="51">
        <v>296.7</v>
      </c>
      <c r="C15" s="53">
        <f>(Table267[[#This Row],[M2 Money Stock, Billions of Dollars, Weekly, Seasonally Adjusted]]-B14)/B14</f>
        <v>1.0121457489878926E-3</v>
      </c>
      <c r="D15" s="54">
        <f>((1+Table267[[#This Row],[Monthly change]])^12)-1</f>
        <v>1.2213590597274226E-2</v>
      </c>
      <c r="E15" s="52"/>
    </row>
    <row r="16" spans="1:5" x14ac:dyDescent="0.2">
      <c r="A16" s="50">
        <v>21824</v>
      </c>
      <c r="B16" s="51">
        <v>296.5</v>
      </c>
      <c r="C16" s="53">
        <f>(Table267[[#This Row],[M2 Money Stock, Billions of Dollars, Weekly, Seasonally Adjusted]]-B15)/B15</f>
        <v>-6.7408156386918993E-4</v>
      </c>
      <c r="D16" s="54">
        <f>((1+Table267[[#This Row],[Monthly change]])^12)-1</f>
        <v>-8.0590565758287269E-3</v>
      </c>
      <c r="E16" s="52"/>
    </row>
    <row r="17" spans="1:5" x14ac:dyDescent="0.2">
      <c r="A17" s="50">
        <v>21855</v>
      </c>
      <c r="B17" s="51">
        <v>297.10000000000002</v>
      </c>
      <c r="C17" s="53">
        <f>(Table267[[#This Row],[M2 Money Stock, Billions of Dollars, Weekly, Seasonally Adjusted]]-B16)/B16</f>
        <v>2.0236087689714088E-3</v>
      </c>
      <c r="D17" s="54">
        <f>((1+Table267[[#This Row],[Monthly change]])^12)-1</f>
        <v>2.4555406122701129E-2</v>
      </c>
      <c r="E17" s="52"/>
    </row>
    <row r="18" spans="1:5" x14ac:dyDescent="0.2">
      <c r="A18" s="50">
        <v>21885</v>
      </c>
      <c r="B18" s="51">
        <v>297.8</v>
      </c>
      <c r="C18" s="53">
        <f>(Table267[[#This Row],[M2 Money Stock, Billions of Dollars, Weekly, Seasonally Adjusted]]-B17)/B17</f>
        <v>2.3561090541904697E-3</v>
      </c>
      <c r="D18" s="54">
        <f>((1+Table267[[#This Row],[Monthly change]])^12)-1</f>
        <v>2.864258391084018E-2</v>
      </c>
      <c r="E18" s="52"/>
    </row>
    <row r="19" spans="1:5" x14ac:dyDescent="0.2">
      <c r="A19" s="50">
        <v>21916</v>
      </c>
      <c r="B19" s="51">
        <v>298.2</v>
      </c>
      <c r="C19" s="53">
        <f>(Table267[[#This Row],[M2 Money Stock, Billions of Dollars, Weekly, Seasonally Adjusted]]-B18)/B18</f>
        <v>1.3431833445264514E-3</v>
      </c>
      <c r="D19" s="54">
        <f>((1+Table267[[#This Row],[Monthly change]])^12)-1</f>
        <v>1.623780821219678E-2</v>
      </c>
      <c r="E19" s="53">
        <f>(Table267[[#This Row],[M2 Money Stock, Billions of Dollars, Weekly, Seasonally Adjusted]]-B7)/B7</f>
        <v>4.0474528960223188E-2</v>
      </c>
    </row>
    <row r="20" spans="1:5" x14ac:dyDescent="0.2">
      <c r="A20" s="50">
        <v>21947</v>
      </c>
      <c r="B20" s="51">
        <v>298.39999999999998</v>
      </c>
      <c r="C20" s="53">
        <f>(Table267[[#This Row],[M2 Money Stock, Billions of Dollars, Weekly, Seasonally Adjusted]]-B19)/B19</f>
        <v>6.7069081153584389E-4</v>
      </c>
      <c r="D20" s="54">
        <f>((1+Table267[[#This Row],[Monthly change]])^12)-1</f>
        <v>8.0780447383088649E-3</v>
      </c>
      <c r="E20" s="53">
        <f>(Table267[[#This Row],[M2 Money Stock, Billions of Dollars, Weekly, Seasonally Adjusted]]-B8)/B8</f>
        <v>3.7191518943343722E-2</v>
      </c>
    </row>
    <row r="21" spans="1:5" x14ac:dyDescent="0.2">
      <c r="A21" s="50">
        <v>21976</v>
      </c>
      <c r="B21" s="51">
        <v>299.3</v>
      </c>
      <c r="C21" s="53">
        <f>(Table267[[#This Row],[M2 Money Stock, Billions of Dollars, Weekly, Seasonally Adjusted]]-B20)/B20</f>
        <v>3.0160857908848328E-3</v>
      </c>
      <c r="D21" s="54">
        <f>((1+Table267[[#This Row],[Monthly change]])^12)-1</f>
        <v>3.6799493764583913E-2</v>
      </c>
      <c r="E21" s="53">
        <f>(Table267[[#This Row],[M2 Money Stock, Billions of Dollars, Weekly, Seasonally Adjusted]]-B9)/B9</f>
        <v>3.4923928077455126E-2</v>
      </c>
    </row>
    <row r="22" spans="1:5" x14ac:dyDescent="0.2">
      <c r="A22" s="50">
        <v>22007</v>
      </c>
      <c r="B22" s="51">
        <v>300.10000000000002</v>
      </c>
      <c r="C22" s="53">
        <f>(Table267[[#This Row],[M2 Money Stock, Billions of Dollars, Weekly, Seasonally Adjusted]]-B21)/B21</f>
        <v>2.6729034413632185E-3</v>
      </c>
      <c r="D22" s="54">
        <f>((1+Table267[[#This Row],[Monthly change]])^12)-1</f>
        <v>3.2550599107734612E-2</v>
      </c>
      <c r="E22" s="53">
        <f>(Table267[[#This Row],[M2 Money Stock, Billions of Dollars, Weekly, Seasonally Adjusted]]-B10)/B10</f>
        <v>3.447087211306446E-2</v>
      </c>
    </row>
    <row r="23" spans="1:5" x14ac:dyDescent="0.2">
      <c r="A23" s="50">
        <v>22037</v>
      </c>
      <c r="B23" s="51">
        <v>300.89999999999998</v>
      </c>
      <c r="C23" s="53">
        <f>(Table267[[#This Row],[M2 Money Stock, Billions of Dollars, Weekly, Seasonally Adjusted]]-B22)/B22</f>
        <v>2.6657780739751898E-3</v>
      </c>
      <c r="D23" s="54">
        <f>((1+Table267[[#This Row],[Monthly change]])^12)-1</f>
        <v>3.246255027601852E-2</v>
      </c>
      <c r="E23" s="53">
        <f>(Table267[[#This Row],[M2 Money Stock, Billions of Dollars, Weekly, Seasonally Adjusted]]-B11)/B11</f>
        <v>2.9774127310061564E-2</v>
      </c>
    </row>
    <row r="24" spans="1:5" x14ac:dyDescent="0.2">
      <c r="A24" s="50">
        <v>22068</v>
      </c>
      <c r="B24" s="51">
        <v>302.3</v>
      </c>
      <c r="C24" s="53">
        <f>(Table267[[#This Row],[M2 Money Stock, Billions of Dollars, Weekly, Seasonally Adjusted]]-B23)/B23</f>
        <v>4.6527085410436502E-3</v>
      </c>
      <c r="D24" s="54">
        <f>((1+Table267[[#This Row],[Monthly change]])^12)-1</f>
        <v>5.7283642676941415E-2</v>
      </c>
      <c r="E24" s="53">
        <f>(Table267[[#This Row],[M2 Money Stock, Billions of Dollars, Weekly, Seasonally Adjusted]]-B12)/B12</f>
        <v>2.788167290037398E-2</v>
      </c>
    </row>
    <row r="25" spans="1:5" x14ac:dyDescent="0.2">
      <c r="A25" s="50">
        <v>22098</v>
      </c>
      <c r="B25" s="51">
        <v>304.10000000000002</v>
      </c>
      <c r="C25" s="53">
        <f>(Table267[[#This Row],[M2 Money Stock, Billions of Dollars, Weekly, Seasonally Adjusted]]-B24)/B24</f>
        <v>5.9543499834601764E-3</v>
      </c>
      <c r="D25" s="54">
        <f>((1+Table267[[#This Row],[Monthly change]])^12)-1</f>
        <v>7.3839254301748314E-2</v>
      </c>
      <c r="E25" s="53">
        <f>(Table267[[#This Row],[M2 Money Stock, Billions of Dollars, Weekly, Seasonally Adjusted]]-B13)/B13</f>
        <v>3.0149051490515021E-2</v>
      </c>
    </row>
    <row r="26" spans="1:5" x14ac:dyDescent="0.2">
      <c r="A26" s="50">
        <v>22129</v>
      </c>
      <c r="B26" s="51">
        <v>306.89999999999998</v>
      </c>
      <c r="C26" s="53">
        <f>(Table267[[#This Row],[M2 Money Stock, Billions of Dollars, Weekly, Seasonally Adjusted]]-B25)/B25</f>
        <v>9.2074975337058679E-3</v>
      </c>
      <c r="D26" s="54">
        <f>((1+Table267[[#This Row],[Monthly change]])^12)-1</f>
        <v>0.11626066034990168</v>
      </c>
      <c r="E26" s="53">
        <f>(Table267[[#This Row],[M2 Money Stock, Billions of Dollars, Weekly, Seasonally Adjusted]]-B14)/B14</f>
        <v>3.54251012145749E-2</v>
      </c>
    </row>
    <row r="27" spans="1:5" x14ac:dyDescent="0.2">
      <c r="A27" s="50">
        <v>22160</v>
      </c>
      <c r="B27" s="51">
        <v>308.39999999999998</v>
      </c>
      <c r="C27" s="53">
        <f>(Table267[[#This Row],[M2 Money Stock, Billions of Dollars, Weekly, Seasonally Adjusted]]-B26)/B26</f>
        <v>4.8875855327468231E-3</v>
      </c>
      <c r="D27" s="54">
        <f>((1+Table267[[#This Row],[Monthly change]])^12)-1</f>
        <v>6.0253638136687382E-2</v>
      </c>
      <c r="E27" s="53">
        <f>(Table267[[#This Row],[M2 Money Stock, Billions of Dollars, Weekly, Seasonally Adjusted]]-B15)/B15</f>
        <v>3.9433771486349814E-2</v>
      </c>
    </row>
    <row r="28" spans="1:5" x14ac:dyDescent="0.2">
      <c r="A28" s="50">
        <v>22190</v>
      </c>
      <c r="B28" s="51">
        <v>309.5</v>
      </c>
      <c r="C28" s="53">
        <f>(Table267[[#This Row],[M2 Money Stock, Billions of Dollars, Weekly, Seasonally Adjusted]]-B27)/B27</f>
        <v>3.5667963683528627E-3</v>
      </c>
      <c r="D28" s="54">
        <f>((1+Table267[[#This Row],[Monthly change]])^12)-1</f>
        <v>4.365127431406135E-2</v>
      </c>
      <c r="E28" s="53">
        <f>(Table267[[#This Row],[M2 Money Stock, Billions of Dollars, Weekly, Seasonally Adjusted]]-B16)/B16</f>
        <v>4.3844856661045532E-2</v>
      </c>
    </row>
    <row r="29" spans="1:5" x14ac:dyDescent="0.2">
      <c r="A29" s="50">
        <v>22221</v>
      </c>
      <c r="B29" s="51">
        <v>310.89999999999998</v>
      </c>
      <c r="C29" s="53">
        <f>(Table267[[#This Row],[M2 Money Stock, Billions of Dollars, Weekly, Seasonally Adjusted]]-B28)/B28</f>
        <v>4.5234248788367602E-3</v>
      </c>
      <c r="D29" s="54">
        <f>((1+Table267[[#This Row],[Monthly change]])^12)-1</f>
        <v>5.5652120094355606E-2</v>
      </c>
      <c r="E29" s="53">
        <f>(Table267[[#This Row],[M2 Money Stock, Billions of Dollars, Weekly, Seasonally Adjusted]]-B17)/B17</f>
        <v>4.6449007068327004E-2</v>
      </c>
    </row>
    <row r="30" spans="1:5" x14ac:dyDescent="0.2">
      <c r="A30" s="50">
        <v>22251</v>
      </c>
      <c r="B30" s="51">
        <v>312.39999999999998</v>
      </c>
      <c r="C30" s="53">
        <f>(Table267[[#This Row],[M2 Money Stock, Billions of Dollars, Weekly, Seasonally Adjusted]]-B29)/B29</f>
        <v>4.8247024766806049E-3</v>
      </c>
      <c r="D30" s="54">
        <f>((1+Table267[[#This Row],[Monthly change]])^12)-1</f>
        <v>5.9457739595479175E-2</v>
      </c>
      <c r="E30" s="53">
        <f>(Table267[[#This Row],[M2 Money Stock, Billions of Dollars, Weekly, Seasonally Adjusted]]-B18)/B18</f>
        <v>4.9026192075218154E-2</v>
      </c>
    </row>
    <row r="31" spans="1:5" x14ac:dyDescent="0.2">
      <c r="A31" s="50">
        <v>22282</v>
      </c>
      <c r="B31" s="51">
        <v>314.10000000000002</v>
      </c>
      <c r="C31" s="53">
        <f>(Table267[[#This Row],[M2 Money Stock, Billions of Dollars, Weekly, Seasonally Adjusted]]-B30)/B30</f>
        <v>5.4417413572344607E-3</v>
      </c>
      <c r="D31" s="54">
        <f>((1+Table267[[#This Row],[Monthly change]])^12)-1</f>
        <v>6.7291214034367774E-2</v>
      </c>
      <c r="E31" s="53">
        <f>(Table267[[#This Row],[M2 Money Stock, Billions of Dollars, Weekly, Seasonally Adjusted]]-B19)/B19</f>
        <v>5.3319919517102729E-2</v>
      </c>
    </row>
    <row r="32" spans="1:5" x14ac:dyDescent="0.2">
      <c r="A32" s="50">
        <v>22313</v>
      </c>
      <c r="B32" s="51">
        <v>316.5</v>
      </c>
      <c r="C32" s="53">
        <f>(Table267[[#This Row],[M2 Money Stock, Billions of Dollars, Weekly, Seasonally Adjusted]]-B31)/B31</f>
        <v>7.6408787010505477E-3</v>
      </c>
      <c r="D32" s="54">
        <f>((1+Table267[[#This Row],[Monthly change]])^12)-1</f>
        <v>9.5643673753004199E-2</v>
      </c>
      <c r="E32" s="53">
        <f>(Table267[[#This Row],[M2 Money Stock, Billions of Dollars, Weekly, Seasonally Adjusted]]-B20)/B20</f>
        <v>6.0656836461126087E-2</v>
      </c>
    </row>
    <row r="33" spans="1:5" x14ac:dyDescent="0.2">
      <c r="A33" s="50">
        <v>22341</v>
      </c>
      <c r="B33" s="51">
        <v>318.3</v>
      </c>
      <c r="C33" s="53">
        <f>(Table267[[#This Row],[M2 Money Stock, Billions of Dollars, Weekly, Seasonally Adjusted]]-B32)/B32</f>
        <v>5.6872037914692305E-3</v>
      </c>
      <c r="D33" s="54">
        <f>((1+Table267[[#This Row],[Monthly change]])^12)-1</f>
        <v>7.0422159707942633E-2</v>
      </c>
      <c r="E33" s="53">
        <f>(Table267[[#This Row],[M2 Money Stock, Billions of Dollars, Weekly, Seasonally Adjusted]]-B21)/B21</f>
        <v>6.3481456732375541E-2</v>
      </c>
    </row>
    <row r="34" spans="1:5" x14ac:dyDescent="0.2">
      <c r="A34" s="50">
        <v>22372</v>
      </c>
      <c r="B34" s="51">
        <v>319.89999999999998</v>
      </c>
      <c r="C34" s="53">
        <f>(Table267[[#This Row],[M2 Money Stock, Billions of Dollars, Weekly, Seasonally Adjusted]]-B33)/B33</f>
        <v>5.0267043669493111E-3</v>
      </c>
      <c r="D34" s="54">
        <f>((1+Table267[[#This Row],[Monthly change]])^12)-1</f>
        <v>6.201638592550518E-2</v>
      </c>
      <c r="E34" s="53">
        <f>(Table267[[#This Row],[M2 Money Stock, Billions of Dollars, Weekly, Seasonally Adjusted]]-B22)/B22</f>
        <v>6.5978007330889543E-2</v>
      </c>
    </row>
    <row r="35" spans="1:5" x14ac:dyDescent="0.2">
      <c r="A35" s="50">
        <v>22402</v>
      </c>
      <c r="B35" s="51">
        <v>322.2</v>
      </c>
      <c r="C35" s="53">
        <f>(Table267[[#This Row],[M2 Money Stock, Billions of Dollars, Weekly, Seasonally Adjusted]]-B34)/B34</f>
        <v>7.1897467958737466E-3</v>
      </c>
      <c r="D35" s="54">
        <f>((1+Table267[[#This Row],[Monthly change]])^12)-1</f>
        <v>8.977176613461868E-2</v>
      </c>
      <c r="E35" s="53">
        <f>(Table267[[#This Row],[M2 Money Stock, Billions of Dollars, Weekly, Seasonally Adjusted]]-B23)/B23</f>
        <v>7.078763708873384E-2</v>
      </c>
    </row>
    <row r="36" spans="1:5" x14ac:dyDescent="0.2">
      <c r="A36" s="50">
        <v>22433</v>
      </c>
      <c r="B36" s="51">
        <v>324.3</v>
      </c>
      <c r="C36" s="53">
        <f>(Table267[[#This Row],[M2 Money Stock, Billions of Dollars, Weekly, Seasonally Adjusted]]-B35)/B35</f>
        <v>6.5176908752328459E-3</v>
      </c>
      <c r="D36" s="54">
        <f>((1+Table267[[#This Row],[Monthly change]])^12)-1</f>
        <v>8.1077804734768666E-2</v>
      </c>
      <c r="E36" s="53">
        <f>(Table267[[#This Row],[M2 Money Stock, Billions of Dollars, Weekly, Seasonally Adjusted]]-B24)/B24</f>
        <v>7.2775388686735026E-2</v>
      </c>
    </row>
    <row r="37" spans="1:5" x14ac:dyDescent="0.2">
      <c r="A37" s="50">
        <v>22463</v>
      </c>
      <c r="B37" s="51">
        <v>325.60000000000002</v>
      </c>
      <c r="C37" s="53">
        <f>(Table267[[#This Row],[M2 Money Stock, Billions of Dollars, Weekly, Seasonally Adjusted]]-B36)/B36</f>
        <v>4.008633980881934E-3</v>
      </c>
      <c r="D37" s="54">
        <f>((1+Table267[[#This Row],[Monthly change]])^12)-1</f>
        <v>4.9178471445572747E-2</v>
      </c>
      <c r="E37" s="53">
        <f>(Table267[[#This Row],[M2 Money Stock, Billions of Dollars, Weekly, Seasonally Adjusted]]-B25)/B25</f>
        <v>7.070042749095691E-2</v>
      </c>
    </row>
    <row r="38" spans="1:5" x14ac:dyDescent="0.2">
      <c r="A38" s="50">
        <v>22494</v>
      </c>
      <c r="B38" s="51">
        <v>327.60000000000002</v>
      </c>
      <c r="C38" s="53">
        <f>(Table267[[#This Row],[M2 Money Stock, Billions of Dollars, Weekly, Seasonally Adjusted]]-B37)/B37</f>
        <v>6.1425061425061421E-3</v>
      </c>
      <c r="D38" s="54">
        <f>((1+Table267[[#This Row],[Monthly change]])^12)-1</f>
        <v>7.6251977553662975E-2</v>
      </c>
      <c r="E38" s="53">
        <f>(Table267[[#This Row],[M2 Money Stock, Billions of Dollars, Weekly, Seasonally Adjusted]]-B26)/B26</f>
        <v>6.7448680351906307E-2</v>
      </c>
    </row>
    <row r="39" spans="1:5" x14ac:dyDescent="0.2">
      <c r="A39" s="50">
        <v>22525</v>
      </c>
      <c r="B39" s="51">
        <v>329.5</v>
      </c>
      <c r="C39" s="53">
        <f>(Table267[[#This Row],[M2 Money Stock, Billions of Dollars, Weekly, Seasonally Adjusted]]-B38)/B38</f>
        <v>5.7997557997557297E-3</v>
      </c>
      <c r="D39" s="54">
        <f>((1+Table267[[#This Row],[Monthly change]])^12)-1</f>
        <v>7.1860607164506707E-2</v>
      </c>
      <c r="E39" s="53">
        <f>(Table267[[#This Row],[M2 Money Stock, Billions of Dollars, Weekly, Seasonally Adjusted]]-B27)/B27</f>
        <v>6.8417639429312657E-2</v>
      </c>
    </row>
    <row r="40" spans="1:5" x14ac:dyDescent="0.2">
      <c r="A40" s="50">
        <v>22555</v>
      </c>
      <c r="B40" s="51">
        <v>331.1</v>
      </c>
      <c r="C40" s="53">
        <f>(Table267[[#This Row],[M2 Money Stock, Billions of Dollars, Weekly, Seasonally Adjusted]]-B39)/B39</f>
        <v>4.8558421851290527E-3</v>
      </c>
      <c r="D40" s="54">
        <f>((1+Table267[[#This Row],[Monthly change]])^12)-1</f>
        <v>5.9851800316851111E-2</v>
      </c>
      <c r="E40" s="53">
        <f>(Table267[[#This Row],[M2 Money Stock, Billions of Dollars, Weekly, Seasonally Adjusted]]-B28)/B28</f>
        <v>6.9789983844911224E-2</v>
      </c>
    </row>
    <row r="41" spans="1:5" x14ac:dyDescent="0.2">
      <c r="A41" s="50">
        <v>22586</v>
      </c>
      <c r="B41" s="51">
        <v>333.4</v>
      </c>
      <c r="C41" s="53">
        <f>(Table267[[#This Row],[M2 Money Stock, Billions of Dollars, Weekly, Seasonally Adjusted]]-B40)/B40</f>
        <v>6.9465418302626231E-3</v>
      </c>
      <c r="D41" s="54">
        <f>((1+Table267[[#This Row],[Monthly change]])^12)-1</f>
        <v>8.661820507783724E-2</v>
      </c>
      <c r="E41" s="53">
        <f>(Table267[[#This Row],[M2 Money Stock, Billions of Dollars, Weekly, Seasonally Adjusted]]-B29)/B29</f>
        <v>7.237053715020908E-2</v>
      </c>
    </row>
    <row r="42" spans="1:5" x14ac:dyDescent="0.2">
      <c r="A42" s="50">
        <v>22616</v>
      </c>
      <c r="B42" s="51">
        <v>335.5</v>
      </c>
      <c r="C42" s="53">
        <f>(Table267[[#This Row],[M2 Money Stock, Billions of Dollars, Weekly, Seasonally Adjusted]]-B41)/B41</f>
        <v>6.2987402519496787E-3</v>
      </c>
      <c r="D42" s="54">
        <f>((1+Table267[[#This Row],[Monthly change]])^12)-1</f>
        <v>7.8259139926972532E-2</v>
      </c>
      <c r="E42" s="53">
        <f>(Table267[[#This Row],[M2 Money Stock, Billions of Dollars, Weekly, Seasonally Adjusted]]-B30)/B30</f>
        <v>7.3943661971831068E-2</v>
      </c>
    </row>
    <row r="43" spans="1:5" x14ac:dyDescent="0.2">
      <c r="A43" s="50">
        <v>22647</v>
      </c>
      <c r="B43" s="51">
        <v>337.5</v>
      </c>
      <c r="C43" s="53">
        <f>(Table267[[#This Row],[M2 Money Stock, Billions of Dollars, Weekly, Seasonally Adjusted]]-B42)/B42</f>
        <v>5.9612518628912071E-3</v>
      </c>
      <c r="D43" s="54">
        <f>((1+Table267[[#This Row],[Monthly change]])^12)-1</f>
        <v>7.392766931278083E-2</v>
      </c>
      <c r="E43" s="53">
        <f>(Table267[[#This Row],[M2 Money Stock, Billions of Dollars, Weekly, Seasonally Adjusted]]-B31)/B31</f>
        <v>7.4498567335243474E-2</v>
      </c>
    </row>
    <row r="44" spans="1:5" x14ac:dyDescent="0.2">
      <c r="A44" s="50">
        <v>22678</v>
      </c>
      <c r="B44" s="51">
        <v>340.1</v>
      </c>
      <c r="C44" s="53">
        <f>(Table267[[#This Row],[M2 Money Stock, Billions of Dollars, Weekly, Seasonally Adjusted]]-B43)/B43</f>
        <v>7.7037037037037707E-3</v>
      </c>
      <c r="D44" s="54">
        <f>((1+Table267[[#This Row],[Monthly change]])^12)-1</f>
        <v>9.6463697164686169E-2</v>
      </c>
      <c r="E44" s="53">
        <f>(Table267[[#This Row],[M2 Money Stock, Billions of Dollars, Weekly, Seasonally Adjusted]]-B32)/B32</f>
        <v>7.4565560821485063E-2</v>
      </c>
    </row>
    <row r="45" spans="1:5" x14ac:dyDescent="0.2">
      <c r="A45" s="50">
        <v>22706</v>
      </c>
      <c r="B45" s="51">
        <v>343.1</v>
      </c>
      <c r="C45" s="53">
        <f>(Table267[[#This Row],[M2 Money Stock, Billions of Dollars, Weekly, Seasonally Adjusted]]-B44)/B44</f>
        <v>8.8209350191120247E-3</v>
      </c>
      <c r="D45" s="54">
        <f>((1+Table267[[#This Row],[Monthly change]])^12)-1</f>
        <v>0.11114064323381889</v>
      </c>
      <c r="E45" s="53">
        <f>(Table267[[#This Row],[M2 Money Stock, Billions of Dollars, Weekly, Seasonally Adjusted]]-B33)/B33</f>
        <v>7.7913917687716022E-2</v>
      </c>
    </row>
    <row r="46" spans="1:5" x14ac:dyDescent="0.2">
      <c r="A46" s="50">
        <v>22737</v>
      </c>
      <c r="B46" s="51">
        <v>345.5</v>
      </c>
      <c r="C46" s="53">
        <f>(Table267[[#This Row],[M2 Money Stock, Billions of Dollars, Weekly, Seasonally Adjusted]]-B45)/B45</f>
        <v>6.9950451763333638E-3</v>
      </c>
      <c r="D46" s="54">
        <f>((1+Table267[[#This Row],[Monthly change]])^12)-1</f>
        <v>8.7246463860201517E-2</v>
      </c>
      <c r="E46" s="53">
        <f>(Table267[[#This Row],[M2 Money Stock, Billions of Dollars, Weekly, Seasonally Adjusted]]-B34)/B34</f>
        <v>8.0025007814942248E-2</v>
      </c>
    </row>
    <row r="47" spans="1:5" x14ac:dyDescent="0.2">
      <c r="A47" s="50">
        <v>22767</v>
      </c>
      <c r="B47" s="51">
        <v>347.5</v>
      </c>
      <c r="C47" s="53">
        <f>(Table267[[#This Row],[M2 Money Stock, Billions of Dollars, Weekly, Seasonally Adjusted]]-B46)/B46</f>
        <v>5.7887120115774236E-3</v>
      </c>
      <c r="D47" s="54">
        <f>((1+Table267[[#This Row],[Monthly change]])^12)-1</f>
        <v>7.1719385973000538E-2</v>
      </c>
      <c r="E47" s="53">
        <f>(Table267[[#This Row],[M2 Money Stock, Billions of Dollars, Weekly, Seasonally Adjusted]]-B35)/B35</f>
        <v>7.852265673494728E-2</v>
      </c>
    </row>
    <row r="48" spans="1:5" x14ac:dyDescent="0.2">
      <c r="A48" s="50">
        <v>22798</v>
      </c>
      <c r="B48" s="51">
        <v>349.3</v>
      </c>
      <c r="C48" s="53">
        <f>(Table267[[#This Row],[M2 Money Stock, Billions of Dollars, Weekly, Seasonally Adjusted]]-B47)/B47</f>
        <v>5.1798561151079467E-3</v>
      </c>
      <c r="D48" s="54">
        <f>((1+Table267[[#This Row],[Monthly change]])^12)-1</f>
        <v>6.3960048375554468E-2</v>
      </c>
      <c r="E48" s="53">
        <f>(Table267[[#This Row],[M2 Money Stock, Billions of Dollars, Weekly, Seasonally Adjusted]]-B36)/B36</f>
        <v>7.70891150169596E-2</v>
      </c>
    </row>
    <row r="49" spans="1:5" x14ac:dyDescent="0.2">
      <c r="A49" s="50">
        <v>22828</v>
      </c>
      <c r="B49" s="51">
        <v>350.8</v>
      </c>
      <c r="C49" s="53">
        <f>(Table267[[#This Row],[M2 Money Stock, Billions of Dollars, Weekly, Seasonally Adjusted]]-B48)/B48</f>
        <v>4.2943028914972804E-3</v>
      </c>
      <c r="D49" s="54">
        <f>((1+Table267[[#This Row],[Monthly change]])^12)-1</f>
        <v>5.2766334767323508E-2</v>
      </c>
      <c r="E49" s="53">
        <f>(Table267[[#This Row],[M2 Money Stock, Billions of Dollars, Weekly, Seasonally Adjusted]]-B37)/B37</f>
        <v>7.7395577395577356E-2</v>
      </c>
    </row>
    <row r="50" spans="1:5" x14ac:dyDescent="0.2">
      <c r="A50" s="50">
        <v>22859</v>
      </c>
      <c r="B50" s="51">
        <v>352.8</v>
      </c>
      <c r="C50" s="53">
        <f>(Table267[[#This Row],[M2 Money Stock, Billions of Dollars, Weekly, Seasonally Adjusted]]-B49)/B49</f>
        <v>5.7012542759407071E-3</v>
      </c>
      <c r="D50" s="54">
        <f>((1+Table267[[#This Row],[Monthly change]])^12)-1</f>
        <v>7.0601632278852744E-2</v>
      </c>
      <c r="E50" s="53">
        <f>(Table267[[#This Row],[M2 Money Stock, Billions of Dollars, Weekly, Seasonally Adjusted]]-B38)/B38</f>
        <v>7.6923076923076886E-2</v>
      </c>
    </row>
    <row r="51" spans="1:5" x14ac:dyDescent="0.2">
      <c r="A51" s="50">
        <v>22890</v>
      </c>
      <c r="B51" s="51">
        <v>354.9</v>
      </c>
      <c r="C51" s="53">
        <f>(Table267[[#This Row],[M2 Money Stock, Billions of Dollars, Weekly, Seasonally Adjusted]]-B50)/B50</f>
        <v>5.9523809523808558E-3</v>
      </c>
      <c r="D51" s="54">
        <f>((1+Table267[[#This Row],[Monthly change]])^12)-1</f>
        <v>7.3814031684800163E-2</v>
      </c>
      <c r="E51" s="53">
        <f>(Table267[[#This Row],[M2 Money Stock, Billions of Dollars, Weekly, Seasonally Adjusted]]-B39)/B39</f>
        <v>7.7086494688922536E-2</v>
      </c>
    </row>
    <row r="52" spans="1:5" x14ac:dyDescent="0.2">
      <c r="A52" s="50">
        <v>22920</v>
      </c>
      <c r="B52" s="51">
        <v>357.2</v>
      </c>
      <c r="C52" s="53">
        <f>(Table267[[#This Row],[M2 Money Stock, Billions of Dollars, Weekly, Seasonally Adjusted]]-B51)/B51</f>
        <v>6.4806987883911284E-3</v>
      </c>
      <c r="D52" s="54">
        <f>((1+Table267[[#This Row],[Monthly change]])^12)-1</f>
        <v>8.0601112770998462E-2</v>
      </c>
      <c r="E52" s="53">
        <f>(Table267[[#This Row],[M2 Money Stock, Billions of Dollars, Weekly, Seasonally Adjusted]]-B40)/B40</f>
        <v>7.8828148595590342E-2</v>
      </c>
    </row>
    <row r="53" spans="1:5" x14ac:dyDescent="0.2">
      <c r="A53" s="50">
        <v>22951</v>
      </c>
      <c r="B53" s="51">
        <v>359.8</v>
      </c>
      <c r="C53" s="53">
        <f>(Table267[[#This Row],[M2 Money Stock, Billions of Dollars, Weekly, Seasonally Adjusted]]-B52)/B52</f>
        <v>7.2788353863382496E-3</v>
      </c>
      <c r="D53" s="54">
        <f>((1+Table267[[#This Row],[Monthly change]])^12)-1</f>
        <v>9.0929047287370279E-2</v>
      </c>
      <c r="E53" s="53">
        <f>(Table267[[#This Row],[M2 Money Stock, Billions of Dollars, Weekly, Seasonally Adjusted]]-B41)/B41</f>
        <v>7.9184163167366636E-2</v>
      </c>
    </row>
    <row r="54" spans="1:5" x14ac:dyDescent="0.2">
      <c r="A54" s="50">
        <v>22981</v>
      </c>
      <c r="B54" s="51">
        <v>362.7</v>
      </c>
      <c r="C54" s="53">
        <f>(Table267[[#This Row],[M2 Money Stock, Billions of Dollars, Weekly, Seasonally Adjusted]]-B53)/B53</f>
        <v>8.0600333518620823E-3</v>
      </c>
      <c r="D54" s="54">
        <f>((1+Table267[[#This Row],[Monthly change]])^12)-1</f>
        <v>0.10112534445536836</v>
      </c>
      <c r="E54" s="53">
        <f>(Table267[[#This Row],[M2 Money Stock, Billions of Dollars, Weekly, Seasonally Adjusted]]-B42)/B42</f>
        <v>8.1073025335320389E-2</v>
      </c>
    </row>
    <row r="55" spans="1:5" x14ac:dyDescent="0.2">
      <c r="A55" s="50">
        <v>23012</v>
      </c>
      <c r="B55" s="51">
        <v>365.2</v>
      </c>
      <c r="C55" s="53">
        <f>(Table267[[#This Row],[M2 Money Stock, Billions of Dollars, Weekly, Seasonally Adjusted]]-B54)/B54</f>
        <v>6.8927488282326992E-3</v>
      </c>
      <c r="D55" s="54">
        <f>((1+Table267[[#This Row],[Monthly change]])^12)-1</f>
        <v>8.5921819145749589E-2</v>
      </c>
      <c r="E55" s="53">
        <f>(Table267[[#This Row],[M2 Money Stock, Billions of Dollars, Weekly, Seasonally Adjusted]]-B43)/B43</f>
        <v>8.2074074074074035E-2</v>
      </c>
    </row>
    <row r="56" spans="1:5" x14ac:dyDescent="0.2">
      <c r="A56" s="50">
        <v>23043</v>
      </c>
      <c r="B56" s="51">
        <v>367.9</v>
      </c>
      <c r="C56" s="53">
        <f>(Table267[[#This Row],[M2 Money Stock, Billions of Dollars, Weekly, Seasonally Adjusted]]-B55)/B55</f>
        <v>7.3932092004380849E-3</v>
      </c>
      <c r="D56" s="54">
        <f>((1+Table267[[#This Row],[Monthly change]])^12)-1</f>
        <v>9.2416440810976441E-2</v>
      </c>
      <c r="E56" s="53">
        <f>(Table267[[#This Row],[M2 Money Stock, Billions of Dollars, Weekly, Seasonally Adjusted]]-B44)/B44</f>
        <v>8.174066451043796E-2</v>
      </c>
    </row>
    <row r="57" spans="1:5" x14ac:dyDescent="0.2">
      <c r="A57" s="50">
        <v>23071</v>
      </c>
      <c r="B57" s="51">
        <v>370.7</v>
      </c>
      <c r="C57" s="53">
        <f>(Table267[[#This Row],[M2 Money Stock, Billions of Dollars, Weekly, Seasonally Adjusted]]-B56)/B56</f>
        <v>7.6107637945094092E-3</v>
      </c>
      <c r="D57" s="54">
        <f>((1+Table267[[#This Row],[Monthly change]])^12)-1</f>
        <v>9.5250798261887981E-2</v>
      </c>
      <c r="E57" s="53">
        <f>(Table267[[#This Row],[M2 Money Stock, Billions of Dollars, Weekly, Seasonally Adjusted]]-B45)/B45</f>
        <v>8.044301952783435E-2</v>
      </c>
    </row>
    <row r="58" spans="1:5" x14ac:dyDescent="0.2">
      <c r="A58" s="50">
        <v>23102</v>
      </c>
      <c r="B58" s="51">
        <v>373.3</v>
      </c>
      <c r="C58" s="53">
        <f>(Table267[[#This Row],[M2 Money Stock, Billions of Dollars, Weekly, Seasonally Adjusted]]-B57)/B57</f>
        <v>7.01375775559758E-3</v>
      </c>
      <c r="D58" s="54">
        <f>((1+Table267[[#This Row],[Monthly change]])^12)-1</f>
        <v>8.7488934945543217E-2</v>
      </c>
      <c r="E58" s="53">
        <f>(Table267[[#This Row],[M2 Money Stock, Billions of Dollars, Weekly, Seasonally Adjusted]]-B46)/B46</f>
        <v>8.0463096960926225E-2</v>
      </c>
    </row>
    <row r="59" spans="1:5" x14ac:dyDescent="0.2">
      <c r="A59" s="50">
        <v>23132</v>
      </c>
      <c r="B59" s="51">
        <v>376.1</v>
      </c>
      <c r="C59" s="53">
        <f>(Table267[[#This Row],[M2 Money Stock, Billions of Dollars, Weekly, Seasonally Adjusted]]-B58)/B58</f>
        <v>7.5006697026520526E-3</v>
      </c>
      <c r="D59" s="54">
        <f>((1+Table267[[#This Row],[Monthly change]])^12)-1</f>
        <v>9.3815622570933455E-2</v>
      </c>
      <c r="E59" s="53">
        <f>(Table267[[#This Row],[M2 Money Stock, Billions of Dollars, Weekly, Seasonally Adjusted]]-B47)/B47</f>
        <v>8.2302158273381359E-2</v>
      </c>
    </row>
    <row r="60" spans="1:5" x14ac:dyDescent="0.2">
      <c r="A60" s="50">
        <v>23163</v>
      </c>
      <c r="B60" s="51">
        <v>378.4</v>
      </c>
      <c r="C60" s="53">
        <f>(Table267[[#This Row],[M2 Money Stock, Billions of Dollars, Weekly, Seasonally Adjusted]]-B59)/B59</f>
        <v>6.1153948417972731E-3</v>
      </c>
      <c r="D60" s="54">
        <f>((1+Table267[[#This Row],[Monthly change]])^12)-1</f>
        <v>7.5904023657766162E-2</v>
      </c>
      <c r="E60" s="53">
        <f>(Table267[[#This Row],[M2 Money Stock, Billions of Dollars, Weekly, Seasonally Adjusted]]-B48)/B48</f>
        <v>8.330947609504713E-2</v>
      </c>
    </row>
    <row r="61" spans="1:5" x14ac:dyDescent="0.2">
      <c r="A61" s="50">
        <v>23193</v>
      </c>
      <c r="B61" s="51">
        <v>381.1</v>
      </c>
      <c r="C61" s="53">
        <f>(Table267[[#This Row],[M2 Money Stock, Billions of Dollars, Weekly, Seasonally Adjusted]]-B60)/B60</f>
        <v>7.1353065539113258E-3</v>
      </c>
      <c r="D61" s="54">
        <f>((1+Table267[[#This Row],[Monthly change]])^12)-1</f>
        <v>8.906512901996666E-2</v>
      </c>
      <c r="E61" s="53">
        <f>(Table267[[#This Row],[M2 Money Stock, Billions of Dollars, Weekly, Seasonally Adjusted]]-B49)/B49</f>
        <v>8.6374002280501738E-2</v>
      </c>
    </row>
    <row r="62" spans="1:5" x14ac:dyDescent="0.2">
      <c r="A62" s="50">
        <v>23224</v>
      </c>
      <c r="B62" s="51">
        <v>383.6</v>
      </c>
      <c r="C62" s="53">
        <f>(Table267[[#This Row],[M2 Money Stock, Billions of Dollars, Weekly, Seasonally Adjusted]]-B61)/B61</f>
        <v>6.5599580162686959E-3</v>
      </c>
      <c r="D62" s="54">
        <f>((1+Table267[[#This Row],[Monthly change]])^12)-1</f>
        <v>8.1622708697608237E-2</v>
      </c>
      <c r="E62" s="53">
        <f>(Table267[[#This Row],[M2 Money Stock, Billions of Dollars, Weekly, Seasonally Adjusted]]-B50)/B50</f>
        <v>8.7301587301587324E-2</v>
      </c>
    </row>
    <row r="63" spans="1:5" x14ac:dyDescent="0.2">
      <c r="A63" s="50">
        <v>23255</v>
      </c>
      <c r="B63" s="51">
        <v>386</v>
      </c>
      <c r="C63" s="53">
        <f>(Table267[[#This Row],[M2 Money Stock, Billions of Dollars, Weekly, Seasonally Adjusted]]-B62)/B62</f>
        <v>6.2565172054222552E-3</v>
      </c>
      <c r="D63" s="54">
        <f>((1+Table267[[#This Row],[Monthly change]])^12)-1</f>
        <v>7.7716356210969284E-2</v>
      </c>
      <c r="E63" s="53">
        <f>(Table267[[#This Row],[M2 Money Stock, Billions of Dollars, Weekly, Seasonally Adjusted]]-B51)/B51</f>
        <v>8.763031839954924E-2</v>
      </c>
    </row>
    <row r="64" spans="1:5" x14ac:dyDescent="0.2">
      <c r="A64" s="50">
        <v>23285</v>
      </c>
      <c r="B64" s="51">
        <v>388.3</v>
      </c>
      <c r="C64" s="53">
        <f>(Table267[[#This Row],[M2 Money Stock, Billions of Dollars, Weekly, Seasonally Adjusted]]-B63)/B63</f>
        <v>5.9585492227979568E-3</v>
      </c>
      <c r="D64" s="54">
        <f>((1+Table267[[#This Row],[Monthly change]])^12)-1</f>
        <v>7.3893046940394447E-2</v>
      </c>
      <c r="E64" s="53">
        <f>(Table267[[#This Row],[M2 Money Stock, Billions of Dollars, Weekly, Seasonally Adjusted]]-B52)/B52</f>
        <v>8.7066069428891446E-2</v>
      </c>
    </row>
    <row r="65" spans="1:5" x14ac:dyDescent="0.2">
      <c r="A65" s="50">
        <v>23316</v>
      </c>
      <c r="B65" s="51">
        <v>391.5</v>
      </c>
      <c r="C65" s="53">
        <f>(Table267[[#This Row],[M2 Money Stock, Billions of Dollars, Weekly, Seasonally Adjusted]]-B64)/B64</f>
        <v>8.2410507339685506E-3</v>
      </c>
      <c r="D65" s="54">
        <f>((1+Table267[[#This Row],[Monthly change]])^12)-1</f>
        <v>0.10350043875629855</v>
      </c>
      <c r="E65" s="53">
        <f>(Table267[[#This Row],[M2 Money Stock, Billions of Dollars, Weekly, Seasonally Adjusted]]-B53)/B53</f>
        <v>8.8104502501389625E-2</v>
      </c>
    </row>
    <row r="66" spans="1:5" x14ac:dyDescent="0.2">
      <c r="A66" s="50">
        <v>23346</v>
      </c>
      <c r="B66" s="51">
        <v>393.2</v>
      </c>
      <c r="C66" s="53">
        <f>(Table267[[#This Row],[M2 Money Stock, Billions of Dollars, Weekly, Seasonally Adjusted]]-B65)/B65</f>
        <v>4.3422733077905203E-3</v>
      </c>
      <c r="D66" s="54">
        <f>((1+Table267[[#This Row],[Monthly change]])^12)-1</f>
        <v>5.3369921686587274E-2</v>
      </c>
      <c r="E66" s="53">
        <f>(Table267[[#This Row],[M2 Money Stock, Billions of Dollars, Weekly, Seasonally Adjusted]]-B54)/B54</f>
        <v>8.4091535704438933E-2</v>
      </c>
    </row>
    <row r="67" spans="1:5" x14ac:dyDescent="0.2">
      <c r="A67" s="50">
        <v>23377</v>
      </c>
      <c r="B67" s="51">
        <v>395.2</v>
      </c>
      <c r="C67" s="53">
        <f>(Table267[[#This Row],[M2 Money Stock, Billions of Dollars, Weekly, Seasonally Adjusted]]-B66)/B66</f>
        <v>5.0864699898270603E-3</v>
      </c>
      <c r="D67" s="54">
        <f>((1+Table267[[#This Row],[Monthly change]])^12)-1</f>
        <v>6.2774489179018955E-2</v>
      </c>
      <c r="E67" s="53">
        <f>(Table267[[#This Row],[M2 Money Stock, Billions of Dollars, Weekly, Seasonally Adjusted]]-B55)/B55</f>
        <v>8.2146768893756841E-2</v>
      </c>
    </row>
    <row r="68" spans="1:5" x14ac:dyDescent="0.2">
      <c r="A68" s="50">
        <v>23408</v>
      </c>
      <c r="B68" s="51">
        <v>397.6</v>
      </c>
      <c r="C68" s="53">
        <f>(Table267[[#This Row],[M2 Money Stock, Billions of Dollars, Weekly, Seasonally Adjusted]]-B67)/B67</f>
        <v>6.0728744939272123E-3</v>
      </c>
      <c r="D68" s="54">
        <f>((1+Table267[[#This Row],[Monthly change]])^12)-1</f>
        <v>7.5358513493215318E-2</v>
      </c>
      <c r="E68" s="53">
        <f>(Table267[[#This Row],[M2 Money Stock, Billions of Dollars, Weekly, Seasonally Adjusted]]-B56)/B56</f>
        <v>8.0728458820331736E-2</v>
      </c>
    </row>
    <row r="69" spans="1:5" x14ac:dyDescent="0.2">
      <c r="A69" s="50">
        <v>23437</v>
      </c>
      <c r="B69" s="51">
        <v>399.8</v>
      </c>
      <c r="C69" s="53">
        <f>(Table267[[#This Row],[M2 Money Stock, Billions of Dollars, Weekly, Seasonally Adjusted]]-B68)/B68</f>
        <v>5.5331991951709973E-3</v>
      </c>
      <c r="D69" s="54">
        <f>((1+Table267[[#This Row],[Monthly change]])^12)-1</f>
        <v>6.8456803159319124E-2</v>
      </c>
      <c r="E69" s="53">
        <f>(Table267[[#This Row],[M2 Money Stock, Billions of Dollars, Weekly, Seasonally Adjusted]]-B57)/B57</f>
        <v>7.8500134879956898E-2</v>
      </c>
    </row>
    <row r="70" spans="1:5" x14ac:dyDescent="0.2">
      <c r="A70" s="50">
        <v>23468</v>
      </c>
      <c r="B70" s="51">
        <v>401.7</v>
      </c>
      <c r="C70" s="53">
        <f>(Table267[[#This Row],[M2 Money Stock, Billions of Dollars, Weekly, Seasonally Adjusted]]-B69)/B69</f>
        <v>4.75237618809399E-3</v>
      </c>
      <c r="D70" s="54">
        <f>((1+Table267[[#This Row],[Monthly change]])^12)-1</f>
        <v>5.8542997137401409E-2</v>
      </c>
      <c r="E70" s="53">
        <f>(Table267[[#This Row],[M2 Money Stock, Billions of Dollars, Weekly, Seasonally Adjusted]]-B58)/B58</f>
        <v>7.6078221269756163E-2</v>
      </c>
    </row>
    <row r="71" spans="1:5" x14ac:dyDescent="0.2">
      <c r="A71" s="50">
        <v>23498</v>
      </c>
      <c r="B71" s="51">
        <v>404.2</v>
      </c>
      <c r="C71" s="53">
        <f>(Table267[[#This Row],[M2 Money Stock, Billions of Dollars, Weekly, Seasonally Adjusted]]-B70)/B70</f>
        <v>6.2235499128703011E-3</v>
      </c>
      <c r="D71" s="54">
        <f>((1+Table267[[#This Row],[Monthly change]])^12)-1</f>
        <v>7.7292730763296014E-2</v>
      </c>
      <c r="E71" s="53">
        <f>(Table267[[#This Row],[M2 Money Stock, Billions of Dollars, Weekly, Seasonally Adjusted]]-B59)/B59</f>
        <v>7.4714171762828935E-2</v>
      </c>
    </row>
    <row r="72" spans="1:5" x14ac:dyDescent="0.2">
      <c r="A72" s="50">
        <v>23529</v>
      </c>
      <c r="B72" s="51">
        <v>407.1</v>
      </c>
      <c r="C72" s="53">
        <f>(Table267[[#This Row],[M2 Money Stock, Billions of Dollars, Weekly, Seasonally Adjusted]]-B71)/B71</f>
        <v>7.1746660069273481E-3</v>
      </c>
      <c r="D72" s="54">
        <f>((1+Table267[[#This Row],[Monthly change]])^12)-1</f>
        <v>8.9575974650082379E-2</v>
      </c>
      <c r="E72" s="53">
        <f>(Table267[[#This Row],[M2 Money Stock, Billions of Dollars, Weekly, Seasonally Adjusted]]-B60)/B60</f>
        <v>7.5845665961945155E-2</v>
      </c>
    </row>
    <row r="73" spans="1:5" x14ac:dyDescent="0.2">
      <c r="A73" s="50">
        <v>23559</v>
      </c>
      <c r="B73" s="51">
        <v>410.1</v>
      </c>
      <c r="C73" s="53">
        <f>(Table267[[#This Row],[M2 Money Stock, Billions of Dollars, Weekly, Seasonally Adjusted]]-B72)/B72</f>
        <v>7.369196757553426E-3</v>
      </c>
      <c r="D73" s="54">
        <f>((1+Table267[[#This Row],[Monthly change]])^12)-1</f>
        <v>9.2104012871397467E-2</v>
      </c>
      <c r="E73" s="53">
        <f>(Table267[[#This Row],[M2 Money Stock, Billions of Dollars, Weekly, Seasonally Adjusted]]-B61)/B61</f>
        <v>7.6095512988716862E-2</v>
      </c>
    </row>
    <row r="74" spans="1:5" x14ac:dyDescent="0.2">
      <c r="A74" s="50">
        <v>23590</v>
      </c>
      <c r="B74" s="51">
        <v>413.4</v>
      </c>
      <c r="C74" s="53">
        <f>(Table267[[#This Row],[M2 Money Stock, Billions of Dollars, Weekly, Seasonally Adjusted]]-B73)/B73</f>
        <v>8.0468178493049367E-3</v>
      </c>
      <c r="D74" s="54">
        <f>((1+Table267[[#This Row],[Monthly change]])^12)-1</f>
        <v>0.100952130061982</v>
      </c>
      <c r="E74" s="53">
        <f>(Table267[[#This Row],[M2 Money Stock, Billions of Dollars, Weekly, Seasonally Adjusted]]-B62)/B62</f>
        <v>7.7685088633993621E-2</v>
      </c>
    </row>
    <row r="75" spans="1:5" x14ac:dyDescent="0.2">
      <c r="A75" s="50">
        <v>23621</v>
      </c>
      <c r="B75" s="51">
        <v>416.9</v>
      </c>
      <c r="C75" s="53">
        <f>(Table267[[#This Row],[M2 Money Stock, Billions of Dollars, Weekly, Seasonally Adjusted]]-B74)/B74</f>
        <v>8.4663763909046934E-3</v>
      </c>
      <c r="D75" s="54">
        <f>((1+Table267[[#This Row],[Monthly change]])^12)-1</f>
        <v>0.10646345419211234</v>
      </c>
      <c r="E75" s="53">
        <f>(Table267[[#This Row],[M2 Money Stock, Billions of Dollars, Weekly, Seasonally Adjusted]]-B63)/B63</f>
        <v>8.0051813471502531E-2</v>
      </c>
    </row>
    <row r="76" spans="1:5" x14ac:dyDescent="0.2">
      <c r="A76" s="50">
        <v>23651</v>
      </c>
      <c r="B76" s="51">
        <v>419.1</v>
      </c>
      <c r="C76" s="53">
        <f>(Table267[[#This Row],[M2 Money Stock, Billions of Dollars, Weekly, Seasonally Adjusted]]-B75)/B75</f>
        <v>5.2770448548813756E-3</v>
      </c>
      <c r="D76" s="54">
        <f>((1+Table267[[#This Row],[Monthly change]])^12)-1</f>
        <v>6.5195169940009512E-2</v>
      </c>
      <c r="E76" s="53">
        <f>(Table267[[#This Row],[M2 Money Stock, Billions of Dollars, Weekly, Seasonally Adjusted]]-B64)/B64</f>
        <v>7.9320113314447618E-2</v>
      </c>
    </row>
    <row r="77" spans="1:5" x14ac:dyDescent="0.2">
      <c r="A77" s="50">
        <v>23682</v>
      </c>
      <c r="B77" s="51">
        <v>422</v>
      </c>
      <c r="C77" s="53">
        <f>(Table267[[#This Row],[M2 Money Stock, Billions of Dollars, Weekly, Seasonally Adjusted]]-B76)/B76</f>
        <v>6.9195895967548967E-3</v>
      </c>
      <c r="D77" s="54">
        <f>((1+Table267[[#This Row],[Monthly change]])^12)-1</f>
        <v>8.6269239463626413E-2</v>
      </c>
      <c r="E77" s="53">
        <f>(Table267[[#This Row],[M2 Money Stock, Billions of Dollars, Weekly, Seasonally Adjusted]]-B65)/B65</f>
        <v>7.7905491698595147E-2</v>
      </c>
    </row>
    <row r="78" spans="1:5" x14ac:dyDescent="0.2">
      <c r="A78" s="50">
        <v>23712</v>
      </c>
      <c r="B78" s="51">
        <v>424.7</v>
      </c>
      <c r="C78" s="53">
        <f>(Table267[[#This Row],[M2 Money Stock, Billions of Dollars, Weekly, Seasonally Adjusted]]-B77)/B77</f>
        <v>6.3981042654028169E-3</v>
      </c>
      <c r="D78" s="54">
        <f>((1+Table267[[#This Row],[Monthly change]])^12)-1</f>
        <v>7.953746839592446E-2</v>
      </c>
      <c r="E78" s="53">
        <f>(Table267[[#This Row],[M2 Money Stock, Billions of Dollars, Weekly, Seasonally Adjusted]]-B66)/B66</f>
        <v>8.0111902339776192E-2</v>
      </c>
    </row>
    <row r="79" spans="1:5" x14ac:dyDescent="0.2">
      <c r="A79" s="50">
        <v>23743</v>
      </c>
      <c r="B79" s="51">
        <v>427.5</v>
      </c>
      <c r="C79" s="53">
        <f>(Table267[[#This Row],[M2 Money Stock, Billions of Dollars, Weekly, Seasonally Adjusted]]-B78)/B78</f>
        <v>6.5928890981869822E-3</v>
      </c>
      <c r="D79" s="54">
        <f>((1+Table267[[#This Row],[Monthly change]])^12)-1</f>
        <v>8.2047427552081498E-2</v>
      </c>
      <c r="E79" s="53">
        <f>(Table267[[#This Row],[M2 Money Stock, Billions of Dollars, Weekly, Seasonally Adjusted]]-B67)/B67</f>
        <v>8.173076923076926E-2</v>
      </c>
    </row>
    <row r="80" spans="1:5" x14ac:dyDescent="0.2">
      <c r="A80" s="50">
        <v>23774</v>
      </c>
      <c r="B80" s="51">
        <v>430.4</v>
      </c>
      <c r="C80" s="53">
        <f>(Table267[[#This Row],[M2 Money Stock, Billions of Dollars, Weekly, Seasonally Adjusted]]-B79)/B79</f>
        <v>6.7836257309940992E-3</v>
      </c>
      <c r="D80" s="54">
        <f>((1+Table267[[#This Row],[Monthly change]])^12)-1</f>
        <v>8.4510405138024325E-2</v>
      </c>
      <c r="E80" s="53">
        <f>(Table267[[#This Row],[M2 Money Stock, Billions of Dollars, Weekly, Seasonally Adjusted]]-B68)/B68</f>
        <v>8.2494969818913355E-2</v>
      </c>
    </row>
    <row r="81" spans="1:5" x14ac:dyDescent="0.2">
      <c r="A81" s="50">
        <v>23802</v>
      </c>
      <c r="B81" s="51">
        <v>433.2</v>
      </c>
      <c r="C81" s="53">
        <f>(Table267[[#This Row],[M2 Money Stock, Billions of Dollars, Weekly, Seasonally Adjusted]]-B80)/B80</f>
        <v>6.5055762081784657E-3</v>
      </c>
      <c r="D81" s="54">
        <f>((1+Table267[[#This Row],[Monthly change]])^12)-1</f>
        <v>8.0921670004338697E-2</v>
      </c>
      <c r="E81" s="53">
        <f>(Table267[[#This Row],[M2 Money Stock, Billions of Dollars, Weekly, Seasonally Adjusted]]-B69)/B69</f>
        <v>8.3541770885442665E-2</v>
      </c>
    </row>
    <row r="82" spans="1:5" x14ac:dyDescent="0.2">
      <c r="A82" s="50">
        <v>23833</v>
      </c>
      <c r="B82" s="51">
        <v>435.4</v>
      </c>
      <c r="C82" s="53">
        <f>(Table267[[#This Row],[M2 Money Stock, Billions of Dollars, Weekly, Seasonally Adjusted]]-B81)/B81</f>
        <v>5.0784856879039445E-3</v>
      </c>
      <c r="D82" s="54">
        <f>((1+Table267[[#This Row],[Monthly change]])^12)-1</f>
        <v>6.2673182771061819E-2</v>
      </c>
      <c r="E82" s="53">
        <f>(Table267[[#This Row],[M2 Money Stock, Billions of Dollars, Weekly, Seasonally Adjusted]]-B70)/B70</f>
        <v>8.3893452825491641E-2</v>
      </c>
    </row>
    <row r="83" spans="1:5" x14ac:dyDescent="0.2">
      <c r="A83" s="50">
        <v>23863</v>
      </c>
      <c r="B83" s="51">
        <v>437.1</v>
      </c>
      <c r="C83" s="53">
        <f>(Table267[[#This Row],[M2 Money Stock, Billions of Dollars, Weekly, Seasonally Adjusted]]-B82)/B82</f>
        <v>3.9044556729445237E-3</v>
      </c>
      <c r="D83" s="54">
        <f>((1+Table267[[#This Row],[Monthly change]])^12)-1</f>
        <v>4.7872833887410815E-2</v>
      </c>
      <c r="E83" s="53">
        <f>(Table267[[#This Row],[M2 Money Stock, Billions of Dollars, Weekly, Seasonally Adjusted]]-B71)/B71</f>
        <v>8.1395348837209391E-2</v>
      </c>
    </row>
    <row r="84" spans="1:5" x14ac:dyDescent="0.2">
      <c r="A84" s="50">
        <v>23894</v>
      </c>
      <c r="B84" s="51">
        <v>440.1</v>
      </c>
      <c r="C84" s="53">
        <f>(Table267[[#This Row],[M2 Money Stock, Billions of Dollars, Weekly, Seasonally Adjusted]]-B83)/B83</f>
        <v>6.8634179821551126E-3</v>
      </c>
      <c r="D84" s="54">
        <f>((1+Table267[[#This Row],[Monthly change]])^12)-1</f>
        <v>8.554228434533373E-2</v>
      </c>
      <c r="E84" s="53">
        <f>(Table267[[#This Row],[M2 Money Stock, Billions of Dollars, Weekly, Seasonally Adjusted]]-B72)/B72</f>
        <v>8.1061164333087687E-2</v>
      </c>
    </row>
    <row r="85" spans="1:5" x14ac:dyDescent="0.2">
      <c r="A85" s="50">
        <v>23924</v>
      </c>
      <c r="B85" s="51">
        <v>442.9</v>
      </c>
      <c r="C85" s="53">
        <f>(Table267[[#This Row],[M2 Money Stock, Billions of Dollars, Weekly, Seasonally Adjusted]]-B84)/B84</f>
        <v>6.3621904112700625E-3</v>
      </c>
      <c r="D85" s="54">
        <f>((1+Table267[[#This Row],[Monthly change]])^12)-1</f>
        <v>7.9075272661200291E-2</v>
      </c>
      <c r="E85" s="53">
        <f>(Table267[[#This Row],[M2 Money Stock, Billions of Dollars, Weekly, Seasonally Adjusted]]-B73)/B73</f>
        <v>7.9980492562789454E-2</v>
      </c>
    </row>
    <row r="86" spans="1:5" x14ac:dyDescent="0.2">
      <c r="A86" s="50">
        <v>23955</v>
      </c>
      <c r="B86" s="51">
        <v>445.8</v>
      </c>
      <c r="C86" s="53">
        <f>(Table267[[#This Row],[M2 Money Stock, Billions of Dollars, Weekly, Seasonally Adjusted]]-B85)/B85</f>
        <v>6.54775344321525E-3</v>
      </c>
      <c r="D86" s="54">
        <f>((1+Table267[[#This Row],[Monthly change]])^12)-1</f>
        <v>8.1465342655360207E-2</v>
      </c>
      <c r="E86" s="53">
        <f>(Table267[[#This Row],[M2 Money Stock, Billions of Dollars, Weekly, Seasonally Adjusted]]-B74)/B74</f>
        <v>7.837445573294638E-2</v>
      </c>
    </row>
    <row r="87" spans="1:5" x14ac:dyDescent="0.2">
      <c r="A87" s="50">
        <v>23986</v>
      </c>
      <c r="B87" s="51">
        <v>449.5</v>
      </c>
      <c r="C87" s="53">
        <f>(Table267[[#This Row],[M2 Money Stock, Billions of Dollars, Weekly, Seasonally Adjusted]]-B86)/B86</f>
        <v>8.299685957828597E-3</v>
      </c>
      <c r="D87" s="54">
        <f>((1+Table267[[#This Row],[Monthly change]])^12)-1</f>
        <v>0.10427078662456313</v>
      </c>
      <c r="E87" s="53">
        <f>(Table267[[#This Row],[M2 Money Stock, Billions of Dollars, Weekly, Seasonally Adjusted]]-B75)/B75</f>
        <v>7.819621012233155E-2</v>
      </c>
    </row>
    <row r="88" spans="1:5" x14ac:dyDescent="0.2">
      <c r="A88" s="50">
        <v>24016</v>
      </c>
      <c r="B88" s="51">
        <v>452.6</v>
      </c>
      <c r="C88" s="53">
        <f>(Table267[[#This Row],[M2 Money Stock, Billions of Dollars, Weekly, Seasonally Adjusted]]-B87)/B87</f>
        <v>6.8965517241379812E-3</v>
      </c>
      <c r="D88" s="54">
        <f>((1+Table267[[#This Row],[Monthly change]])^12)-1</f>
        <v>8.5971036702589654E-2</v>
      </c>
      <c r="E88" s="53">
        <f>(Table267[[#This Row],[M2 Money Stock, Billions of Dollars, Weekly, Seasonally Adjusted]]-B76)/B76</f>
        <v>7.9933190169410639E-2</v>
      </c>
    </row>
    <row r="89" spans="1:5" x14ac:dyDescent="0.2">
      <c r="A89" s="50">
        <v>24047</v>
      </c>
      <c r="B89" s="51">
        <v>455.7</v>
      </c>
      <c r="C89" s="53">
        <f>(Table267[[#This Row],[M2 Money Stock, Billions of Dollars, Weekly, Seasonally Adjusted]]-B88)/B88</f>
        <v>6.8493150684930748E-3</v>
      </c>
      <c r="D89" s="54">
        <f>((1+Table267[[#This Row],[Monthly change]])^12)-1</f>
        <v>8.5359838986728054E-2</v>
      </c>
      <c r="E89" s="53">
        <f>(Table267[[#This Row],[M2 Money Stock, Billions of Dollars, Weekly, Seasonally Adjusted]]-B77)/B77</f>
        <v>7.9857819905213248E-2</v>
      </c>
    </row>
    <row r="90" spans="1:5" x14ac:dyDescent="0.2">
      <c r="A90" s="50">
        <v>24077</v>
      </c>
      <c r="B90" s="51">
        <v>459.2</v>
      </c>
      <c r="C90" s="53">
        <f>(Table267[[#This Row],[M2 Money Stock, Billions of Dollars, Weekly, Seasonally Adjusted]]-B89)/B89</f>
        <v>7.6804915514592934E-3</v>
      </c>
      <c r="D90" s="54">
        <f>((1+Table267[[#This Row],[Monthly change]])^12)-1</f>
        <v>9.6160655014751795E-2</v>
      </c>
      <c r="E90" s="53">
        <f>(Table267[[#This Row],[M2 Money Stock, Billions of Dollars, Weekly, Seasonally Adjusted]]-B78)/B78</f>
        <v>8.1233812102660702E-2</v>
      </c>
    </row>
    <row r="91" spans="1:5" x14ac:dyDescent="0.2">
      <c r="A91" s="50">
        <v>24108</v>
      </c>
      <c r="B91" s="51">
        <v>462</v>
      </c>
      <c r="C91" s="53">
        <f>(Table267[[#This Row],[M2 Money Stock, Billions of Dollars, Weekly, Seasonally Adjusted]]-B90)/B90</f>
        <v>6.0975609756097806E-3</v>
      </c>
      <c r="D91" s="54">
        <f>((1+Table267[[#This Row],[Monthly change]])^12)-1</f>
        <v>7.5675195139639273E-2</v>
      </c>
      <c r="E91" s="53">
        <f>(Table267[[#This Row],[M2 Money Stock, Billions of Dollars, Weekly, Seasonally Adjusted]]-B79)/B79</f>
        <v>8.0701754385964913E-2</v>
      </c>
    </row>
    <row r="92" spans="1:5" x14ac:dyDescent="0.2">
      <c r="A92" s="50">
        <v>24139</v>
      </c>
      <c r="B92" s="51">
        <v>464.6</v>
      </c>
      <c r="C92" s="53">
        <f>(Table267[[#This Row],[M2 Money Stock, Billions of Dollars, Weekly, Seasonally Adjusted]]-B91)/B91</f>
        <v>5.6277056277056767E-3</v>
      </c>
      <c r="D92" s="54">
        <f>((1+Table267[[#This Row],[Monthly change]])^12)-1</f>
        <v>6.9662471009258153E-2</v>
      </c>
      <c r="E92" s="53">
        <f>(Table267[[#This Row],[M2 Money Stock, Billions of Dollars, Weekly, Seasonally Adjusted]]-B80)/B80</f>
        <v>7.9460966542751033E-2</v>
      </c>
    </row>
    <row r="93" spans="1:5" x14ac:dyDescent="0.2">
      <c r="A93" s="50">
        <v>24167</v>
      </c>
      <c r="B93" s="51">
        <v>467.2</v>
      </c>
      <c r="C93" s="53">
        <f>(Table267[[#This Row],[M2 Money Stock, Billions of Dollars, Weekly, Seasonally Adjusted]]-B92)/B92</f>
        <v>5.5962117950924791E-3</v>
      </c>
      <c r="D93" s="54">
        <f>((1+Table267[[#This Row],[Monthly change]])^12)-1</f>
        <v>6.9260549280688144E-2</v>
      </c>
      <c r="E93" s="53">
        <f>(Table267[[#This Row],[M2 Money Stock, Billions of Dollars, Weekly, Seasonally Adjusted]]-B81)/B81</f>
        <v>7.8485687903970452E-2</v>
      </c>
    </row>
    <row r="94" spans="1:5" x14ac:dyDescent="0.2">
      <c r="A94" s="50">
        <v>24198</v>
      </c>
      <c r="B94" s="51">
        <v>469.3</v>
      </c>
      <c r="C94" s="53">
        <f>(Table267[[#This Row],[M2 Money Stock, Billions of Dollars, Weekly, Seasonally Adjusted]]-B93)/B93</f>
        <v>4.4948630136986793E-3</v>
      </c>
      <c r="D94" s="54">
        <f>((1+Table267[[#This Row],[Monthly change]])^12)-1</f>
        <v>5.5291988975153306E-2</v>
      </c>
      <c r="E94" s="53">
        <f>(Table267[[#This Row],[M2 Money Stock, Billions of Dollars, Weekly, Seasonally Adjusted]]-B82)/B82</f>
        <v>7.7859439595774085E-2</v>
      </c>
    </row>
    <row r="95" spans="1:5" x14ac:dyDescent="0.2">
      <c r="A95" s="50">
        <v>24228</v>
      </c>
      <c r="B95" s="51">
        <v>470.1</v>
      </c>
      <c r="C95" s="53">
        <f>(Table267[[#This Row],[M2 Money Stock, Billions of Dollars, Weekly, Seasonally Adjusted]]-B94)/B94</f>
        <v>1.7046665246111471E-3</v>
      </c>
      <c r="D95" s="54">
        <f>((1+Table267[[#This Row],[Monthly change]])^12)-1</f>
        <v>2.0648880877381925E-2</v>
      </c>
      <c r="E95" s="53">
        <f>(Table267[[#This Row],[M2 Money Stock, Billions of Dollars, Weekly, Seasonally Adjusted]]-B83)/B83</f>
        <v>7.549759780370624E-2</v>
      </c>
    </row>
    <row r="96" spans="1:5" x14ac:dyDescent="0.2">
      <c r="A96" s="50">
        <v>24259</v>
      </c>
      <c r="B96" s="51">
        <v>471.2</v>
      </c>
      <c r="C96" s="53">
        <f>(Table267[[#This Row],[M2 Money Stock, Billions of Dollars, Weekly, Seasonally Adjusted]]-B95)/B95</f>
        <v>2.3399276749627011E-3</v>
      </c>
      <c r="D96" s="54">
        <f>((1+Table267[[#This Row],[Monthly change]])^12)-1</f>
        <v>2.8443332832713164E-2</v>
      </c>
      <c r="E96" s="53">
        <f>(Table267[[#This Row],[M2 Money Stock, Billions of Dollars, Weekly, Seasonally Adjusted]]-B84)/B84</f>
        <v>7.0665757782322119E-2</v>
      </c>
    </row>
    <row r="97" spans="1:5" x14ac:dyDescent="0.2">
      <c r="A97" s="50">
        <v>24289</v>
      </c>
      <c r="B97" s="51">
        <v>470.9</v>
      </c>
      <c r="C97" s="53">
        <f>(Table267[[#This Row],[M2 Money Stock, Billions of Dollars, Weekly, Seasonally Adjusted]]-B96)/B96</f>
        <v>-6.3667232597625501E-4</v>
      </c>
      <c r="D97" s="54">
        <f>((1+Table267[[#This Row],[Monthly change]])^12)-1</f>
        <v>-7.613371398280222E-3</v>
      </c>
      <c r="E97" s="53">
        <f>(Table267[[#This Row],[M2 Money Stock, Billions of Dollars, Weekly, Seasonally Adjusted]]-B85)/B85</f>
        <v>6.3219688417249953E-2</v>
      </c>
    </row>
    <row r="98" spans="1:5" x14ac:dyDescent="0.2">
      <c r="A98" s="50">
        <v>24320</v>
      </c>
      <c r="B98" s="51">
        <v>472.6</v>
      </c>
      <c r="C98" s="53">
        <f>(Table267[[#This Row],[M2 Money Stock, Billions of Dollars, Weekly, Seasonally Adjusted]]-B97)/B97</f>
        <v>3.6101083032491943E-3</v>
      </c>
      <c r="D98" s="54">
        <f>((1+Table267[[#This Row],[Monthly change]])^12)-1</f>
        <v>4.4191905440243984E-2</v>
      </c>
      <c r="E98" s="53">
        <f>(Table267[[#This Row],[M2 Money Stock, Billions of Dollars, Weekly, Seasonally Adjusted]]-B86)/B86</f>
        <v>6.0116644235083019E-2</v>
      </c>
    </row>
    <row r="99" spans="1:5" x14ac:dyDescent="0.2">
      <c r="A99" s="50">
        <v>24351</v>
      </c>
      <c r="B99" s="51">
        <v>475.4</v>
      </c>
      <c r="C99" s="53">
        <f>(Table267[[#This Row],[M2 Money Stock, Billions of Dollars, Weekly, Seasonally Adjusted]]-B98)/B98</f>
        <v>5.9246720270841186E-3</v>
      </c>
      <c r="D99" s="54">
        <f>((1+Table267[[#This Row],[Monthly change]])^12)-1</f>
        <v>7.3459147385176005E-2</v>
      </c>
      <c r="E99" s="53">
        <f>(Table267[[#This Row],[M2 Money Stock, Billions of Dollars, Weekly, Seasonally Adjusted]]-B87)/B87</f>
        <v>5.7619577308120083E-2</v>
      </c>
    </row>
    <row r="100" spans="1:5" x14ac:dyDescent="0.2">
      <c r="A100" s="50">
        <v>24381</v>
      </c>
      <c r="B100" s="51">
        <v>475.7</v>
      </c>
      <c r="C100" s="53">
        <f>(Table267[[#This Row],[M2 Money Stock, Billions of Dollars, Weekly, Seasonally Adjusted]]-B99)/B99</f>
        <v>6.3104753891462216E-4</v>
      </c>
      <c r="D100" s="54">
        <f>((1+Table267[[#This Row],[Monthly change]])^12)-1</f>
        <v>7.5989084165162257E-3</v>
      </c>
      <c r="E100" s="53">
        <f>(Table267[[#This Row],[M2 Money Stock, Billions of Dollars, Weekly, Seasonally Adjusted]]-B88)/B88</f>
        <v>5.1038444542642433E-2</v>
      </c>
    </row>
    <row r="101" spans="1:5" x14ac:dyDescent="0.2">
      <c r="A101" s="50">
        <v>24412</v>
      </c>
      <c r="B101" s="51">
        <v>477.3</v>
      </c>
      <c r="C101" s="53">
        <f>(Table267[[#This Row],[M2 Money Stock, Billions of Dollars, Weekly, Seasonally Adjusted]]-B100)/B100</f>
        <v>3.3634643682993962E-3</v>
      </c>
      <c r="D101" s="54">
        <f>((1+Table267[[#This Row],[Monthly change]])^12)-1</f>
        <v>4.111665813389398E-2</v>
      </c>
      <c r="E101" s="53">
        <f>(Table267[[#This Row],[M2 Money Stock, Billions of Dollars, Weekly, Seasonally Adjusted]]-B89)/B89</f>
        <v>4.7399605003291691E-2</v>
      </c>
    </row>
    <row r="102" spans="1:5" x14ac:dyDescent="0.2">
      <c r="A102" s="50">
        <v>24442</v>
      </c>
      <c r="B102" s="51">
        <v>480.2</v>
      </c>
      <c r="C102" s="53">
        <f>(Table267[[#This Row],[M2 Money Stock, Billions of Dollars, Weekly, Seasonally Adjusted]]-B101)/B101</f>
        <v>6.0758432851455626E-3</v>
      </c>
      <c r="D102" s="54">
        <f>((1+Table267[[#This Row],[Monthly change]])^12)-1</f>
        <v>7.5396593041605842E-2</v>
      </c>
      <c r="E102" s="53">
        <f>(Table267[[#This Row],[M2 Money Stock, Billions of Dollars, Weekly, Seasonally Adjusted]]-B90)/B90</f>
        <v>4.573170731707317E-2</v>
      </c>
    </row>
    <row r="103" spans="1:5" x14ac:dyDescent="0.2">
      <c r="A103" s="50">
        <v>24473</v>
      </c>
      <c r="B103" s="51">
        <v>481.6</v>
      </c>
      <c r="C103" s="53">
        <f>(Table267[[#This Row],[M2 Money Stock, Billions of Dollars, Weekly, Seasonally Adjusted]]-B102)/B102</f>
        <v>2.9154518950438029E-3</v>
      </c>
      <c r="D103" s="54">
        <f>((1+Table267[[#This Row],[Monthly change]])^12)-1</f>
        <v>3.5551901219228688E-2</v>
      </c>
      <c r="E103" s="53">
        <f>(Table267[[#This Row],[M2 Money Stock, Billions of Dollars, Weekly, Seasonally Adjusted]]-B91)/B91</f>
        <v>4.2424242424242475E-2</v>
      </c>
    </row>
    <row r="104" spans="1:5" x14ac:dyDescent="0.2">
      <c r="A104" s="50">
        <v>24504</v>
      </c>
      <c r="B104" s="51">
        <v>485.1</v>
      </c>
      <c r="C104" s="53">
        <f>(Table267[[#This Row],[M2 Money Stock, Billions of Dollars, Weekly, Seasonally Adjusted]]-B103)/B103</f>
        <v>7.2674418604651162E-3</v>
      </c>
      <c r="D104" s="54">
        <f>((1+Table267[[#This Row],[Monthly change]])^12)-1</f>
        <v>9.0780979983761556E-2</v>
      </c>
      <c r="E104" s="53">
        <f>(Table267[[#This Row],[M2 Money Stock, Billions of Dollars, Weekly, Seasonally Adjusted]]-B92)/B92</f>
        <v>4.4123977615152819E-2</v>
      </c>
    </row>
    <row r="105" spans="1:5" x14ac:dyDescent="0.2">
      <c r="A105" s="50">
        <v>24532</v>
      </c>
      <c r="B105" s="51">
        <v>489.7</v>
      </c>
      <c r="C105" s="53">
        <f>(Table267[[#This Row],[M2 Money Stock, Billions of Dollars, Weekly, Seasonally Adjusted]]-B104)/B104</f>
        <v>9.4825809111522691E-3</v>
      </c>
      <c r="D105" s="54">
        <f>((1+Table267[[#This Row],[Monthly change]])^12)-1</f>
        <v>0.11991729797314576</v>
      </c>
      <c r="E105" s="53">
        <f>(Table267[[#This Row],[M2 Money Stock, Billions of Dollars, Weekly, Seasonally Adjusted]]-B93)/B93</f>
        <v>4.8159246575342464E-2</v>
      </c>
    </row>
    <row r="106" spans="1:5" x14ac:dyDescent="0.2">
      <c r="A106" s="50">
        <v>24563</v>
      </c>
      <c r="B106" s="51">
        <v>492.1</v>
      </c>
      <c r="C106" s="53">
        <f>(Table267[[#This Row],[M2 Money Stock, Billions of Dollars, Weekly, Seasonally Adjusted]]-B105)/B105</f>
        <v>4.9009597712886136E-3</v>
      </c>
      <c r="D106" s="54">
        <f>((1+Table267[[#This Row],[Monthly change]])^12)-1</f>
        <v>6.0422983921963658E-2</v>
      </c>
      <c r="E106" s="53">
        <f>(Table267[[#This Row],[M2 Money Stock, Billions of Dollars, Weekly, Seasonally Adjusted]]-B94)/B94</f>
        <v>4.8582995951417025E-2</v>
      </c>
    </row>
    <row r="107" spans="1:5" x14ac:dyDescent="0.2">
      <c r="A107" s="50">
        <v>24593</v>
      </c>
      <c r="B107" s="51">
        <v>497.2</v>
      </c>
      <c r="C107" s="53">
        <f>(Table267[[#This Row],[M2 Money Stock, Billions of Dollars, Weekly, Seasonally Adjusted]]-B106)/B106</f>
        <v>1.0363747205852399E-2</v>
      </c>
      <c r="D107" s="54">
        <f>((1+Table267[[#This Row],[Monthly change]])^12)-1</f>
        <v>0.13170454286310096</v>
      </c>
      <c r="E107" s="53">
        <f>(Table267[[#This Row],[M2 Money Stock, Billions of Dollars, Weekly, Seasonally Adjusted]]-B95)/B95</f>
        <v>5.7647309083173719E-2</v>
      </c>
    </row>
    <row r="108" spans="1:5" x14ac:dyDescent="0.2">
      <c r="A108" s="50">
        <v>24624</v>
      </c>
      <c r="B108" s="51">
        <v>502</v>
      </c>
      <c r="C108" s="53">
        <f>(Table267[[#This Row],[M2 Money Stock, Billions of Dollars, Weekly, Seasonally Adjusted]]-B107)/B107</f>
        <v>9.6540627514079078E-3</v>
      </c>
      <c r="D108" s="54">
        <f>((1+Table267[[#This Row],[Monthly change]])^12)-1</f>
        <v>0.12220233005696479</v>
      </c>
      <c r="E108" s="53">
        <f>(Table267[[#This Row],[M2 Money Stock, Billions of Dollars, Weekly, Seasonally Adjusted]]-B96)/B96</f>
        <v>6.5365025466893059E-2</v>
      </c>
    </row>
    <row r="109" spans="1:5" x14ac:dyDescent="0.2">
      <c r="A109" s="50">
        <v>24654</v>
      </c>
      <c r="B109" s="51">
        <v>506.3</v>
      </c>
      <c r="C109" s="53">
        <f>(Table267[[#This Row],[M2 Money Stock, Billions of Dollars, Weekly, Seasonally Adjusted]]-B108)/B108</f>
        <v>8.5657370517928516E-3</v>
      </c>
      <c r="D109" s="54">
        <f>((1+Table267[[#This Row],[Monthly change]])^12)-1</f>
        <v>0.10777235496634896</v>
      </c>
      <c r="E109" s="53">
        <f>(Table267[[#This Row],[M2 Money Stock, Billions of Dollars, Weekly, Seasonally Adjusted]]-B97)/B97</f>
        <v>7.5175196432363631E-2</v>
      </c>
    </row>
    <row r="110" spans="1:5" x14ac:dyDescent="0.2">
      <c r="A110" s="50">
        <v>24685</v>
      </c>
      <c r="B110" s="51">
        <v>510.8</v>
      </c>
      <c r="C110" s="53">
        <f>(Table267[[#This Row],[M2 Money Stock, Billions of Dollars, Weekly, Seasonally Adjusted]]-B109)/B109</f>
        <v>8.888011060635987E-3</v>
      </c>
      <c r="D110" s="54">
        <f>((1+Table267[[#This Row],[Monthly change]])^12)-1</f>
        <v>0.11202751829487401</v>
      </c>
      <c r="E110" s="53">
        <f>(Table267[[#This Row],[M2 Money Stock, Billions of Dollars, Weekly, Seasonally Adjusted]]-B98)/B98</f>
        <v>8.082945408379176E-2</v>
      </c>
    </row>
    <row r="111" spans="1:5" x14ac:dyDescent="0.2">
      <c r="A111" s="50">
        <v>24716</v>
      </c>
      <c r="B111" s="51">
        <v>514.70000000000005</v>
      </c>
      <c r="C111" s="53">
        <f>(Table267[[#This Row],[M2 Money Stock, Billions of Dollars, Weekly, Seasonally Adjusted]]-B110)/B110</f>
        <v>7.6350822239624784E-3</v>
      </c>
      <c r="D111" s="54">
        <f>((1+Table267[[#This Row],[Monthly change]])^12)-1</f>
        <v>9.5568043563857286E-2</v>
      </c>
      <c r="E111" s="53">
        <f>(Table267[[#This Row],[M2 Money Stock, Billions of Dollars, Weekly, Seasonally Adjusted]]-B99)/B99</f>
        <v>8.2667227597812518E-2</v>
      </c>
    </row>
    <row r="112" spans="1:5" x14ac:dyDescent="0.2">
      <c r="A112" s="50">
        <v>24746</v>
      </c>
      <c r="B112" s="51">
        <v>518.20000000000005</v>
      </c>
      <c r="C112" s="53">
        <f>(Table267[[#This Row],[M2 Money Stock, Billions of Dollars, Weekly, Seasonally Adjusted]]-B111)/B111</f>
        <v>6.800077715173887E-3</v>
      </c>
      <c r="D112" s="54">
        <f>((1+Table267[[#This Row],[Monthly change]])^12)-1</f>
        <v>8.4723089785599281E-2</v>
      </c>
      <c r="E112" s="53">
        <f>(Table267[[#This Row],[M2 Money Stock, Billions of Dollars, Weekly, Seasonally Adjusted]]-B100)/B100</f>
        <v>8.9342022282951558E-2</v>
      </c>
    </row>
    <row r="113" spans="1:5" x14ac:dyDescent="0.2">
      <c r="A113" s="50">
        <v>24777</v>
      </c>
      <c r="B113" s="51">
        <v>521.20000000000005</v>
      </c>
      <c r="C113" s="53">
        <f>(Table267[[#This Row],[M2 Money Stock, Billions of Dollars, Weekly, Seasonally Adjusted]]-B112)/B112</f>
        <v>5.7892705519104592E-3</v>
      </c>
      <c r="D113" s="54">
        <f>((1+Table267[[#This Row],[Monthly change]])^12)-1</f>
        <v>7.1726527834792275E-2</v>
      </c>
      <c r="E113" s="53">
        <f>(Table267[[#This Row],[M2 Money Stock, Billions of Dollars, Weekly, Seasonally Adjusted]]-B101)/B101</f>
        <v>9.1975696626859491E-2</v>
      </c>
    </row>
    <row r="114" spans="1:5" x14ac:dyDescent="0.2">
      <c r="A114" s="50">
        <v>24807</v>
      </c>
      <c r="B114" s="51">
        <v>524.79999999999995</v>
      </c>
      <c r="C114" s="53">
        <f>(Table267[[#This Row],[M2 Money Stock, Billions of Dollars, Weekly, Seasonally Adjusted]]-B113)/B113</f>
        <v>6.907137375287622E-3</v>
      </c>
      <c r="D114" s="54">
        <f>((1+Table267[[#This Row],[Monthly change]])^12)-1</f>
        <v>8.6108048298451756E-2</v>
      </c>
      <c r="E114" s="53">
        <f>(Table267[[#This Row],[M2 Money Stock, Billions of Dollars, Weekly, Seasonally Adjusted]]-B102)/B102</f>
        <v>9.2877967513535956E-2</v>
      </c>
    </row>
    <row r="115" spans="1:5" x14ac:dyDescent="0.2">
      <c r="A115" s="50">
        <v>24838</v>
      </c>
      <c r="B115" s="51">
        <v>527.4</v>
      </c>
      <c r="C115" s="53">
        <f>(Table267[[#This Row],[M2 Money Stock, Billions of Dollars, Weekly, Seasonally Adjusted]]-B114)/B114</f>
        <v>4.9542682926829703E-3</v>
      </c>
      <c r="D115" s="54">
        <f>((1+Table267[[#This Row],[Monthly change]])^12)-1</f>
        <v>6.1098227512744518E-2</v>
      </c>
      <c r="E115" s="53">
        <f>(Table267[[#This Row],[M2 Money Stock, Billions of Dollars, Weekly, Seasonally Adjusted]]-B103)/B103</f>
        <v>9.509966777408628E-2</v>
      </c>
    </row>
    <row r="116" spans="1:5" x14ac:dyDescent="0.2">
      <c r="A116" s="50">
        <v>24869</v>
      </c>
      <c r="B116" s="51">
        <v>530.4</v>
      </c>
      <c r="C116" s="53">
        <f>(Table267[[#This Row],[M2 Money Stock, Billions of Dollars, Weekly, Seasonally Adjusted]]-B115)/B115</f>
        <v>5.6882821387940841E-3</v>
      </c>
      <c r="D116" s="54">
        <f>((1+Table267[[#This Row],[Monthly change]])^12)-1</f>
        <v>7.0435932901141918E-2</v>
      </c>
      <c r="E116" s="53">
        <f>(Table267[[#This Row],[M2 Money Stock, Billions of Dollars, Weekly, Seasonally Adjusted]]-B104)/B104</f>
        <v>9.3382807668521861E-2</v>
      </c>
    </row>
    <row r="117" spans="1:5" x14ac:dyDescent="0.2">
      <c r="A117" s="50">
        <v>24898</v>
      </c>
      <c r="B117" s="51">
        <v>533.20000000000005</v>
      </c>
      <c r="C117" s="53">
        <f>(Table267[[#This Row],[M2 Money Stock, Billions of Dollars, Weekly, Seasonally Adjusted]]-B116)/B116</f>
        <v>5.2790346907995254E-3</v>
      </c>
      <c r="D117" s="54">
        <f>((1+Table267[[#This Row],[Monthly change]])^12)-1</f>
        <v>6.5220471462948737E-2</v>
      </c>
      <c r="E117" s="53">
        <f>(Table267[[#This Row],[M2 Money Stock, Billions of Dollars, Weekly, Seasonally Adjusted]]-B105)/B105</f>
        <v>8.8829895854604976E-2</v>
      </c>
    </row>
    <row r="118" spans="1:5" x14ac:dyDescent="0.2">
      <c r="A118" s="50">
        <v>24929</v>
      </c>
      <c r="B118" s="51">
        <v>535.70000000000005</v>
      </c>
      <c r="C118" s="53">
        <f>(Table267[[#This Row],[M2 Money Stock, Billions of Dollars, Weekly, Seasonally Adjusted]]-B117)/B117</f>
        <v>4.6886721680420105E-3</v>
      </c>
      <c r="D118" s="54">
        <f>((1+Table267[[#This Row],[Monthly change]])^12)-1</f>
        <v>5.7737904031839093E-2</v>
      </c>
      <c r="E118" s="53">
        <f>(Table267[[#This Row],[M2 Money Stock, Billions of Dollars, Weekly, Seasonally Adjusted]]-B106)/B106</f>
        <v>8.859987807356233E-2</v>
      </c>
    </row>
    <row r="119" spans="1:5" x14ac:dyDescent="0.2">
      <c r="A119" s="50">
        <v>24959</v>
      </c>
      <c r="B119" s="51">
        <v>538.9</v>
      </c>
      <c r="C119" s="53">
        <f>(Table267[[#This Row],[M2 Money Stock, Billions of Dollars, Weekly, Seasonally Adjusted]]-B118)/B118</f>
        <v>5.9734926264699111E-3</v>
      </c>
      <c r="D119" s="54">
        <f>((1+Table267[[#This Row],[Monthly change]])^12)-1</f>
        <v>7.4084493339440227E-2</v>
      </c>
      <c r="E119" s="53">
        <f>(Table267[[#This Row],[M2 Money Stock, Billions of Dollars, Weekly, Seasonally Adjusted]]-B107)/B107</f>
        <v>8.3869670152855971E-2</v>
      </c>
    </row>
    <row r="120" spans="1:5" x14ac:dyDescent="0.2">
      <c r="A120" s="50">
        <v>24990</v>
      </c>
      <c r="B120" s="51">
        <v>542.6</v>
      </c>
      <c r="C120" s="53">
        <f>(Table267[[#This Row],[M2 Money Stock, Billions of Dollars, Weekly, Seasonally Adjusted]]-B119)/B119</f>
        <v>6.8658378177770376E-3</v>
      </c>
      <c r="D120" s="54">
        <f>((1+Table267[[#This Row],[Monthly change]])^12)-1</f>
        <v>8.5573591891893619E-2</v>
      </c>
      <c r="E120" s="53">
        <f>(Table267[[#This Row],[M2 Money Stock, Billions of Dollars, Weekly, Seasonally Adjusted]]-B108)/B108</f>
        <v>8.0876494023904427E-2</v>
      </c>
    </row>
    <row r="121" spans="1:5" x14ac:dyDescent="0.2">
      <c r="A121" s="50">
        <v>25020</v>
      </c>
      <c r="B121" s="51">
        <v>545.6</v>
      </c>
      <c r="C121" s="53">
        <f>(Table267[[#This Row],[M2 Money Stock, Billions of Dollars, Weekly, Seasonally Adjusted]]-B120)/B120</f>
        <v>5.5289347585698485E-3</v>
      </c>
      <c r="D121" s="54">
        <f>((1+Table267[[#This Row],[Monthly change]])^12)-1</f>
        <v>6.8402428902662127E-2</v>
      </c>
      <c r="E121" s="53">
        <f>(Table267[[#This Row],[M2 Money Stock, Billions of Dollars, Weekly, Seasonally Adjusted]]-B109)/B109</f>
        <v>7.762196326288763E-2</v>
      </c>
    </row>
    <row r="122" spans="1:5" x14ac:dyDescent="0.2">
      <c r="A122" s="50">
        <v>25051</v>
      </c>
      <c r="B122" s="51">
        <v>549.4</v>
      </c>
      <c r="C122" s="53">
        <f>(Table267[[#This Row],[M2 Money Stock, Billions of Dollars, Weekly, Seasonally Adjusted]]-B121)/B121</f>
        <v>6.9648093841641395E-3</v>
      </c>
      <c r="D122" s="54">
        <f>((1+Table267[[#This Row],[Monthly change]])^12)-1</f>
        <v>8.6854783722454476E-2</v>
      </c>
      <c r="E122" s="53">
        <f>(Table267[[#This Row],[M2 Money Stock, Billions of Dollars, Weekly, Seasonally Adjusted]]-B110)/B110</f>
        <v>7.5567736883320219E-2</v>
      </c>
    </row>
    <row r="123" spans="1:5" x14ac:dyDescent="0.2">
      <c r="A123" s="50">
        <v>25082</v>
      </c>
      <c r="B123" s="51">
        <v>553.6</v>
      </c>
      <c r="C123" s="53">
        <f>(Table267[[#This Row],[M2 Money Stock, Billions of Dollars, Weekly, Seasonally Adjusted]]-B122)/B122</f>
        <v>7.6447033127048517E-3</v>
      </c>
      <c r="D123" s="54">
        <f>((1+Table267[[#This Row],[Monthly change]])^12)-1</f>
        <v>9.5693578425970705E-2</v>
      </c>
      <c r="E123" s="53">
        <f>(Table267[[#This Row],[M2 Money Stock, Billions of Dollars, Weekly, Seasonally Adjusted]]-B111)/B111</f>
        <v>7.5578006605789727E-2</v>
      </c>
    </row>
    <row r="124" spans="1:5" x14ac:dyDescent="0.2">
      <c r="A124" s="50">
        <v>25112</v>
      </c>
      <c r="B124" s="51">
        <v>557.6</v>
      </c>
      <c r="C124" s="53">
        <f>(Table267[[#This Row],[M2 Money Stock, Billions of Dollars, Weekly, Seasonally Adjusted]]-B123)/B123</f>
        <v>7.2254335260115606E-3</v>
      </c>
      <c r="D124" s="54">
        <f>((1+Table267[[#This Row],[Monthly change]])^12)-1</f>
        <v>9.0235209739946143E-2</v>
      </c>
      <c r="E124" s="53">
        <f>(Table267[[#This Row],[M2 Money Stock, Billions of Dollars, Weekly, Seasonally Adjusted]]-B112)/B112</f>
        <v>7.6032419915090646E-2</v>
      </c>
    </row>
    <row r="125" spans="1:5" x14ac:dyDescent="0.2">
      <c r="A125" s="50">
        <v>25143</v>
      </c>
      <c r="B125" s="51">
        <v>562.4</v>
      </c>
      <c r="C125" s="53">
        <f>(Table267[[#This Row],[M2 Money Stock, Billions of Dollars, Weekly, Seasonally Adjusted]]-B124)/B124</f>
        <v>8.6083213773313384E-3</v>
      </c>
      <c r="D125" s="54">
        <f>((1+Table267[[#This Row],[Monthly change]])^12)-1</f>
        <v>0.1083337624379479</v>
      </c>
      <c r="E125" s="53">
        <f>(Table267[[#This Row],[M2 Money Stock, Billions of Dollars, Weekly, Seasonally Adjusted]]-B113)/B113</f>
        <v>7.9048349961626879E-2</v>
      </c>
    </row>
    <row r="126" spans="1:5" x14ac:dyDescent="0.2">
      <c r="A126" s="50">
        <v>25173</v>
      </c>
      <c r="B126" s="51">
        <v>566.79999999999995</v>
      </c>
      <c r="C126" s="53">
        <f>(Table267[[#This Row],[M2 Money Stock, Billions of Dollars, Weekly, Seasonally Adjusted]]-B125)/B125</f>
        <v>7.8236130867709412E-3</v>
      </c>
      <c r="D126" s="54">
        <f>((1+Table267[[#This Row],[Monthly change]])^12)-1</f>
        <v>9.803037631952316E-2</v>
      </c>
      <c r="E126" s="53">
        <f>(Table267[[#This Row],[M2 Money Stock, Billions of Dollars, Weekly, Seasonally Adjusted]]-B114)/B114</f>
        <v>8.003048780487805E-2</v>
      </c>
    </row>
    <row r="127" spans="1:5" x14ac:dyDescent="0.2">
      <c r="A127" s="50">
        <v>25204</v>
      </c>
      <c r="B127" s="51">
        <v>569.29999999999995</v>
      </c>
      <c r="C127" s="53">
        <f>(Table267[[#This Row],[M2 Money Stock, Billions of Dollars, Weekly, Seasonally Adjusted]]-B126)/B126</f>
        <v>4.4107268877911082E-3</v>
      </c>
      <c r="D127" s="54">
        <f>((1+Table267[[#This Row],[Monthly change]])^12)-1</f>
        <v>5.4231786978178542E-2</v>
      </c>
      <c r="E127" s="53">
        <f>(Table267[[#This Row],[M2 Money Stock, Billions of Dollars, Weekly, Seasonally Adjusted]]-B115)/B115</f>
        <v>7.9446340538490673E-2</v>
      </c>
    </row>
    <row r="128" spans="1:5" x14ac:dyDescent="0.2">
      <c r="A128" s="50">
        <v>25235</v>
      </c>
      <c r="B128" s="51">
        <v>571.9</v>
      </c>
      <c r="C128" s="53">
        <f>(Table267[[#This Row],[M2 Money Stock, Billions of Dollars, Weekly, Seasonally Adjusted]]-B127)/B127</f>
        <v>4.5670121201475903E-3</v>
      </c>
      <c r="D128" s="54">
        <f>((1+Table267[[#This Row],[Monthly change]])^12)-1</f>
        <v>5.6201920469204358E-2</v>
      </c>
      <c r="E128" s="53">
        <f>(Table267[[#This Row],[M2 Money Stock, Billions of Dollars, Weekly, Seasonally Adjusted]]-B116)/B116</f>
        <v>7.8242835595776772E-2</v>
      </c>
    </row>
    <row r="129" spans="1:5" x14ac:dyDescent="0.2">
      <c r="A129" s="50">
        <v>25263</v>
      </c>
      <c r="B129" s="51">
        <v>574.4</v>
      </c>
      <c r="C129" s="53">
        <f>(Table267[[#This Row],[M2 Money Stock, Billions of Dollars, Weekly, Seasonally Adjusted]]-B128)/B128</f>
        <v>4.3713936002797698E-3</v>
      </c>
      <c r="D129" s="54">
        <f>((1+Table267[[#This Row],[Monthly change]])^12)-1</f>
        <v>5.3736481969479E-2</v>
      </c>
      <c r="E129" s="53">
        <f>(Table267[[#This Row],[M2 Money Stock, Billions of Dollars, Weekly, Seasonally Adjusted]]-B117)/B117</f>
        <v>7.7269317329332204E-2</v>
      </c>
    </row>
    <row r="130" spans="1:5" x14ac:dyDescent="0.2">
      <c r="A130" s="50">
        <v>25294</v>
      </c>
      <c r="B130" s="51">
        <v>575.70000000000005</v>
      </c>
      <c r="C130" s="53">
        <f>(Table267[[#This Row],[M2 Money Stock, Billions of Dollars, Weekly, Seasonally Adjusted]]-B129)/B129</f>
        <v>2.2632311977717067E-3</v>
      </c>
      <c r="D130" s="54">
        <f>((1+Table267[[#This Row],[Monthly change]])^12)-1</f>
        <v>2.7499404034497132E-2</v>
      </c>
      <c r="E130" s="53">
        <f>(Table267[[#This Row],[M2 Money Stock, Billions of Dollars, Weekly, Seasonally Adjusted]]-B118)/B118</f>
        <v>7.4668657830875479E-2</v>
      </c>
    </row>
    <row r="131" spans="1:5" x14ac:dyDescent="0.2">
      <c r="A131" s="50">
        <v>25324</v>
      </c>
      <c r="B131" s="51">
        <v>576.5</v>
      </c>
      <c r="C131" s="53">
        <f>(Table267[[#This Row],[M2 Money Stock, Billions of Dollars, Weekly, Seasonally Adjusted]]-B130)/B130</f>
        <v>1.3896126454749948E-3</v>
      </c>
      <c r="D131" s="54">
        <f>((1+Table267[[#This Row],[Monthly change]])^12)-1</f>
        <v>1.6803391476055918E-2</v>
      </c>
      <c r="E131" s="53">
        <f>(Table267[[#This Row],[M2 Money Stock, Billions of Dollars, Weekly, Seasonally Adjusted]]-B119)/B119</f>
        <v>6.9771757283355024E-2</v>
      </c>
    </row>
    <row r="132" spans="1:5" x14ac:dyDescent="0.2">
      <c r="A132" s="50">
        <v>25355</v>
      </c>
      <c r="B132" s="51">
        <v>578.5</v>
      </c>
      <c r="C132" s="53">
        <f>(Table267[[#This Row],[M2 Money Stock, Billions of Dollars, Weekly, Seasonally Adjusted]]-B131)/B131</f>
        <v>3.469210754553339E-3</v>
      </c>
      <c r="D132" s="54">
        <f>((1+Table267[[#This Row],[Monthly change]])^12)-1</f>
        <v>4.2434124843186094E-2</v>
      </c>
      <c r="E132" s="53">
        <f>(Table267[[#This Row],[M2 Money Stock, Billions of Dollars, Weekly, Seasonally Adjusted]]-B120)/B120</f>
        <v>6.6162919277552482E-2</v>
      </c>
    </row>
    <row r="133" spans="1:5" x14ac:dyDescent="0.2">
      <c r="A133" s="50">
        <v>25385</v>
      </c>
      <c r="B133" s="51">
        <v>579.5</v>
      </c>
      <c r="C133" s="53">
        <f>(Table267[[#This Row],[M2 Money Stock, Billions of Dollars, Weekly, Seasonally Adjusted]]-B132)/B132</f>
        <v>1.7286084701815039E-3</v>
      </c>
      <c r="D133" s="54">
        <f>((1+Table267[[#This Row],[Monthly change]])^12)-1</f>
        <v>2.0941656183408153E-2</v>
      </c>
      <c r="E133" s="53">
        <f>(Table267[[#This Row],[M2 Money Stock, Billions of Dollars, Weekly, Seasonally Adjusted]]-B121)/B121</f>
        <v>6.2133431085043947E-2</v>
      </c>
    </row>
    <row r="134" spans="1:5" x14ac:dyDescent="0.2">
      <c r="A134" s="50">
        <v>25416</v>
      </c>
      <c r="B134" s="51">
        <v>580.1</v>
      </c>
      <c r="C134" s="53">
        <f>(Table267[[#This Row],[M2 Money Stock, Billions of Dollars, Weekly, Seasonally Adjusted]]-B133)/B133</f>
        <v>1.0353753235548279E-3</v>
      </c>
      <c r="D134" s="54">
        <f>((1+Table267[[#This Row],[Monthly change]])^12)-1</f>
        <v>1.2495500771836143E-2</v>
      </c>
      <c r="E134" s="53">
        <f>(Table267[[#This Row],[M2 Money Stock, Billions of Dollars, Weekly, Seasonally Adjusted]]-B122)/B122</f>
        <v>5.5879140880961131E-2</v>
      </c>
    </row>
    <row r="135" spans="1:5" x14ac:dyDescent="0.2">
      <c r="A135" s="50">
        <v>25447</v>
      </c>
      <c r="B135" s="51">
        <v>582.1</v>
      </c>
      <c r="C135" s="53">
        <f>(Table267[[#This Row],[M2 Money Stock, Billions of Dollars, Weekly, Seasonally Adjusted]]-B134)/B134</f>
        <v>3.4476814342354763E-3</v>
      </c>
      <c r="D135" s="54">
        <f>((1+Table267[[#This Row],[Monthly change]])^12)-1</f>
        <v>4.2165772812110092E-2</v>
      </c>
      <c r="E135" s="53">
        <f>(Table267[[#This Row],[M2 Money Stock, Billions of Dollars, Weekly, Seasonally Adjusted]]-B123)/B123</f>
        <v>5.1481213872832367E-2</v>
      </c>
    </row>
    <row r="136" spans="1:5" x14ac:dyDescent="0.2">
      <c r="A136" s="50">
        <v>25477</v>
      </c>
      <c r="B136" s="51">
        <v>583.4</v>
      </c>
      <c r="C136" s="53">
        <f>(Table267[[#This Row],[M2 Money Stock, Billions of Dollars, Weekly, Seasonally Adjusted]]-B135)/B135</f>
        <v>2.2332932485826396E-3</v>
      </c>
      <c r="D136" s="54">
        <f>((1+Table267[[#This Row],[Monthly change]])^12)-1</f>
        <v>2.71311633867799E-2</v>
      </c>
      <c r="E136" s="53">
        <f>(Table267[[#This Row],[M2 Money Stock, Billions of Dollars, Weekly, Seasonally Adjusted]]-B124)/B124</f>
        <v>4.6269727403156304E-2</v>
      </c>
    </row>
    <row r="137" spans="1:5" x14ac:dyDescent="0.2">
      <c r="A137" s="50">
        <v>25508</v>
      </c>
      <c r="B137" s="51">
        <v>585.4</v>
      </c>
      <c r="C137" s="53">
        <f>(Table267[[#This Row],[M2 Money Stock, Billions of Dollars, Weekly, Seasonally Adjusted]]-B136)/B136</f>
        <v>3.4281796366129585E-3</v>
      </c>
      <c r="D137" s="54">
        <f>((1+Table267[[#This Row],[Monthly change]])^12)-1</f>
        <v>4.1922747482108669E-2</v>
      </c>
      <c r="E137" s="53">
        <f>(Table267[[#This Row],[M2 Money Stock, Billions of Dollars, Weekly, Seasonally Adjusted]]-B125)/B125</f>
        <v>4.0896159317211953E-2</v>
      </c>
    </row>
    <row r="138" spans="1:5" x14ac:dyDescent="0.2">
      <c r="A138" s="50">
        <v>25538</v>
      </c>
      <c r="B138" s="51">
        <v>587.9</v>
      </c>
      <c r="C138" s="53">
        <f>(Table267[[#This Row],[M2 Money Stock, Billions of Dollars, Weekly, Seasonally Adjusted]]-B137)/B137</f>
        <v>4.2705842159207379E-3</v>
      </c>
      <c r="D138" s="54">
        <f>((1+Table267[[#This Row],[Monthly change]])^12)-1</f>
        <v>5.2468012096399619E-2</v>
      </c>
      <c r="E138" s="53">
        <f>(Table267[[#This Row],[M2 Money Stock, Billions of Dollars, Weekly, Seasonally Adjusted]]-B126)/B126</f>
        <v>3.7226534932956995E-2</v>
      </c>
    </row>
    <row r="139" spans="1:5" x14ac:dyDescent="0.2">
      <c r="A139" s="50">
        <v>25569</v>
      </c>
      <c r="B139" s="51">
        <v>589.6</v>
      </c>
      <c r="C139" s="53">
        <f>(Table267[[#This Row],[M2 Money Stock, Billions of Dollars, Weekly, Seasonally Adjusted]]-B138)/B138</f>
        <v>2.8916482394965907E-3</v>
      </c>
      <c r="D139" s="54">
        <f>((1+Table267[[#This Row],[Monthly change]])^12)-1</f>
        <v>3.5257000549262507E-2</v>
      </c>
      <c r="E139" s="53">
        <f>(Table267[[#This Row],[M2 Money Stock, Billions of Dollars, Weekly, Seasonally Adjusted]]-B127)/B127</f>
        <v>3.5657825399613687E-2</v>
      </c>
    </row>
    <row r="140" spans="1:5" x14ac:dyDescent="0.2">
      <c r="A140" s="50">
        <v>25600</v>
      </c>
      <c r="B140" s="51">
        <v>586.29999999999995</v>
      </c>
      <c r="C140" s="53">
        <f>(Table267[[#This Row],[M2 Money Stock, Billions of Dollars, Weekly, Seasonally Adjusted]]-B139)/B139</f>
        <v>-5.5970149253732502E-3</v>
      </c>
      <c r="D140" s="54">
        <f>((1+Table267[[#This Row],[Monthly change]])^12)-1</f>
        <v>-6.5134717404086162E-2</v>
      </c>
      <c r="E140" s="53">
        <f>(Table267[[#This Row],[M2 Money Stock, Billions of Dollars, Weekly, Seasonally Adjusted]]-B128)/B128</f>
        <v>2.5179227137611431E-2</v>
      </c>
    </row>
    <row r="141" spans="1:5" x14ac:dyDescent="0.2">
      <c r="A141" s="50">
        <v>25628</v>
      </c>
      <c r="B141" s="51">
        <v>587.29999999999995</v>
      </c>
      <c r="C141" s="53">
        <f>(Table267[[#This Row],[M2 Money Stock, Billions of Dollars, Weekly, Seasonally Adjusted]]-B140)/B140</f>
        <v>1.7056114617090229E-3</v>
      </c>
      <c r="D141" s="54">
        <f>((1+Table267[[#This Row],[Monthly change]])^12)-1</f>
        <v>2.0660434630030977E-2</v>
      </c>
      <c r="E141" s="53">
        <f>(Table267[[#This Row],[M2 Money Stock, Billions of Dollars, Weekly, Seasonally Adjusted]]-B129)/B129</f>
        <v>2.2458217270194949E-2</v>
      </c>
    </row>
    <row r="142" spans="1:5" x14ac:dyDescent="0.2">
      <c r="A142" s="50">
        <v>25659</v>
      </c>
      <c r="B142" s="51">
        <v>588.4</v>
      </c>
      <c r="C142" s="53">
        <f>(Table267[[#This Row],[M2 Money Stock, Billions of Dollars, Weekly, Seasonally Adjusted]]-B141)/B141</f>
        <v>1.8729780350758094E-3</v>
      </c>
      <c r="D142" s="54">
        <f>((1+Table267[[#This Row],[Monthly change]])^12)-1</f>
        <v>2.2708719123160748E-2</v>
      </c>
      <c r="E142" s="53">
        <f>(Table267[[#This Row],[M2 Money Stock, Billions of Dollars, Weekly, Seasonally Adjusted]]-B130)/B130</f>
        <v>2.2060100746916677E-2</v>
      </c>
    </row>
    <row r="143" spans="1:5" x14ac:dyDescent="0.2">
      <c r="A143" s="50">
        <v>25689</v>
      </c>
      <c r="B143" s="51">
        <v>591.5</v>
      </c>
      <c r="C143" s="53">
        <f>(Table267[[#This Row],[M2 Money Stock, Billions of Dollars, Weekly, Seasonally Adjusted]]-B142)/B142</f>
        <v>5.2685248130523842E-3</v>
      </c>
      <c r="D143" s="54">
        <f>((1+Table267[[#This Row],[Monthly change]])^12)-1</f>
        <v>6.5086840586452199E-2</v>
      </c>
      <c r="E143" s="53">
        <f>(Table267[[#This Row],[M2 Money Stock, Billions of Dollars, Weekly, Seasonally Adjusted]]-B131)/B131</f>
        <v>2.6019080659150044E-2</v>
      </c>
    </row>
    <row r="144" spans="1:5" x14ac:dyDescent="0.2">
      <c r="A144" s="50">
        <v>25720</v>
      </c>
      <c r="B144" s="51">
        <v>595.20000000000005</v>
      </c>
      <c r="C144" s="53">
        <f>(Table267[[#This Row],[M2 Money Stock, Billions of Dollars, Weekly, Seasonally Adjusted]]-B143)/B143</f>
        <v>6.2552831783601786E-3</v>
      </c>
      <c r="D144" s="54">
        <f>((1+Table267[[#This Row],[Monthly change]])^12)-1</f>
        <v>7.770049637218146E-2</v>
      </c>
      <c r="E144" s="53">
        <f>(Table267[[#This Row],[M2 Money Stock, Billions of Dollars, Weekly, Seasonally Adjusted]]-B132)/B132</f>
        <v>2.8867761452031192E-2</v>
      </c>
    </row>
    <row r="145" spans="1:5" x14ac:dyDescent="0.2">
      <c r="A145" s="50">
        <v>25750</v>
      </c>
      <c r="B145" s="51">
        <v>599.1</v>
      </c>
      <c r="C145" s="53">
        <f>(Table267[[#This Row],[M2 Money Stock, Billions of Dollars, Weekly, Seasonally Adjusted]]-B144)/B144</f>
        <v>6.5524193548386709E-3</v>
      </c>
      <c r="D145" s="54">
        <f>((1+Table267[[#This Row],[Monthly change]])^12)-1</f>
        <v>8.1525502547609818E-2</v>
      </c>
      <c r="E145" s="53">
        <f>(Table267[[#This Row],[M2 Money Stock, Billions of Dollars, Weekly, Seasonally Adjusted]]-B133)/B133</f>
        <v>3.3822260569456468E-2</v>
      </c>
    </row>
    <row r="146" spans="1:5" x14ac:dyDescent="0.2">
      <c r="A146" s="50">
        <v>25781</v>
      </c>
      <c r="B146" s="51">
        <v>604.9</v>
      </c>
      <c r="C146" s="53">
        <f>(Table267[[#This Row],[M2 Money Stock, Billions of Dollars, Weekly, Seasonally Adjusted]]-B145)/B145</f>
        <v>9.6811884493406015E-3</v>
      </c>
      <c r="D146" s="54">
        <f>((1+Table267[[#This Row],[Monthly change]])^12)-1</f>
        <v>0.1225641770022301</v>
      </c>
      <c r="E146" s="53">
        <f>(Table267[[#This Row],[M2 Money Stock, Billions of Dollars, Weekly, Seasonally Adjusted]]-B134)/B134</f>
        <v>4.2751249784519829E-2</v>
      </c>
    </row>
    <row r="147" spans="1:5" x14ac:dyDescent="0.2">
      <c r="A147" s="50">
        <v>25812</v>
      </c>
      <c r="B147" s="51">
        <v>611.20000000000005</v>
      </c>
      <c r="C147" s="53">
        <f>(Table267[[#This Row],[M2 Money Stock, Billions of Dollars, Weekly, Seasonally Adjusted]]-B146)/B146</f>
        <v>1.0414944618945394E-2</v>
      </c>
      <c r="D147" s="54">
        <f>((1+Table267[[#This Row],[Monthly change]])^12)-1</f>
        <v>0.13239288698502349</v>
      </c>
      <c r="E147" s="53">
        <f>(Table267[[#This Row],[M2 Money Stock, Billions of Dollars, Weekly, Seasonally Adjusted]]-B135)/B135</f>
        <v>4.9991410410582408E-2</v>
      </c>
    </row>
    <row r="148" spans="1:5" x14ac:dyDescent="0.2">
      <c r="A148" s="50">
        <v>25842</v>
      </c>
      <c r="B148" s="51">
        <v>616.4</v>
      </c>
      <c r="C148" s="53">
        <f>(Table267[[#This Row],[M2 Money Stock, Billions of Dollars, Weekly, Seasonally Adjusted]]-B147)/B147</f>
        <v>8.5078534031412488E-3</v>
      </c>
      <c r="D148" s="54">
        <f>((1+Table267[[#This Row],[Monthly change]])^12)-1</f>
        <v>0.10700966791302613</v>
      </c>
      <c r="E148" s="53">
        <f>(Table267[[#This Row],[M2 Money Stock, Billions of Dollars, Weekly, Seasonally Adjusted]]-B136)/B136</f>
        <v>5.6564964004113816E-2</v>
      </c>
    </row>
    <row r="149" spans="1:5" x14ac:dyDescent="0.2">
      <c r="A149" s="50">
        <v>25873</v>
      </c>
      <c r="B149" s="51">
        <v>621.1</v>
      </c>
      <c r="C149" s="53">
        <f>(Table267[[#This Row],[M2 Money Stock, Billions of Dollars, Weekly, Seasonally Adjusted]]-B148)/B148</f>
        <v>7.6249188838417355E-3</v>
      </c>
      <c r="D149" s="54">
        <f>((1+Table267[[#This Row],[Monthly change]])^12)-1</f>
        <v>9.5435447787733496E-2</v>
      </c>
      <c r="E149" s="53">
        <f>(Table267[[#This Row],[M2 Money Stock, Billions of Dollars, Weekly, Seasonally Adjusted]]-B137)/B137</f>
        <v>6.0983942603348218E-2</v>
      </c>
    </row>
    <row r="150" spans="1:5" x14ac:dyDescent="0.2">
      <c r="A150" s="50">
        <v>25903</v>
      </c>
      <c r="B150" s="51">
        <v>626.5</v>
      </c>
      <c r="C150" s="53">
        <f>(Table267[[#This Row],[M2 Money Stock, Billions of Dollars, Weekly, Seasonally Adjusted]]-B149)/B149</f>
        <v>8.6942521333118299E-3</v>
      </c>
      <c r="D150" s="54">
        <f>((1+Table267[[#This Row],[Monthly change]])^12)-1</f>
        <v>0.10946741874592725</v>
      </c>
      <c r="E150" s="53">
        <f>(Table267[[#This Row],[M2 Money Stock, Billions of Dollars, Weekly, Seasonally Adjusted]]-B138)/B138</f>
        <v>6.5657424732097333E-2</v>
      </c>
    </row>
    <row r="151" spans="1:5" x14ac:dyDescent="0.2">
      <c r="A151" s="50">
        <v>25934</v>
      </c>
      <c r="B151" s="51">
        <v>632.9</v>
      </c>
      <c r="C151" s="53">
        <f>(Table267[[#This Row],[M2 Money Stock, Billions of Dollars, Weekly, Seasonally Adjusted]]-B150)/B150</f>
        <v>1.021548284118113E-2</v>
      </c>
      <c r="D151" s="54">
        <f>((1+Table267[[#This Row],[Monthly change]])^12)-1</f>
        <v>0.12971330635249756</v>
      </c>
      <c r="E151" s="53">
        <f>(Table267[[#This Row],[M2 Money Stock, Billions of Dollars, Weekly, Seasonally Adjusted]]-B139)/B139</f>
        <v>7.3439620081411042E-2</v>
      </c>
    </row>
    <row r="152" spans="1:5" x14ac:dyDescent="0.2">
      <c r="A152" s="50">
        <v>25965</v>
      </c>
      <c r="B152" s="51">
        <v>641</v>
      </c>
      <c r="C152" s="53">
        <f>(Table267[[#This Row],[M2 Money Stock, Billions of Dollars, Weekly, Seasonally Adjusted]]-B151)/B151</f>
        <v>1.2798230368146663E-2</v>
      </c>
      <c r="D152" s="54">
        <f>((1+Table267[[#This Row],[Monthly change]])^12)-1</f>
        <v>0.16486395301768031</v>
      </c>
      <c r="E152" s="53">
        <f>(Table267[[#This Row],[M2 Money Stock, Billions of Dollars, Weekly, Seasonally Adjusted]]-B140)/B140</f>
        <v>9.3296946955483628E-2</v>
      </c>
    </row>
    <row r="153" spans="1:5" x14ac:dyDescent="0.2">
      <c r="A153" s="50">
        <v>25993</v>
      </c>
      <c r="B153" s="51">
        <v>649.9</v>
      </c>
      <c r="C153" s="53">
        <f>(Table267[[#This Row],[M2 Money Stock, Billions of Dollars, Weekly, Seasonally Adjusted]]-B152)/B152</f>
        <v>1.3884555382215252E-2</v>
      </c>
      <c r="D153" s="54">
        <f>((1+Table267[[#This Row],[Monthly change]])^12)-1</f>
        <v>0.17994588322905081</v>
      </c>
      <c r="E153" s="53">
        <f>(Table267[[#This Row],[M2 Money Stock, Billions of Dollars, Weekly, Seasonally Adjusted]]-B141)/B141</f>
        <v>0.10658947726885754</v>
      </c>
    </row>
    <row r="154" spans="1:5" x14ac:dyDescent="0.2">
      <c r="A154" s="50">
        <v>26024</v>
      </c>
      <c r="B154" s="51">
        <v>658.4</v>
      </c>
      <c r="C154" s="53">
        <f>(Table267[[#This Row],[M2 Money Stock, Billions of Dollars, Weekly, Seasonally Adjusted]]-B153)/B153</f>
        <v>1.30789352208032E-2</v>
      </c>
      <c r="D154" s="54">
        <f>((1+Table267[[#This Row],[Monthly change]])^12)-1</f>
        <v>0.16874407670810632</v>
      </c>
      <c r="E154" s="53">
        <f>(Table267[[#This Row],[M2 Money Stock, Billions of Dollars, Weekly, Seasonally Adjusted]]-B142)/B142</f>
        <v>0.11896668932698845</v>
      </c>
    </row>
    <row r="155" spans="1:5" x14ac:dyDescent="0.2">
      <c r="A155" s="50">
        <v>26054</v>
      </c>
      <c r="B155" s="51">
        <v>666.7</v>
      </c>
      <c r="C155" s="53">
        <f>(Table267[[#This Row],[M2 Money Stock, Billions of Dollars, Weekly, Seasonally Adjusted]]-B154)/B154</f>
        <v>1.2606318347509218E-2</v>
      </c>
      <c r="D155" s="54">
        <f>((1+Table267[[#This Row],[Monthly change]])^12)-1</f>
        <v>0.1622179938717212</v>
      </c>
      <c r="E155" s="53">
        <f>(Table267[[#This Row],[M2 Money Stock, Billions of Dollars, Weekly, Seasonally Adjusted]]-B143)/B143</f>
        <v>0.12713440405748105</v>
      </c>
    </row>
    <row r="156" spans="1:5" x14ac:dyDescent="0.2">
      <c r="A156" s="50">
        <v>26085</v>
      </c>
      <c r="B156" s="51">
        <v>673</v>
      </c>
      <c r="C156" s="53">
        <f>(Table267[[#This Row],[M2 Money Stock, Billions of Dollars, Weekly, Seasonally Adjusted]]-B155)/B155</f>
        <v>9.4495275236237495E-3</v>
      </c>
      <c r="D156" s="54">
        <f>((1+Table267[[#This Row],[Monthly change]])^12)-1</f>
        <v>0.11947734512255104</v>
      </c>
      <c r="E156" s="53">
        <f>(Table267[[#This Row],[M2 Money Stock, Billions of Dollars, Weekly, Seasonally Adjusted]]-B144)/B144</f>
        <v>0.13071236559139776</v>
      </c>
    </row>
    <row r="157" spans="1:5" x14ac:dyDescent="0.2">
      <c r="A157" s="50">
        <v>26115</v>
      </c>
      <c r="B157" s="51">
        <v>679.6</v>
      </c>
      <c r="C157" s="53">
        <f>(Table267[[#This Row],[M2 Money Stock, Billions of Dollars, Weekly, Seasonally Adjusted]]-B156)/B156</f>
        <v>9.8068350668648191E-3</v>
      </c>
      <c r="D157" s="54">
        <f>((1+Table267[[#This Row],[Monthly change]])^12)-1</f>
        <v>0.12424165266351106</v>
      </c>
      <c r="E157" s="53">
        <f>(Table267[[#This Row],[M2 Money Stock, Billions of Dollars, Weekly, Seasonally Adjusted]]-B145)/B145</f>
        <v>0.13436821899515941</v>
      </c>
    </row>
    <row r="158" spans="1:5" x14ac:dyDescent="0.2">
      <c r="A158" s="50">
        <v>26146</v>
      </c>
      <c r="B158" s="51">
        <v>685.5</v>
      </c>
      <c r="C158" s="53">
        <f>(Table267[[#This Row],[M2 Money Stock, Billions of Dollars, Weekly, Seasonally Adjusted]]-B157)/B157</f>
        <v>8.6815773984696542E-3</v>
      </c>
      <c r="D158" s="54">
        <f>((1+Table267[[#This Row],[Monthly change]])^12)-1</f>
        <v>0.1093001383215404</v>
      </c>
      <c r="E158" s="53">
        <f>(Table267[[#This Row],[M2 Money Stock, Billions of Dollars, Weekly, Seasonally Adjusted]]-B146)/B146</f>
        <v>0.1332451644899984</v>
      </c>
    </row>
    <row r="159" spans="1:5" x14ac:dyDescent="0.2">
      <c r="A159" s="50">
        <v>26177</v>
      </c>
      <c r="B159" s="51">
        <v>692.5</v>
      </c>
      <c r="C159" s="53">
        <f>(Table267[[#This Row],[M2 Money Stock, Billions of Dollars, Weekly, Seasonally Adjusted]]-B158)/B158</f>
        <v>1.0211524434719184E-2</v>
      </c>
      <c r="D159" s="54">
        <f>((1+Table267[[#This Row],[Monthly change]])^12)-1</f>
        <v>0.12966018776753319</v>
      </c>
      <c r="E159" s="53">
        <f>(Table267[[#This Row],[M2 Money Stock, Billions of Dollars, Weekly, Seasonally Adjusted]]-B147)/B147</f>
        <v>0.13301701570680619</v>
      </c>
    </row>
    <row r="160" spans="1:5" x14ac:dyDescent="0.2">
      <c r="A160" s="50">
        <v>26207</v>
      </c>
      <c r="B160" s="51">
        <v>698.4</v>
      </c>
      <c r="C160" s="53">
        <f>(Table267[[#This Row],[M2 Money Stock, Billions of Dollars, Weekly, Seasonally Adjusted]]-B159)/B159</f>
        <v>8.5198555956678378E-3</v>
      </c>
      <c r="D160" s="54">
        <f>((1+Table267[[#This Row],[Monthly change]])^12)-1</f>
        <v>0.10716777174326308</v>
      </c>
      <c r="E160" s="53">
        <f>(Table267[[#This Row],[M2 Money Stock, Billions of Dollars, Weekly, Seasonally Adjusted]]-B148)/B148</f>
        <v>0.13303049967553537</v>
      </c>
    </row>
    <row r="161" spans="1:5" x14ac:dyDescent="0.2">
      <c r="A161" s="50">
        <v>26238</v>
      </c>
      <c r="B161" s="51">
        <v>704.6</v>
      </c>
      <c r="C161" s="53">
        <f>(Table267[[#This Row],[M2 Money Stock, Billions of Dollars, Weekly, Seasonally Adjusted]]-B160)/B160</f>
        <v>8.8774341351661595E-3</v>
      </c>
      <c r="D161" s="54">
        <f>((1+Table267[[#This Row],[Monthly change]])^12)-1</f>
        <v>0.11188762779505268</v>
      </c>
      <c r="E161" s="53">
        <f>(Table267[[#This Row],[M2 Money Stock, Billions of Dollars, Weekly, Seasonally Adjusted]]-B149)/B149</f>
        <v>0.13443889872806311</v>
      </c>
    </row>
    <row r="162" spans="1:5" x14ac:dyDescent="0.2">
      <c r="A162" s="50">
        <v>26268</v>
      </c>
      <c r="B162" s="51">
        <v>710.3</v>
      </c>
      <c r="C162" s="53">
        <f>(Table267[[#This Row],[M2 Money Stock, Billions of Dollars, Weekly, Seasonally Adjusted]]-B161)/B161</f>
        <v>8.0896962815781032E-3</v>
      </c>
      <c r="D162" s="54">
        <f>((1+Table267[[#This Row],[Monthly change]])^12)-1</f>
        <v>0.10151422475188676</v>
      </c>
      <c r="E162" s="53">
        <f>(Table267[[#This Row],[M2 Money Stock, Billions of Dollars, Weekly, Seasonally Adjusted]]-B150)/B150</f>
        <v>0.1337589784517158</v>
      </c>
    </row>
    <row r="163" spans="1:5" x14ac:dyDescent="0.2">
      <c r="A163" s="50">
        <v>26299</v>
      </c>
      <c r="B163" s="51">
        <v>717.7</v>
      </c>
      <c r="C163" s="53">
        <f>(Table267[[#This Row],[M2 Money Stock, Billions of Dollars, Weekly, Seasonally Adjusted]]-B162)/B162</f>
        <v>1.0418133183162172E-2</v>
      </c>
      <c r="D163" s="54">
        <f>((1+Table267[[#This Row],[Monthly change]])^12)-1</f>
        <v>0.13243576960619552</v>
      </c>
      <c r="E163" s="53">
        <f>(Table267[[#This Row],[M2 Money Stock, Billions of Dollars, Weekly, Seasonally Adjusted]]-B151)/B151</f>
        <v>0.13398641175541171</v>
      </c>
    </row>
    <row r="164" spans="1:5" x14ac:dyDescent="0.2">
      <c r="A164" s="50">
        <v>26330</v>
      </c>
      <c r="B164" s="51">
        <v>725.7</v>
      </c>
      <c r="C164" s="53">
        <f>(Table267[[#This Row],[M2 Money Stock, Billions of Dollars, Weekly, Seasonally Adjusted]]-B163)/B163</f>
        <v>1.1146718684687194E-2</v>
      </c>
      <c r="D164" s="54">
        <f>((1+Table267[[#This Row],[Monthly change]])^12)-1</f>
        <v>0.14227355425517385</v>
      </c>
      <c r="E164" s="53">
        <f>(Table267[[#This Row],[M2 Money Stock, Billions of Dollars, Weekly, Seasonally Adjusted]]-B152)/B152</f>
        <v>0.13213728549141973</v>
      </c>
    </row>
    <row r="165" spans="1:5" x14ac:dyDescent="0.2">
      <c r="A165" s="50">
        <v>26359</v>
      </c>
      <c r="B165" s="51">
        <v>733.5</v>
      </c>
      <c r="C165" s="53">
        <f>(Table267[[#This Row],[M2 Money Stock, Billions of Dollars, Weekly, Seasonally Adjusted]]-B164)/B164</f>
        <v>1.0748243075651032E-2</v>
      </c>
      <c r="D165" s="54">
        <f>((1+Table267[[#This Row],[Monthly change]])^12)-1</f>
        <v>0.13688344166597299</v>
      </c>
      <c r="E165" s="53">
        <f>(Table267[[#This Row],[M2 Money Stock, Billions of Dollars, Weekly, Seasonally Adjusted]]-B153)/B153</f>
        <v>0.12863517464225269</v>
      </c>
    </row>
    <row r="166" spans="1:5" x14ac:dyDescent="0.2">
      <c r="A166" s="50">
        <v>26390</v>
      </c>
      <c r="B166" s="51">
        <v>738.4</v>
      </c>
      <c r="C166" s="53">
        <f>(Table267[[#This Row],[M2 Money Stock, Billions of Dollars, Weekly, Seasonally Adjusted]]-B165)/B165</f>
        <v>6.680299931833643E-3</v>
      </c>
      <c r="D166" s="54">
        <f>((1+Table267[[#This Row],[Monthly change]])^12)-1</f>
        <v>8.317552438832676E-2</v>
      </c>
      <c r="E166" s="53">
        <f>(Table267[[#This Row],[M2 Money Stock, Billions of Dollars, Weekly, Seasonally Adjusted]]-B154)/B154</f>
        <v>0.12150668286755772</v>
      </c>
    </row>
    <row r="167" spans="1:5" x14ac:dyDescent="0.2">
      <c r="A167" s="50">
        <v>26420</v>
      </c>
      <c r="B167" s="51">
        <v>743.3</v>
      </c>
      <c r="C167" s="53">
        <f>(Table267[[#This Row],[M2 Money Stock, Billions of Dollars, Weekly, Seasonally Adjusted]]-B166)/B166</f>
        <v>6.635969664138648E-3</v>
      </c>
      <c r="D167" s="54">
        <f>((1+Table267[[#This Row],[Monthly change]])^12)-1</f>
        <v>8.2603277176466428E-2</v>
      </c>
      <c r="E167" s="53">
        <f>(Table267[[#This Row],[M2 Money Stock, Billions of Dollars, Weekly, Seasonally Adjusted]]-B155)/B155</f>
        <v>0.1148942552872355</v>
      </c>
    </row>
    <row r="168" spans="1:5" x14ac:dyDescent="0.2">
      <c r="A168" s="50">
        <v>26451</v>
      </c>
      <c r="B168" s="51">
        <v>749.7</v>
      </c>
      <c r="C168" s="53">
        <f>(Table267[[#This Row],[M2 Money Stock, Billions of Dollars, Weekly, Seasonally Adjusted]]-B167)/B167</f>
        <v>8.6102515807884982E-3</v>
      </c>
      <c r="D168" s="54">
        <f>((1+Table267[[#This Row],[Monthly change]])^12)-1</f>
        <v>0.10835921531750903</v>
      </c>
      <c r="E168" s="53">
        <f>(Table267[[#This Row],[M2 Money Stock, Billions of Dollars, Weekly, Seasonally Adjusted]]-B156)/B156</f>
        <v>0.11396731054977718</v>
      </c>
    </row>
    <row r="169" spans="1:5" x14ac:dyDescent="0.2">
      <c r="A169" s="50">
        <v>26481</v>
      </c>
      <c r="B169" s="51">
        <v>759.5</v>
      </c>
      <c r="C169" s="53">
        <f>(Table267[[#This Row],[M2 Money Stock, Billions of Dollars, Weekly, Seasonally Adjusted]]-B168)/B168</f>
        <v>1.3071895424836539E-2</v>
      </c>
      <c r="D169" s="54">
        <f>((1+Table267[[#This Row],[Monthly change]])^12)-1</f>
        <v>0.1686466224414771</v>
      </c>
      <c r="E169" s="53">
        <f>(Table267[[#This Row],[M2 Money Stock, Billions of Dollars, Weekly, Seasonally Adjusted]]-B157)/B157</f>
        <v>0.11756915832842844</v>
      </c>
    </row>
    <row r="170" spans="1:5" x14ac:dyDescent="0.2">
      <c r="A170" s="50">
        <v>26512</v>
      </c>
      <c r="B170" s="51">
        <v>768.7</v>
      </c>
      <c r="C170" s="53">
        <f>(Table267[[#This Row],[M2 Money Stock, Billions of Dollars, Weekly, Seasonally Adjusted]]-B169)/B169</f>
        <v>1.2113232389730146E-2</v>
      </c>
      <c r="D170" s="54">
        <f>((1+Table267[[#This Row],[Monthly change]])^12)-1</f>
        <v>0.15544488523413924</v>
      </c>
      <c r="E170" s="53">
        <f>(Table267[[#This Row],[M2 Money Stock, Billions of Dollars, Weekly, Seasonally Adjusted]]-B158)/B158</f>
        <v>0.12137126185266235</v>
      </c>
    </row>
    <row r="171" spans="1:5" x14ac:dyDescent="0.2">
      <c r="A171" s="50">
        <v>26543</v>
      </c>
      <c r="B171" s="51">
        <v>778.3</v>
      </c>
      <c r="C171" s="53">
        <f>(Table267[[#This Row],[M2 Money Stock, Billions of Dollars, Weekly, Seasonally Adjusted]]-B170)/B170</f>
        <v>1.2488617145830504E-2</v>
      </c>
      <c r="D171" s="54">
        <f>((1+Table267[[#This Row],[Monthly change]])^12)-1</f>
        <v>0.16059793244946441</v>
      </c>
      <c r="E171" s="53">
        <f>(Table267[[#This Row],[M2 Money Stock, Billions of Dollars, Weekly, Seasonally Adjusted]]-B159)/B159</f>
        <v>0.12389891696750896</v>
      </c>
    </row>
    <row r="172" spans="1:5" x14ac:dyDescent="0.2">
      <c r="A172" s="50">
        <v>26573</v>
      </c>
      <c r="B172" s="51">
        <v>786.9</v>
      </c>
      <c r="C172" s="53">
        <f>(Table267[[#This Row],[M2 Money Stock, Billions of Dollars, Weekly, Seasonally Adjusted]]-B171)/B171</f>
        <v>1.1049723756906106E-2</v>
      </c>
      <c r="D172" s="54">
        <f>((1+Table267[[#This Row],[Monthly change]])^12)-1</f>
        <v>0.14095936746254489</v>
      </c>
      <c r="E172" s="53">
        <f>(Table267[[#This Row],[M2 Money Stock, Billions of Dollars, Weekly, Seasonally Adjusted]]-B160)/B160</f>
        <v>0.12671821305841924</v>
      </c>
    </row>
    <row r="173" spans="1:5" x14ac:dyDescent="0.2">
      <c r="A173" s="50">
        <v>26604</v>
      </c>
      <c r="B173" s="51">
        <v>793.9</v>
      </c>
      <c r="C173" s="53">
        <f>(Table267[[#This Row],[M2 Money Stock, Billions of Dollars, Weekly, Seasonally Adjusted]]-B172)/B172</f>
        <v>8.8956665395857164E-3</v>
      </c>
      <c r="D173" s="54">
        <f>((1+Table267[[#This Row],[Monthly change]])^12)-1</f>
        <v>0.11212877978428692</v>
      </c>
      <c r="E173" s="53">
        <f>(Table267[[#This Row],[M2 Money Stock, Billions of Dollars, Weekly, Seasonally Adjusted]]-B161)/B161</f>
        <v>0.12673857507805841</v>
      </c>
    </row>
    <row r="174" spans="1:5" x14ac:dyDescent="0.2">
      <c r="A174" s="50">
        <v>26634</v>
      </c>
      <c r="B174" s="51">
        <v>802.3</v>
      </c>
      <c r="C174" s="53">
        <f>(Table267[[#This Row],[M2 Money Stock, Billions of Dollars, Weekly, Seasonally Adjusted]]-B173)/B173</f>
        <v>1.0580677667212468E-2</v>
      </c>
      <c r="D174" s="54">
        <f>((1+Table267[[#This Row],[Monthly change]])^12)-1</f>
        <v>0.13462378422483812</v>
      </c>
      <c r="E174" s="53">
        <f>(Table267[[#This Row],[M2 Money Stock, Billions of Dollars, Weekly, Seasonally Adjusted]]-B162)/B162</f>
        <v>0.12952273687174434</v>
      </c>
    </row>
    <row r="175" spans="1:5" x14ac:dyDescent="0.2">
      <c r="A175" s="50">
        <v>26665</v>
      </c>
      <c r="B175" s="51">
        <v>810.3</v>
      </c>
      <c r="C175" s="53">
        <f>(Table267[[#This Row],[M2 Money Stock, Billions of Dollars, Weekly, Seasonally Adjusted]]-B174)/B174</f>
        <v>9.9713324192945291E-3</v>
      </c>
      <c r="D175" s="54">
        <f>((1+Table267[[#This Row],[Monthly change]])^12)-1</f>
        <v>0.12644128789345643</v>
      </c>
      <c r="E175" s="53">
        <f>(Table267[[#This Row],[M2 Money Stock, Billions of Dollars, Weekly, Seasonally Adjusted]]-B163)/B163</f>
        <v>0.12902326877525416</v>
      </c>
    </row>
    <row r="176" spans="1:5" x14ac:dyDescent="0.2">
      <c r="A176" s="50">
        <v>26696</v>
      </c>
      <c r="B176" s="51">
        <v>814.1</v>
      </c>
      <c r="C176" s="53">
        <f>(Table267[[#This Row],[M2 Money Stock, Billions of Dollars, Weekly, Seasonally Adjusted]]-B175)/B175</f>
        <v>4.6896211279773767E-3</v>
      </c>
      <c r="D176" s="54">
        <f>((1+Table267[[#This Row],[Monthly change]])^12)-1</f>
        <v>5.7749892893290022E-2</v>
      </c>
      <c r="E176" s="53">
        <f>(Table267[[#This Row],[M2 Money Stock, Billions of Dollars, Weekly, Seasonally Adjusted]]-B164)/B164</f>
        <v>0.12181342152404571</v>
      </c>
    </row>
    <row r="177" spans="1:5" x14ac:dyDescent="0.2">
      <c r="A177" s="50">
        <v>26724</v>
      </c>
      <c r="B177" s="51">
        <v>815.3</v>
      </c>
      <c r="C177" s="53">
        <f>(Table267[[#This Row],[M2 Money Stock, Billions of Dollars, Weekly, Seasonally Adjusted]]-B176)/B176</f>
        <v>1.4740203906153198E-3</v>
      </c>
      <c r="D177" s="54">
        <f>((1+Table267[[#This Row],[Monthly change]])^12)-1</f>
        <v>1.7832352197694412E-2</v>
      </c>
      <c r="E177" s="53">
        <f>(Table267[[#This Row],[M2 Money Stock, Billions of Dollars, Weekly, Seasonally Adjusted]]-B165)/B165</f>
        <v>0.11152010906612127</v>
      </c>
    </row>
    <row r="178" spans="1:5" x14ac:dyDescent="0.2">
      <c r="A178" s="50">
        <v>26755</v>
      </c>
      <c r="B178" s="51">
        <v>819.7</v>
      </c>
      <c r="C178" s="53">
        <f>(Table267[[#This Row],[M2 Money Stock, Billions of Dollars, Weekly, Seasonally Adjusted]]-B177)/B177</f>
        <v>5.3967864589722697E-3</v>
      </c>
      <c r="D178" s="54">
        <f>((1+Table267[[#This Row],[Monthly change]])^12)-1</f>
        <v>6.6718711396434482E-2</v>
      </c>
      <c r="E178" s="53">
        <f>(Table267[[#This Row],[M2 Money Stock, Billions of Dollars, Weekly, Seasonally Adjusted]]-B166)/B166</f>
        <v>0.11010292524377041</v>
      </c>
    </row>
    <row r="179" spans="1:5" x14ac:dyDescent="0.2">
      <c r="A179" s="50">
        <v>26785</v>
      </c>
      <c r="B179" s="51">
        <v>826.8</v>
      </c>
      <c r="C179" s="53">
        <f>(Table267[[#This Row],[M2 Money Stock, Billions of Dollars, Weekly, Seasonally Adjusted]]-B178)/B178</f>
        <v>8.6617055020128206E-3</v>
      </c>
      <c r="D179" s="54">
        <f>((1+Table267[[#This Row],[Monthly change]])^12)-1</f>
        <v>0.10903791670974838</v>
      </c>
      <c r="E179" s="53">
        <f>(Table267[[#This Row],[M2 Money Stock, Billions of Dollars, Weekly, Seasonally Adjusted]]-B167)/B167</f>
        <v>0.11233687609309835</v>
      </c>
    </row>
    <row r="180" spans="1:5" x14ac:dyDescent="0.2">
      <c r="A180" s="50">
        <v>26816</v>
      </c>
      <c r="B180" s="51">
        <v>833.3</v>
      </c>
      <c r="C180" s="53">
        <f>(Table267[[#This Row],[M2 Money Stock, Billions of Dollars, Weekly, Seasonally Adjusted]]-B179)/B179</f>
        <v>7.8616352201257862E-3</v>
      </c>
      <c r="D180" s="54">
        <f>((1+Table267[[#This Row],[Monthly change]])^12)-1</f>
        <v>9.8527583817579867E-2</v>
      </c>
      <c r="E180" s="53">
        <f>(Table267[[#This Row],[M2 Money Stock, Billions of Dollars, Weekly, Seasonally Adjusted]]-B168)/B168</f>
        <v>0.11151127117513659</v>
      </c>
    </row>
    <row r="181" spans="1:5" x14ac:dyDescent="0.2">
      <c r="A181" s="50">
        <v>26846</v>
      </c>
      <c r="B181" s="51">
        <v>836.5</v>
      </c>
      <c r="C181" s="53">
        <f>(Table267[[#This Row],[M2 Money Stock, Billions of Dollars, Weekly, Seasonally Adjusted]]-B180)/B180</f>
        <v>3.8401536061443003E-3</v>
      </c>
      <c r="D181" s="54">
        <f>((1+Table267[[#This Row],[Monthly change]])^12)-1</f>
        <v>4.7067697623818017E-2</v>
      </c>
      <c r="E181" s="53">
        <f>(Table267[[#This Row],[M2 Money Stock, Billions of Dollars, Weekly, Seasonally Adjusted]]-B169)/B169</f>
        <v>0.10138248847926268</v>
      </c>
    </row>
    <row r="182" spans="1:5" x14ac:dyDescent="0.2">
      <c r="A182" s="50">
        <v>26877</v>
      </c>
      <c r="B182" s="51">
        <v>838.8</v>
      </c>
      <c r="C182" s="53">
        <f>(Table267[[#This Row],[M2 Money Stock, Billions of Dollars, Weekly, Seasonally Adjusted]]-B181)/B181</f>
        <v>2.7495517035265446E-3</v>
      </c>
      <c r="D182" s="54">
        <f>((1+Table267[[#This Row],[Monthly change]])^12)-1</f>
        <v>3.3498184215419835E-2</v>
      </c>
      <c r="E182" s="53">
        <f>(Table267[[#This Row],[M2 Money Stock, Billions of Dollars, Weekly, Seasonally Adjusted]]-B170)/B170</f>
        <v>9.1192923116950569E-2</v>
      </c>
    </row>
    <row r="183" spans="1:5" x14ac:dyDescent="0.2">
      <c r="A183" s="50">
        <v>26908</v>
      </c>
      <c r="B183" s="51">
        <v>839.3</v>
      </c>
      <c r="C183" s="53">
        <f>(Table267[[#This Row],[M2 Money Stock, Billions of Dollars, Weekly, Seasonally Adjusted]]-B182)/B182</f>
        <v>5.9608965188364337E-4</v>
      </c>
      <c r="D183" s="54">
        <f>((1+Table267[[#This Row],[Monthly change]])^12)-1</f>
        <v>7.1765737917275363E-3</v>
      </c>
      <c r="E183" s="53">
        <f>(Table267[[#This Row],[M2 Money Stock, Billions of Dollars, Weekly, Seasonally Adjusted]]-B171)/B171</f>
        <v>7.8375947578054744E-2</v>
      </c>
    </row>
    <row r="184" spans="1:5" x14ac:dyDescent="0.2">
      <c r="A184" s="50">
        <v>26938</v>
      </c>
      <c r="B184" s="51">
        <v>842.6</v>
      </c>
      <c r="C184" s="53">
        <f>(Table267[[#This Row],[M2 Money Stock, Billions of Dollars, Weekly, Seasonally Adjusted]]-B183)/B183</f>
        <v>3.9318479685452974E-3</v>
      </c>
      <c r="D184" s="54">
        <f>((1+Table267[[#This Row],[Monthly change]])^12)-1</f>
        <v>4.8215989456661834E-2</v>
      </c>
      <c r="E184" s="53">
        <f>(Table267[[#This Row],[M2 Money Stock, Billions of Dollars, Weekly, Seasonally Adjusted]]-B172)/B172</f>
        <v>7.0784089464989264E-2</v>
      </c>
    </row>
    <row r="185" spans="1:5" x14ac:dyDescent="0.2">
      <c r="A185" s="50">
        <v>26969</v>
      </c>
      <c r="B185" s="51">
        <v>848.9</v>
      </c>
      <c r="C185" s="53">
        <f>(Table267[[#This Row],[M2 Money Stock, Billions of Dollars, Weekly, Seasonally Adjusted]]-B184)/B184</f>
        <v>7.4768573463089892E-3</v>
      </c>
      <c r="D185" s="54">
        <f>((1+Table267[[#This Row],[Monthly change]])^12)-1</f>
        <v>9.3505433892078882E-2</v>
      </c>
      <c r="E185" s="53">
        <f>(Table267[[#This Row],[M2 Money Stock, Billions of Dollars, Weekly, Seasonally Adjusted]]-B173)/B173</f>
        <v>6.927824663055801E-2</v>
      </c>
    </row>
    <row r="186" spans="1:5" x14ac:dyDescent="0.2">
      <c r="A186" s="50">
        <v>26999</v>
      </c>
      <c r="B186" s="51">
        <v>855.5</v>
      </c>
      <c r="C186" s="53">
        <f>(Table267[[#This Row],[M2 Money Stock, Billions of Dollars, Weekly, Seasonally Adjusted]]-B185)/B185</f>
        <v>7.7747673459771741E-3</v>
      </c>
      <c r="D186" s="54">
        <f>((1+Table267[[#This Row],[Monthly change]])^12)-1</f>
        <v>9.7391933500053707E-2</v>
      </c>
      <c r="E186" s="53">
        <f>(Table267[[#This Row],[M2 Money Stock, Billions of Dollars, Weekly, Seasonally Adjusted]]-B174)/B174</f>
        <v>6.6309360588308677E-2</v>
      </c>
    </row>
    <row r="187" spans="1:5" x14ac:dyDescent="0.2">
      <c r="A187" s="50">
        <v>27030</v>
      </c>
      <c r="B187" s="51">
        <v>859.7</v>
      </c>
      <c r="C187" s="53">
        <f>(Table267[[#This Row],[M2 Money Stock, Billions of Dollars, Weekly, Seasonally Adjusted]]-B186)/B186</f>
        <v>4.9094097019287495E-3</v>
      </c>
      <c r="D187" s="54">
        <f>((1+Table267[[#This Row],[Monthly change]])^12)-1</f>
        <v>6.0529990468142003E-2</v>
      </c>
      <c r="E187" s="53">
        <f>(Table267[[#This Row],[M2 Money Stock, Billions of Dollars, Weekly, Seasonally Adjusted]]-B175)/B175</f>
        <v>6.0965074663704918E-2</v>
      </c>
    </row>
    <row r="188" spans="1:5" x14ac:dyDescent="0.2">
      <c r="A188" s="50">
        <v>27061</v>
      </c>
      <c r="B188" s="51">
        <v>864.2</v>
      </c>
      <c r="C188" s="53">
        <f>(Table267[[#This Row],[M2 Money Stock, Billions of Dollars, Weekly, Seasonally Adjusted]]-B187)/B187</f>
        <v>5.2343840874723739E-3</v>
      </c>
      <c r="D188" s="54">
        <f>((1+Table267[[#This Row],[Monthly change]])^12)-1</f>
        <v>6.46528544996956E-2</v>
      </c>
      <c r="E188" s="53">
        <f>(Table267[[#This Row],[M2 Money Stock, Billions of Dollars, Weekly, Seasonally Adjusted]]-B176)/B176</f>
        <v>6.1540351308193124E-2</v>
      </c>
    </row>
    <row r="189" spans="1:5" x14ac:dyDescent="0.2">
      <c r="A189" s="50">
        <v>27089</v>
      </c>
      <c r="B189" s="51">
        <v>870.1</v>
      </c>
      <c r="C189" s="53">
        <f>(Table267[[#This Row],[M2 Money Stock, Billions of Dollars, Weekly, Seasonally Adjusted]]-B188)/B188</f>
        <v>6.8271233510761135E-3</v>
      </c>
      <c r="D189" s="54">
        <f>((1+Table267[[#This Row],[Monthly change]])^12)-1</f>
        <v>8.5072808001351419E-2</v>
      </c>
      <c r="E189" s="53">
        <f>(Table267[[#This Row],[M2 Money Stock, Billions of Dollars, Weekly, Seasonally Adjusted]]-B177)/B177</f>
        <v>6.7214522261744236E-2</v>
      </c>
    </row>
    <row r="190" spans="1:5" x14ac:dyDescent="0.2">
      <c r="A190" s="50">
        <v>27120</v>
      </c>
      <c r="B190" s="51">
        <v>872.9</v>
      </c>
      <c r="C190" s="53">
        <f>(Table267[[#This Row],[M2 Money Stock, Billions of Dollars, Weekly, Seasonally Adjusted]]-B189)/B189</f>
        <v>3.2180209171359091E-3</v>
      </c>
      <c r="D190" s="54">
        <f>((1+Table267[[#This Row],[Monthly change]])^12)-1</f>
        <v>3.9307109272472829E-2</v>
      </c>
      <c r="E190" s="53">
        <f>(Table267[[#This Row],[M2 Money Stock, Billions of Dollars, Weekly, Seasonally Adjusted]]-B178)/B178</f>
        <v>6.490179333902639E-2</v>
      </c>
    </row>
    <row r="191" spans="1:5" x14ac:dyDescent="0.2">
      <c r="A191" s="50">
        <v>27150</v>
      </c>
      <c r="B191" s="51">
        <v>874.6</v>
      </c>
      <c r="C191" s="53">
        <f>(Table267[[#This Row],[M2 Money Stock, Billions of Dollars, Weekly, Seasonally Adjusted]]-B190)/B190</f>
        <v>1.9475312177798666E-3</v>
      </c>
      <c r="D191" s="54">
        <f>((1+Table267[[#This Row],[Monthly change]])^12)-1</f>
        <v>2.3622336778910791E-2</v>
      </c>
      <c r="E191" s="53">
        <f>(Table267[[#This Row],[M2 Money Stock, Billions of Dollars, Weekly, Seasonally Adjusted]]-B179)/B179</f>
        <v>5.781325592646356E-2</v>
      </c>
    </row>
    <row r="192" spans="1:5" x14ac:dyDescent="0.2">
      <c r="A192" s="50">
        <v>27181</v>
      </c>
      <c r="B192" s="51">
        <v>877.8</v>
      </c>
      <c r="C192" s="53">
        <f>(Table267[[#This Row],[M2 Money Stock, Billions of Dollars, Weekly, Seasonally Adjusted]]-B191)/B191</f>
        <v>3.6588154584952341E-3</v>
      </c>
      <c r="D192" s="54">
        <f>((1+Table267[[#This Row],[Monthly change]])^12)-1</f>
        <v>4.4800187817164216E-2</v>
      </c>
      <c r="E192" s="53">
        <f>(Table267[[#This Row],[M2 Money Stock, Billions of Dollars, Weekly, Seasonally Adjusted]]-B180)/B180</f>
        <v>5.3402136085443419E-2</v>
      </c>
    </row>
    <row r="193" spans="1:5" x14ac:dyDescent="0.2">
      <c r="A193" s="50">
        <v>27211</v>
      </c>
      <c r="B193" s="51">
        <v>881.4</v>
      </c>
      <c r="C193" s="53">
        <f>(Table267[[#This Row],[M2 Money Stock, Billions of Dollars, Weekly, Seasonally Adjusted]]-B192)/B192</f>
        <v>4.1011619958988641E-3</v>
      </c>
      <c r="D193" s="54">
        <f>((1+Table267[[#This Row],[Monthly change]])^12)-1</f>
        <v>5.0339349384716847E-2</v>
      </c>
      <c r="E193" s="53">
        <f>(Table267[[#This Row],[M2 Money Stock, Billions of Dollars, Weekly, Seasonally Adjusted]]-B181)/B181</f>
        <v>5.3676031081888793E-2</v>
      </c>
    </row>
    <row r="194" spans="1:5" x14ac:dyDescent="0.2">
      <c r="A194" s="50">
        <v>27242</v>
      </c>
      <c r="B194" s="51">
        <v>884.1</v>
      </c>
      <c r="C194" s="53">
        <f>(Table267[[#This Row],[M2 Money Stock, Billions of Dollars, Weekly, Seasonally Adjusted]]-B193)/B193</f>
        <v>3.0633083730429379E-3</v>
      </c>
      <c r="D194" s="54">
        <f>((1+Table267[[#This Row],[Monthly change]])^12)-1</f>
        <v>3.7385402962762049E-2</v>
      </c>
      <c r="E194" s="53">
        <f>(Table267[[#This Row],[M2 Money Stock, Billions of Dollars, Weekly, Seasonally Adjusted]]-B182)/B182</f>
        <v>5.400572246065817E-2</v>
      </c>
    </row>
    <row r="195" spans="1:5" x14ac:dyDescent="0.2">
      <c r="A195" s="50">
        <v>27273</v>
      </c>
      <c r="B195" s="51">
        <v>887.9</v>
      </c>
      <c r="C195" s="53">
        <f>(Table267[[#This Row],[M2 Money Stock, Billions of Dollars, Weekly, Seasonally Adjusted]]-B194)/B194</f>
        <v>4.2981563171586405E-3</v>
      </c>
      <c r="D195" s="54">
        <f>((1+Table267[[#This Row],[Monthly change]])^12)-1</f>
        <v>5.281480871457167E-2</v>
      </c>
      <c r="E195" s="53">
        <f>(Table267[[#This Row],[M2 Money Stock, Billions of Dollars, Weekly, Seasonally Adjusted]]-B183)/B183</f>
        <v>5.7905397354938673E-2</v>
      </c>
    </row>
    <row r="196" spans="1:5" x14ac:dyDescent="0.2">
      <c r="A196" s="50">
        <v>27303</v>
      </c>
      <c r="B196" s="51">
        <v>893.3</v>
      </c>
      <c r="C196" s="53">
        <f>(Table267[[#This Row],[M2 Money Stock, Billions of Dollars, Weekly, Seasonally Adjusted]]-B195)/B195</f>
        <v>6.0817659646356321E-3</v>
      </c>
      <c r="D196" s="54">
        <f>((1+Table267[[#This Row],[Monthly change]])^12)-1</f>
        <v>7.5472564676727139E-2</v>
      </c>
      <c r="E196" s="53">
        <f>(Table267[[#This Row],[M2 Money Stock, Billions of Dollars, Weekly, Seasonally Adjusted]]-B184)/B184</f>
        <v>6.0170899596486985E-2</v>
      </c>
    </row>
    <row r="197" spans="1:5" x14ac:dyDescent="0.2">
      <c r="A197" s="50">
        <v>27334</v>
      </c>
      <c r="B197" s="51">
        <v>898.6</v>
      </c>
      <c r="C197" s="53">
        <f>(Table267[[#This Row],[M2 Money Stock, Billions of Dollars, Weekly, Seasonally Adjusted]]-B196)/B196</f>
        <v>5.9330572036270773E-3</v>
      </c>
      <c r="D197" s="54">
        <f>((1+Table267[[#This Row],[Monthly change]])^12)-1</f>
        <v>7.3566529864980801E-2</v>
      </c>
      <c r="E197" s="53">
        <f>(Table267[[#This Row],[M2 Money Stock, Billions of Dollars, Weekly, Seasonally Adjusted]]-B185)/B185</f>
        <v>5.8546354105312816E-2</v>
      </c>
    </row>
    <row r="198" spans="1:5" x14ac:dyDescent="0.2">
      <c r="A198" s="50">
        <v>27364</v>
      </c>
      <c r="B198" s="51">
        <v>902.1</v>
      </c>
      <c r="C198" s="53">
        <f>(Table267[[#This Row],[M2 Money Stock, Billions of Dollars, Weekly, Seasonally Adjusted]]-B197)/B197</f>
        <v>3.894947696416648E-3</v>
      </c>
      <c r="D198" s="54">
        <f>((1+Table267[[#This Row],[Monthly change]])^12)-1</f>
        <v>4.7753747279713377E-2</v>
      </c>
      <c r="E198" s="53">
        <f>(Table267[[#This Row],[M2 Money Stock, Billions of Dollars, Weekly, Seasonally Adjusted]]-B186)/B186</f>
        <v>5.4471069549970802E-2</v>
      </c>
    </row>
    <row r="199" spans="1:5" x14ac:dyDescent="0.2">
      <c r="A199" s="50">
        <v>27395</v>
      </c>
      <c r="B199" s="51">
        <v>906.3</v>
      </c>
      <c r="C199" s="53">
        <f>(Table267[[#This Row],[M2 Money Stock, Billions of Dollars, Weekly, Seasonally Adjusted]]-B198)/B198</f>
        <v>4.6558031260391661E-3</v>
      </c>
      <c r="D199" s="54">
        <f>((1+Table267[[#This Row],[Monthly change]])^12)-1</f>
        <v>5.7322723758383098E-2</v>
      </c>
      <c r="E199" s="53">
        <f>(Table267[[#This Row],[M2 Money Stock, Billions of Dollars, Weekly, Seasonally Adjusted]]-B187)/B187</f>
        <v>5.4204955216936031E-2</v>
      </c>
    </row>
    <row r="200" spans="1:5" x14ac:dyDescent="0.2">
      <c r="A200" s="50">
        <v>27426</v>
      </c>
      <c r="B200" s="51">
        <v>914.1</v>
      </c>
      <c r="C200" s="53">
        <f>(Table267[[#This Row],[M2 Money Stock, Billions of Dollars, Weekly, Seasonally Adjusted]]-B199)/B199</f>
        <v>8.6064217146640948E-3</v>
      </c>
      <c r="D200" s="54">
        <f>((1+Table267[[#This Row],[Monthly change]])^12)-1</f>
        <v>0.10830871281164955</v>
      </c>
      <c r="E200" s="53">
        <f>(Table267[[#This Row],[M2 Money Stock, Billions of Dollars, Weekly, Seasonally Adjusted]]-B188)/B188</f>
        <v>5.7741263596389696E-2</v>
      </c>
    </row>
    <row r="201" spans="1:5" x14ac:dyDescent="0.2">
      <c r="A201" s="50">
        <v>27454</v>
      </c>
      <c r="B201" s="51">
        <v>925</v>
      </c>
      <c r="C201" s="53">
        <f>(Table267[[#This Row],[M2 Money Stock, Billions of Dollars, Weekly, Seasonally Adjusted]]-B200)/B200</f>
        <v>1.1924297122853054E-2</v>
      </c>
      <c r="D201" s="54">
        <f>((1+Table267[[#This Row],[Monthly change]])^12)-1</f>
        <v>0.15285924221799907</v>
      </c>
      <c r="E201" s="53">
        <f>(Table267[[#This Row],[M2 Money Stock, Billions of Dollars, Weekly, Seasonally Adjusted]]-B189)/B189</f>
        <v>6.3096195839558639E-2</v>
      </c>
    </row>
    <row r="202" spans="1:5" x14ac:dyDescent="0.2">
      <c r="A202" s="50">
        <v>27485</v>
      </c>
      <c r="B202" s="51">
        <v>935.1</v>
      </c>
      <c r="C202" s="53">
        <f>(Table267[[#This Row],[M2 Money Stock, Billions of Dollars, Weekly, Seasonally Adjusted]]-B201)/B201</f>
        <v>1.0918918918918944E-2</v>
      </c>
      <c r="D202" s="54">
        <f>((1+Table267[[#This Row],[Monthly change]])^12)-1</f>
        <v>0.13918928413385778</v>
      </c>
      <c r="E202" s="53">
        <f>(Table267[[#This Row],[M2 Money Stock, Billions of Dollars, Weekly, Seasonally Adjusted]]-B190)/B190</f>
        <v>7.1256730438767388E-2</v>
      </c>
    </row>
    <row r="203" spans="1:5" x14ac:dyDescent="0.2">
      <c r="A203" s="50">
        <v>27515</v>
      </c>
      <c r="B203" s="51">
        <v>947.9</v>
      </c>
      <c r="C203" s="53">
        <f>(Table267[[#This Row],[M2 Money Stock, Billions of Dollars, Weekly, Seasonally Adjusted]]-B202)/B202</f>
        <v>1.3688375574804785E-2</v>
      </c>
      <c r="D203" s="54">
        <f>((1+Table267[[#This Row],[Monthly change]])^12)-1</f>
        <v>0.17720905839338408</v>
      </c>
      <c r="E203" s="53">
        <f>(Table267[[#This Row],[M2 Money Stock, Billions of Dollars, Weekly, Seasonally Adjusted]]-B191)/B191</f>
        <v>8.3809741596158185E-2</v>
      </c>
    </row>
    <row r="204" spans="1:5" x14ac:dyDescent="0.2">
      <c r="A204" s="50">
        <v>27546</v>
      </c>
      <c r="B204" s="51">
        <v>963</v>
      </c>
      <c r="C204" s="53">
        <f>(Table267[[#This Row],[M2 Money Stock, Billions of Dollars, Weekly, Seasonally Adjusted]]-B203)/B203</f>
        <v>1.5929950416710647E-2</v>
      </c>
      <c r="D204" s="54">
        <f>((1+Table267[[#This Row],[Monthly change]])^12)-1</f>
        <v>0.20882982399412509</v>
      </c>
      <c r="E204" s="53">
        <f>(Table267[[#This Row],[M2 Money Stock, Billions of Dollars, Weekly, Seasonally Adjusted]]-B192)/B192</f>
        <v>9.7060833902939223E-2</v>
      </c>
    </row>
    <row r="205" spans="1:5" x14ac:dyDescent="0.2">
      <c r="A205" s="50">
        <v>27576</v>
      </c>
      <c r="B205" s="51">
        <v>975.1</v>
      </c>
      <c r="C205" s="53">
        <f>(Table267[[#This Row],[M2 Money Stock, Billions of Dollars, Weekly, Seasonally Adjusted]]-B204)/B204</f>
        <v>1.2564901349948103E-2</v>
      </c>
      <c r="D205" s="54">
        <f>((1+Table267[[#This Row],[Monthly change]])^12)-1</f>
        <v>0.16164768631636606</v>
      </c>
      <c r="E205" s="53">
        <f>(Table267[[#This Row],[M2 Money Stock, Billions of Dollars, Weekly, Seasonally Adjusted]]-B193)/B193</f>
        <v>0.10630814613115504</v>
      </c>
    </row>
    <row r="206" spans="1:5" x14ac:dyDescent="0.2">
      <c r="A206" s="50">
        <v>27607</v>
      </c>
      <c r="B206" s="51">
        <v>983.1</v>
      </c>
      <c r="C206" s="53">
        <f>(Table267[[#This Row],[M2 Money Stock, Billions of Dollars, Weekly, Seasonally Adjusted]]-B205)/B205</f>
        <v>8.2042867398215563E-3</v>
      </c>
      <c r="D206" s="54">
        <f>((1+Table267[[#This Row],[Monthly change]])^12)-1</f>
        <v>0.10301768576544612</v>
      </c>
      <c r="E206" s="53">
        <f>(Table267[[#This Row],[M2 Money Stock, Billions of Dollars, Weekly, Seasonally Adjusted]]-B194)/B194</f>
        <v>0.11197828299966067</v>
      </c>
    </row>
    <row r="207" spans="1:5" x14ac:dyDescent="0.2">
      <c r="A207" s="50">
        <v>27638</v>
      </c>
      <c r="B207" s="51">
        <v>991.5</v>
      </c>
      <c r="C207" s="53">
        <f>(Table267[[#This Row],[M2 Money Stock, Billions of Dollars, Weekly, Seasonally Adjusted]]-B206)/B206</f>
        <v>8.5444003661885645E-3</v>
      </c>
      <c r="D207" s="54">
        <f>((1+Table267[[#This Row],[Monthly change]])^12)-1</f>
        <v>0.10749116230322264</v>
      </c>
      <c r="E207" s="53">
        <f>(Table267[[#This Row],[M2 Money Stock, Billions of Dollars, Weekly, Seasonally Adjusted]]-B195)/B195</f>
        <v>0.11667980628449152</v>
      </c>
    </row>
    <row r="208" spans="1:5" x14ac:dyDescent="0.2">
      <c r="A208" s="50">
        <v>27668</v>
      </c>
      <c r="B208" s="51">
        <v>997.8</v>
      </c>
      <c r="C208" s="53">
        <f>(Table267[[#This Row],[M2 Money Stock, Billions of Dollars, Weekly, Seasonally Adjusted]]-B207)/B207</f>
        <v>6.354009077155779E-3</v>
      </c>
      <c r="D208" s="54">
        <f>((1+Table267[[#This Row],[Monthly change]])^12)-1</f>
        <v>7.8970007808876419E-2</v>
      </c>
      <c r="E208" s="53">
        <f>(Table267[[#This Row],[M2 Money Stock, Billions of Dollars, Weekly, Seasonally Adjusted]]-B196)/B196</f>
        <v>0.11698197693943804</v>
      </c>
    </row>
    <row r="209" spans="1:5" x14ac:dyDescent="0.2">
      <c r="A209" s="50">
        <v>27699</v>
      </c>
      <c r="B209" s="51">
        <v>1006.9</v>
      </c>
      <c r="C209" s="53">
        <f>(Table267[[#This Row],[M2 Money Stock, Billions of Dollars, Weekly, Seasonally Adjusted]]-B208)/B208</f>
        <v>9.120064141110466E-3</v>
      </c>
      <c r="D209" s="54">
        <f>((1+Table267[[#This Row],[Monthly change]])^12)-1</f>
        <v>0.11510071694976931</v>
      </c>
      <c r="E209" s="53">
        <f>(Table267[[#This Row],[M2 Money Stock, Billions of Dollars, Weekly, Seasonally Adjusted]]-B197)/B197</f>
        <v>0.12052081014912081</v>
      </c>
    </row>
    <row r="210" spans="1:5" x14ac:dyDescent="0.2">
      <c r="A210" s="50">
        <v>27729</v>
      </c>
      <c r="B210" s="51">
        <v>1016.2</v>
      </c>
      <c r="C210" s="53">
        <f>(Table267[[#This Row],[M2 Money Stock, Billions of Dollars, Weekly, Seasonally Adjusted]]-B209)/B209</f>
        <v>9.2362697388023319E-3</v>
      </c>
      <c r="D210" s="54">
        <f>((1+Table267[[#This Row],[Monthly change]])^12)-1</f>
        <v>0.11664261134390808</v>
      </c>
      <c r="E210" s="53">
        <f>(Table267[[#This Row],[M2 Money Stock, Billions of Dollars, Weekly, Seasonally Adjusted]]-B198)/B198</f>
        <v>0.12648265159073277</v>
      </c>
    </row>
    <row r="211" spans="1:5" x14ac:dyDescent="0.2">
      <c r="A211" s="50">
        <v>27760</v>
      </c>
      <c r="B211" s="51">
        <v>1026.5999999999999</v>
      </c>
      <c r="C211" s="53">
        <f>(Table267[[#This Row],[M2 Money Stock, Billions of Dollars, Weekly, Seasonally Adjusted]]-B210)/B210</f>
        <v>1.0234205864987073E-2</v>
      </c>
      <c r="D211" s="54">
        <f>((1+Table267[[#This Row],[Monthly change]])^12)-1</f>
        <v>0.12996458508327802</v>
      </c>
      <c r="E211" s="53">
        <f>(Table267[[#This Row],[M2 Money Stock, Billions of Dollars, Weekly, Seasonally Adjusted]]-B199)/B199</f>
        <v>0.13273750413770272</v>
      </c>
    </row>
    <row r="212" spans="1:5" x14ac:dyDescent="0.2">
      <c r="A212" s="50">
        <v>27791</v>
      </c>
      <c r="B212" s="51">
        <v>1040.3</v>
      </c>
      <c r="C212" s="53">
        <f>(Table267[[#This Row],[M2 Money Stock, Billions of Dollars, Weekly, Seasonally Adjusted]]-B211)/B211</f>
        <v>1.3345022404052257E-2</v>
      </c>
      <c r="D212" s="54">
        <f>((1+Table267[[#This Row],[Monthly change]])^12)-1</f>
        <v>0.17243307803634922</v>
      </c>
      <c r="E212" s="53">
        <f>(Table267[[#This Row],[M2 Money Stock, Billions of Dollars, Weekly, Seasonally Adjusted]]-B200)/B200</f>
        <v>0.13805929329395025</v>
      </c>
    </row>
    <row r="213" spans="1:5" x14ac:dyDescent="0.2">
      <c r="A213" s="50">
        <v>27820</v>
      </c>
      <c r="B213" s="51">
        <v>1050</v>
      </c>
      <c r="C213" s="53">
        <f>(Table267[[#This Row],[M2 Money Stock, Billions of Dollars, Weekly, Seasonally Adjusted]]-B212)/B212</f>
        <v>9.3242333942132518E-3</v>
      </c>
      <c r="D213" s="54">
        <f>((1+Table267[[#This Row],[Monthly change]])^12)-1</f>
        <v>0.11781107191209217</v>
      </c>
      <c r="E213" s="53">
        <f>(Table267[[#This Row],[M2 Money Stock, Billions of Dollars, Weekly, Seasonally Adjusted]]-B201)/B201</f>
        <v>0.13513513513513514</v>
      </c>
    </row>
    <row r="214" spans="1:5" x14ac:dyDescent="0.2">
      <c r="A214" s="50">
        <v>27851</v>
      </c>
      <c r="B214" s="51">
        <v>1060.8</v>
      </c>
      <c r="C214" s="53">
        <f>(Table267[[#This Row],[M2 Money Stock, Billions of Dollars, Weekly, Seasonally Adjusted]]-B213)/B213</f>
        <v>1.0285714285714242E-2</v>
      </c>
      <c r="D214" s="54">
        <f>((1+Table267[[#This Row],[Monthly change]])^12)-1</f>
        <v>0.13065613579808488</v>
      </c>
      <c r="E214" s="53">
        <f>(Table267[[#This Row],[M2 Money Stock, Billions of Dollars, Weekly, Seasonally Adjusted]]-B202)/B202</f>
        <v>0.13442412576195051</v>
      </c>
    </row>
    <row r="215" spans="1:5" x14ac:dyDescent="0.2">
      <c r="A215" s="50">
        <v>27881</v>
      </c>
      <c r="B215" s="51">
        <v>1072.0999999999999</v>
      </c>
      <c r="C215" s="53">
        <f>(Table267[[#This Row],[M2 Money Stock, Billions of Dollars, Weekly, Seasonally Adjusted]]-B214)/B214</f>
        <v>1.0652337858220168E-2</v>
      </c>
      <c r="D215" s="54">
        <f>((1+Table267[[#This Row],[Monthly change]])^12)-1</f>
        <v>0.13558963378003042</v>
      </c>
      <c r="E215" s="53">
        <f>(Table267[[#This Row],[M2 Money Stock, Billions of Dollars, Weekly, Seasonally Adjusted]]-B203)/B203</f>
        <v>0.13102647958645419</v>
      </c>
    </row>
    <row r="216" spans="1:5" x14ac:dyDescent="0.2">
      <c r="A216" s="50">
        <v>27912</v>
      </c>
      <c r="B216" s="51">
        <v>1077.5999999999999</v>
      </c>
      <c r="C216" s="53">
        <f>(Table267[[#This Row],[M2 Money Stock, Billions of Dollars, Weekly, Seasonally Adjusted]]-B215)/B215</f>
        <v>5.1301184590989649E-3</v>
      </c>
      <c r="D216" s="54">
        <f>((1+Table267[[#This Row],[Monthly change]])^12)-1</f>
        <v>6.3328466126347571E-2</v>
      </c>
      <c r="E216" s="53">
        <f>(Table267[[#This Row],[M2 Money Stock, Billions of Dollars, Weekly, Seasonally Adjusted]]-B204)/B204</f>
        <v>0.11900311526479741</v>
      </c>
    </row>
    <row r="217" spans="1:5" x14ac:dyDescent="0.2">
      <c r="A217" s="50">
        <v>27942</v>
      </c>
      <c r="B217" s="51">
        <v>1086.3</v>
      </c>
      <c r="C217" s="53">
        <f>(Table267[[#This Row],[M2 Money Stock, Billions of Dollars, Weekly, Seasonally Adjusted]]-B216)/B216</f>
        <v>8.0734966592428039E-3</v>
      </c>
      <c r="D217" s="54">
        <f>((1+Table267[[#This Row],[Monthly change]])^12)-1</f>
        <v>0.10130183249187463</v>
      </c>
      <c r="E217" s="53">
        <f>(Table267[[#This Row],[M2 Money Stock, Billions of Dollars, Weekly, Seasonally Adjusted]]-B205)/B205</f>
        <v>0.11403958568351957</v>
      </c>
    </row>
    <row r="218" spans="1:5" x14ac:dyDescent="0.2">
      <c r="A218" s="50">
        <v>27973</v>
      </c>
      <c r="B218" s="51">
        <v>1098.7</v>
      </c>
      <c r="C218" s="53">
        <f>(Table267[[#This Row],[M2 Money Stock, Billions of Dollars, Weekly, Seasonally Adjusted]]-B217)/B217</f>
        <v>1.1414894596336272E-2</v>
      </c>
      <c r="D218" s="54">
        <f>((1+Table267[[#This Row],[Monthly change]])^12)-1</f>
        <v>0.14591430178674392</v>
      </c>
      <c r="E218" s="53">
        <f>(Table267[[#This Row],[M2 Money Stock, Billions of Dollars, Weekly, Seasonally Adjusted]]-B206)/B206</f>
        <v>0.11758722408707153</v>
      </c>
    </row>
    <row r="219" spans="1:5" x14ac:dyDescent="0.2">
      <c r="A219" s="50">
        <v>28004</v>
      </c>
      <c r="B219" s="51">
        <v>1110.8</v>
      </c>
      <c r="C219" s="53">
        <f>(Table267[[#This Row],[M2 Money Stock, Billions of Dollars, Weekly, Seasonally Adjusted]]-B218)/B218</f>
        <v>1.1013015381814789E-2</v>
      </c>
      <c r="D219" s="54">
        <f>((1+Table267[[#This Row],[Monthly change]])^12)-1</f>
        <v>0.14046236636474707</v>
      </c>
      <c r="E219" s="53">
        <f>(Table267[[#This Row],[M2 Money Stock, Billions of Dollars, Weekly, Seasonally Adjusted]]-B207)/B207</f>
        <v>0.12032274331820469</v>
      </c>
    </row>
    <row r="220" spans="1:5" x14ac:dyDescent="0.2">
      <c r="A220" s="50">
        <v>28034</v>
      </c>
      <c r="B220" s="51">
        <v>1125</v>
      </c>
      <c r="C220" s="53">
        <f>(Table267[[#This Row],[M2 Money Stock, Billions of Dollars, Weekly, Seasonally Adjusted]]-B219)/B219</f>
        <v>1.2783579402232667E-2</v>
      </c>
      <c r="D220" s="54">
        <f>((1+Table267[[#This Row],[Monthly change]])^12)-1</f>
        <v>0.164661760433364</v>
      </c>
      <c r="E220" s="53">
        <f>(Table267[[#This Row],[M2 Money Stock, Billions of Dollars, Weekly, Seasonally Adjusted]]-B208)/B208</f>
        <v>0.12748045700541197</v>
      </c>
    </row>
    <row r="221" spans="1:5" x14ac:dyDescent="0.2">
      <c r="A221" s="50">
        <v>28065</v>
      </c>
      <c r="B221" s="51">
        <v>1138.2</v>
      </c>
      <c r="C221" s="53">
        <f>(Table267[[#This Row],[M2 Money Stock, Billions of Dollars, Weekly, Seasonally Adjusted]]-B220)/B220</f>
        <v>1.1733333333333373E-2</v>
      </c>
      <c r="D221" s="54">
        <f>((1+Table267[[#This Row],[Monthly change]])^12)-1</f>
        <v>0.15025122882721975</v>
      </c>
      <c r="E221" s="53">
        <f>(Table267[[#This Row],[M2 Money Stock, Billions of Dollars, Weekly, Seasonally Adjusted]]-B209)/B209</f>
        <v>0.13040023835534817</v>
      </c>
    </row>
    <row r="222" spans="1:5" x14ac:dyDescent="0.2">
      <c r="A222" s="50">
        <v>28095</v>
      </c>
      <c r="B222" s="51">
        <v>1152</v>
      </c>
      <c r="C222" s="53">
        <f>(Table267[[#This Row],[M2 Money Stock, Billions of Dollars, Weekly, Seasonally Adjusted]]-B221)/B221</f>
        <v>1.2124406958355257E-2</v>
      </c>
      <c r="D222" s="54">
        <f>((1+Table267[[#This Row],[Monthly change]])^12)-1</f>
        <v>0.15559797935636954</v>
      </c>
      <c r="E222" s="53">
        <f>(Table267[[#This Row],[M2 Money Stock, Billions of Dollars, Weekly, Seasonally Adjusted]]-B210)/B210</f>
        <v>0.1336351111985829</v>
      </c>
    </row>
    <row r="223" spans="1:5" x14ac:dyDescent="0.2">
      <c r="A223" s="50">
        <v>28126</v>
      </c>
      <c r="B223" s="51">
        <v>1165.2</v>
      </c>
      <c r="C223" s="53">
        <f>(Table267[[#This Row],[M2 Money Stock, Billions of Dollars, Weekly, Seasonally Adjusted]]-B222)/B222</f>
        <v>1.1458333333333372E-2</v>
      </c>
      <c r="D223" s="54">
        <f>((1+Table267[[#This Row],[Monthly change]])^12)-1</f>
        <v>0.1465050247048969</v>
      </c>
      <c r="E223" s="53">
        <f>(Table267[[#This Row],[M2 Money Stock, Billions of Dollars, Weekly, Seasonally Adjusted]]-B211)/B211</f>
        <v>0.1350087668030393</v>
      </c>
    </row>
    <row r="224" spans="1:5" x14ac:dyDescent="0.2">
      <c r="A224" s="50">
        <v>28157</v>
      </c>
      <c r="B224" s="51">
        <v>1177.5999999999999</v>
      </c>
      <c r="C224" s="53">
        <f>(Table267[[#This Row],[M2 Money Stock, Billions of Dollars, Weekly, Seasonally Adjusted]]-B223)/B223</f>
        <v>1.0641949879848836E-2</v>
      </c>
      <c r="D224" s="54">
        <f>((1+Table267[[#This Row],[Monthly change]])^12)-1</f>
        <v>0.13544957595883478</v>
      </c>
      <c r="E224" s="53">
        <f>(Table267[[#This Row],[M2 Money Stock, Billions of Dollars, Weekly, Seasonally Adjusted]]-B212)/B212</f>
        <v>0.13198115928097659</v>
      </c>
    </row>
    <row r="225" spans="1:5" x14ac:dyDescent="0.2">
      <c r="A225" s="50">
        <v>28185</v>
      </c>
      <c r="B225" s="51">
        <v>1188.5</v>
      </c>
      <c r="C225" s="53">
        <f>(Table267[[#This Row],[M2 Money Stock, Billions of Dollars, Weekly, Seasonally Adjusted]]-B224)/B224</f>
        <v>9.2561141304348601E-3</v>
      </c>
      <c r="D225" s="54">
        <f>((1+Table267[[#This Row],[Monthly change]])^12)-1</f>
        <v>0.11690611542733742</v>
      </c>
      <c r="E225" s="53">
        <f>(Table267[[#This Row],[M2 Money Stock, Billions of Dollars, Weekly, Seasonally Adjusted]]-B213)/B213</f>
        <v>0.13190476190476191</v>
      </c>
    </row>
    <row r="226" spans="1:5" x14ac:dyDescent="0.2">
      <c r="A226" s="50">
        <v>28216</v>
      </c>
      <c r="B226" s="51">
        <v>1199.5999999999999</v>
      </c>
      <c r="C226" s="53">
        <f>(Table267[[#This Row],[M2 Money Stock, Billions of Dollars, Weekly, Seasonally Adjusted]]-B225)/B225</f>
        <v>9.3395035759359767E-3</v>
      </c>
      <c r="D226" s="54">
        <f>((1+Table267[[#This Row],[Monthly change]])^12)-1</f>
        <v>0.11801402669750516</v>
      </c>
      <c r="E226" s="53">
        <f>(Table267[[#This Row],[M2 Money Stock, Billions of Dollars, Weekly, Seasonally Adjusted]]-B214)/B214</f>
        <v>0.13084464555052785</v>
      </c>
    </row>
    <row r="227" spans="1:5" x14ac:dyDescent="0.2">
      <c r="A227" s="50">
        <v>28246</v>
      </c>
      <c r="B227" s="51">
        <v>1209</v>
      </c>
      <c r="C227" s="53">
        <f>(Table267[[#This Row],[M2 Money Stock, Billions of Dollars, Weekly, Seasonally Adjusted]]-B226)/B226</f>
        <v>7.8359453151051108E-3</v>
      </c>
      <c r="D227" s="54">
        <f>((1+Table267[[#This Row],[Monthly change]])^12)-1</f>
        <v>9.8191619686037512E-2</v>
      </c>
      <c r="E227" s="53">
        <f>(Table267[[#This Row],[M2 Money Stock, Billions of Dollars, Weekly, Seasonally Adjusted]]-B215)/B215</f>
        <v>0.12769331219102706</v>
      </c>
    </row>
    <row r="228" spans="1:5" x14ac:dyDescent="0.2">
      <c r="A228" s="50">
        <v>28277</v>
      </c>
      <c r="B228" s="51">
        <v>1217.8</v>
      </c>
      <c r="C228" s="53">
        <f>(Table267[[#This Row],[M2 Money Stock, Billions of Dollars, Weekly, Seasonally Adjusted]]-B227)/B227</f>
        <v>7.2787427626136931E-3</v>
      </c>
      <c r="D228" s="54">
        <f>((1+Table267[[#This Row],[Monthly change]])^12)-1</f>
        <v>9.0927843499222893E-2</v>
      </c>
      <c r="E228" s="53">
        <f>(Table267[[#This Row],[M2 Money Stock, Billions of Dollars, Weekly, Seasonally Adjusted]]-B216)/B216</f>
        <v>0.1301039346696363</v>
      </c>
    </row>
    <row r="229" spans="1:5" x14ac:dyDescent="0.2">
      <c r="A229" s="50">
        <v>28307</v>
      </c>
      <c r="B229" s="51">
        <v>1226.7</v>
      </c>
      <c r="C229" s="53">
        <f>(Table267[[#This Row],[M2 Money Stock, Billions of Dollars, Weekly, Seasonally Adjusted]]-B228)/B228</f>
        <v>7.3082607981606925E-3</v>
      </c>
      <c r="D229" s="54">
        <f>((1+Table267[[#This Row],[Monthly change]])^12)-1</f>
        <v>9.1311537539828347E-2</v>
      </c>
      <c r="E229" s="53">
        <f>(Table267[[#This Row],[M2 Money Stock, Billions of Dollars, Weekly, Seasonally Adjusted]]-B217)/B217</f>
        <v>0.1292460646230324</v>
      </c>
    </row>
    <row r="230" spans="1:5" x14ac:dyDescent="0.2">
      <c r="A230" s="50">
        <v>28338</v>
      </c>
      <c r="B230" s="51">
        <v>1237</v>
      </c>
      <c r="C230" s="53">
        <f>(Table267[[#This Row],[M2 Money Stock, Billions of Dollars, Weekly, Seasonally Adjusted]]-B229)/B229</f>
        <v>8.3965109643759309E-3</v>
      </c>
      <c r="D230" s="54">
        <f>((1+Table267[[#This Row],[Monthly change]])^12)-1</f>
        <v>0.10554394994873961</v>
      </c>
      <c r="E230" s="53">
        <f>(Table267[[#This Row],[M2 Money Stock, Billions of Dollars, Weekly, Seasonally Adjusted]]-B218)/B218</f>
        <v>0.12587603531446251</v>
      </c>
    </row>
    <row r="231" spans="1:5" x14ac:dyDescent="0.2">
      <c r="A231" s="50">
        <v>28369</v>
      </c>
      <c r="B231" s="51">
        <v>1246.2</v>
      </c>
      <c r="C231" s="53">
        <f>(Table267[[#This Row],[M2 Money Stock, Billions of Dollars, Weekly, Seasonally Adjusted]]-B230)/B230</f>
        <v>7.4373484236055342E-3</v>
      </c>
      <c r="D231" s="54">
        <f>((1+Table267[[#This Row],[Monthly change]])^12)-1</f>
        <v>9.2990953732438264E-2</v>
      </c>
      <c r="E231" s="53">
        <f>(Table267[[#This Row],[M2 Money Stock, Billions of Dollars, Weekly, Seasonally Adjusted]]-B219)/B219</f>
        <v>0.1218941303564999</v>
      </c>
    </row>
    <row r="232" spans="1:5" x14ac:dyDescent="0.2">
      <c r="A232" s="50">
        <v>28399</v>
      </c>
      <c r="B232" s="51">
        <v>1254</v>
      </c>
      <c r="C232" s="53">
        <f>(Table267[[#This Row],[M2 Money Stock, Billions of Dollars, Weekly, Seasonally Adjusted]]-B231)/B231</f>
        <v>6.2590274434279848E-3</v>
      </c>
      <c r="D232" s="54">
        <f>((1+Table267[[#This Row],[Monthly change]])^12)-1</f>
        <v>7.7748618700254735E-2</v>
      </c>
      <c r="E232" s="53">
        <f>(Table267[[#This Row],[M2 Money Stock, Billions of Dollars, Weekly, Seasonally Adjusted]]-B220)/B220</f>
        <v>0.11466666666666667</v>
      </c>
    </row>
    <row r="233" spans="1:5" x14ac:dyDescent="0.2">
      <c r="A233" s="50">
        <v>28430</v>
      </c>
      <c r="B233" s="51">
        <v>1262.4000000000001</v>
      </c>
      <c r="C233" s="53">
        <f>(Table267[[#This Row],[M2 Money Stock, Billions of Dollars, Weekly, Seasonally Adjusted]]-B232)/B232</f>
        <v>6.6985645933015084E-3</v>
      </c>
      <c r="D233" s="54">
        <f>((1+Table267[[#This Row],[Monthly change]])^12)-1</f>
        <v>8.3411378515124701E-2</v>
      </c>
      <c r="E233" s="53">
        <f>(Table267[[#This Row],[M2 Money Stock, Billions of Dollars, Weekly, Seasonally Adjusted]]-B221)/B221</f>
        <v>0.10911966262519772</v>
      </c>
    </row>
    <row r="234" spans="1:5" x14ac:dyDescent="0.2">
      <c r="A234" s="50">
        <v>28460</v>
      </c>
      <c r="B234" s="51">
        <v>1270.3</v>
      </c>
      <c r="C234" s="53">
        <f>(Table267[[#This Row],[M2 Money Stock, Billions of Dollars, Weekly, Seasonally Adjusted]]-B233)/B233</f>
        <v>6.2579214195182696E-3</v>
      </c>
      <c r="D234" s="54">
        <f>((1+Table267[[#This Row],[Monthly change]])^12)-1</f>
        <v>7.7734403570720145E-2</v>
      </c>
      <c r="E234" s="53">
        <f>(Table267[[#This Row],[M2 Money Stock, Billions of Dollars, Weekly, Seasonally Adjusted]]-B222)/B222</f>
        <v>0.10269097222222218</v>
      </c>
    </row>
    <row r="235" spans="1:5" x14ac:dyDescent="0.2">
      <c r="A235" s="50">
        <v>28491</v>
      </c>
      <c r="B235" s="51">
        <v>1279.7</v>
      </c>
      <c r="C235" s="53">
        <f>(Table267[[#This Row],[M2 Money Stock, Billions of Dollars, Weekly, Seasonally Adjusted]]-B234)/B234</f>
        <v>7.3998268125640334E-3</v>
      </c>
      <c r="D235" s="54">
        <f>((1+Table267[[#This Row],[Monthly change]])^12)-1</f>
        <v>9.2502557525846463E-2</v>
      </c>
      <c r="E235" s="53">
        <f>(Table267[[#This Row],[M2 Money Stock, Billions of Dollars, Weekly, Seasonally Adjusted]]-B223)/B223</f>
        <v>9.8266392035702019E-2</v>
      </c>
    </row>
    <row r="236" spans="1:5" x14ac:dyDescent="0.2">
      <c r="A236" s="50">
        <v>28522</v>
      </c>
      <c r="B236" s="51">
        <v>1285.5</v>
      </c>
      <c r="C236" s="53">
        <f>(Table267[[#This Row],[M2 Money Stock, Billions of Dollars, Weekly, Seasonally Adjusted]]-B235)/B235</f>
        <v>4.5323122606860623E-3</v>
      </c>
      <c r="D236" s="54">
        <f>((1+Table267[[#This Row],[Monthly change]])^12)-1</f>
        <v>5.5764202378998595E-2</v>
      </c>
      <c r="E236" s="53">
        <f>(Table267[[#This Row],[M2 Money Stock, Billions of Dollars, Weekly, Seasonally Adjusted]]-B224)/B224</f>
        <v>9.162703804347834E-2</v>
      </c>
    </row>
    <row r="237" spans="1:5" x14ac:dyDescent="0.2">
      <c r="A237" s="50">
        <v>28550</v>
      </c>
      <c r="B237" s="51">
        <v>1292.2</v>
      </c>
      <c r="C237" s="53">
        <f>(Table267[[#This Row],[M2 Money Stock, Billions of Dollars, Weekly, Seasonally Adjusted]]-B236)/B236</f>
        <v>5.2119797744068809E-3</v>
      </c>
      <c r="D237" s="54">
        <f>((1+Table267[[#This Row],[Monthly change]])^12)-1</f>
        <v>6.4368146067209642E-2</v>
      </c>
      <c r="E237" s="53">
        <f>(Table267[[#This Row],[M2 Money Stock, Billions of Dollars, Weekly, Seasonally Adjusted]]-B225)/B225</f>
        <v>8.7252839713925154E-2</v>
      </c>
    </row>
    <row r="238" spans="1:5" x14ac:dyDescent="0.2">
      <c r="A238" s="50">
        <v>28581</v>
      </c>
      <c r="B238" s="51">
        <v>1300.4000000000001</v>
      </c>
      <c r="C238" s="53">
        <f>(Table267[[#This Row],[M2 Money Stock, Billions of Dollars, Weekly, Seasonally Adjusted]]-B237)/B237</f>
        <v>6.3457669091472255E-3</v>
      </c>
      <c r="D238" s="54">
        <f>((1+Table267[[#This Row],[Monthly change]])^12)-1</f>
        <v>7.886396975764165E-2</v>
      </c>
      <c r="E238" s="53">
        <f>(Table267[[#This Row],[M2 Money Stock, Billions of Dollars, Weekly, Seasonally Adjusted]]-B226)/B226</f>
        <v>8.4028009336445636E-2</v>
      </c>
    </row>
    <row r="239" spans="1:5" x14ac:dyDescent="0.2">
      <c r="A239" s="50">
        <v>28611</v>
      </c>
      <c r="B239" s="51">
        <v>1310.5</v>
      </c>
      <c r="C239" s="53">
        <f>(Table267[[#This Row],[M2 Money Stock, Billions of Dollars, Weekly, Seasonally Adjusted]]-B238)/B238</f>
        <v>7.7668409720085419E-3</v>
      </c>
      <c r="D239" s="54">
        <f>((1+Table267[[#This Row],[Monthly change]])^12)-1</f>
        <v>9.7288363184135696E-2</v>
      </c>
      <c r="E239" s="53">
        <f>(Table267[[#This Row],[M2 Money Stock, Billions of Dollars, Weekly, Seasonally Adjusted]]-B227)/B227</f>
        <v>8.3953680727874277E-2</v>
      </c>
    </row>
    <row r="240" spans="1:5" x14ac:dyDescent="0.2">
      <c r="A240" s="50">
        <v>28642</v>
      </c>
      <c r="B240" s="51">
        <v>1318.5</v>
      </c>
      <c r="C240" s="53">
        <f>(Table267[[#This Row],[M2 Money Stock, Billions of Dollars, Weekly, Seasonally Adjusted]]-B239)/B239</f>
        <v>6.1045402518122857E-3</v>
      </c>
      <c r="D240" s="54">
        <f>((1+Table267[[#This Row],[Monthly change]])^12)-1</f>
        <v>7.5764741772365918E-2</v>
      </c>
      <c r="E240" s="53">
        <f>(Table267[[#This Row],[M2 Money Stock, Billions of Dollars, Weekly, Seasonally Adjusted]]-B228)/B228</f>
        <v>8.2690096896042078E-2</v>
      </c>
    </row>
    <row r="241" spans="1:5" x14ac:dyDescent="0.2">
      <c r="A241" s="50">
        <v>28672</v>
      </c>
      <c r="B241" s="51">
        <v>1324.1</v>
      </c>
      <c r="C241" s="53">
        <f>(Table267[[#This Row],[M2 Money Stock, Billions of Dollars, Weekly, Seasonally Adjusted]]-B240)/B240</f>
        <v>4.2472506636328476E-3</v>
      </c>
      <c r="D241" s="54">
        <f>((1+Table267[[#This Row],[Monthly change]])^12)-1</f>
        <v>5.2174608946215173E-2</v>
      </c>
      <c r="E241" s="53">
        <f>(Table267[[#This Row],[M2 Money Stock, Billions of Dollars, Weekly, Seasonally Adjusted]]-B229)/B229</f>
        <v>7.9400016303904669E-2</v>
      </c>
    </row>
    <row r="242" spans="1:5" x14ac:dyDescent="0.2">
      <c r="A242" s="50">
        <v>28703</v>
      </c>
      <c r="B242" s="51">
        <v>1333.5</v>
      </c>
      <c r="C242" s="53">
        <f>(Table267[[#This Row],[M2 Money Stock, Billions of Dollars, Weekly, Seasonally Adjusted]]-B241)/B241</f>
        <v>7.0991616947361164E-3</v>
      </c>
      <c r="D242" s="54">
        <f>((1+Table267[[#This Row],[Monthly change]])^12)-1</f>
        <v>8.8596198940199544E-2</v>
      </c>
      <c r="E242" s="53">
        <f>(Table267[[#This Row],[M2 Money Stock, Billions of Dollars, Weekly, Seasonally Adjusted]]-B230)/B230</f>
        <v>7.8011317704122882E-2</v>
      </c>
    </row>
    <row r="243" spans="1:5" x14ac:dyDescent="0.2">
      <c r="A243" s="50">
        <v>28734</v>
      </c>
      <c r="B243" s="51">
        <v>1345</v>
      </c>
      <c r="C243" s="53">
        <f>(Table267[[#This Row],[M2 Money Stock, Billions of Dollars, Weekly, Seasonally Adjusted]]-B242)/B242</f>
        <v>8.6239220097487808E-3</v>
      </c>
      <c r="D243" s="54">
        <f>((1+Table267[[#This Row],[Monthly change]])^12)-1</f>
        <v>0.10853949754768544</v>
      </c>
      <c r="E243" s="53">
        <f>(Table267[[#This Row],[M2 Money Stock, Billions of Dollars, Weekly, Seasonally Adjusted]]-B231)/B231</f>
        <v>7.9281014283421561E-2</v>
      </c>
    </row>
    <row r="244" spans="1:5" x14ac:dyDescent="0.2">
      <c r="A244" s="50">
        <v>28764</v>
      </c>
      <c r="B244" s="51">
        <v>1352.3</v>
      </c>
      <c r="C244" s="53">
        <f>(Table267[[#This Row],[M2 Money Stock, Billions of Dollars, Weekly, Seasonally Adjusted]]-B243)/B243</f>
        <v>5.4275092936802638E-3</v>
      </c>
      <c r="D244" s="54">
        <f>((1+Table267[[#This Row],[Monthly change]])^12)-1</f>
        <v>6.7109937607220171E-2</v>
      </c>
      <c r="E244" s="53">
        <f>(Table267[[#This Row],[M2 Money Stock, Billions of Dollars, Weekly, Seasonally Adjusted]]-B232)/B232</f>
        <v>7.8389154704944147E-2</v>
      </c>
    </row>
    <row r="245" spans="1:5" x14ac:dyDescent="0.2">
      <c r="A245" s="50">
        <v>28795</v>
      </c>
      <c r="B245" s="51">
        <v>1359.1</v>
      </c>
      <c r="C245" s="53">
        <f>(Table267[[#This Row],[M2 Money Stock, Billions of Dollars, Weekly, Seasonally Adjusted]]-B244)/B244</f>
        <v>5.0284700140501033E-3</v>
      </c>
      <c r="D245" s="54">
        <f>((1+Table267[[#This Row],[Monthly change]])^12)-1</f>
        <v>6.203877535173552E-2</v>
      </c>
      <c r="E245" s="53">
        <f>(Table267[[#This Row],[M2 Money Stock, Billions of Dollars, Weekly, Seasonally Adjusted]]-B233)/B233</f>
        <v>7.6600126742712146E-2</v>
      </c>
    </row>
    <row r="246" spans="1:5" x14ac:dyDescent="0.2">
      <c r="A246" s="50">
        <v>28825</v>
      </c>
      <c r="B246" s="51">
        <v>1366</v>
      </c>
      <c r="C246" s="53">
        <f>(Table267[[#This Row],[M2 Money Stock, Billions of Dollars, Weekly, Seasonally Adjusted]]-B245)/B245</f>
        <v>5.0768891177986105E-3</v>
      </c>
      <c r="D246" s="54">
        <f>((1+Table267[[#This Row],[Monthly change]])^12)-1</f>
        <v>6.265292623464358E-2</v>
      </c>
      <c r="E246" s="53">
        <f>(Table267[[#This Row],[M2 Money Stock, Billions of Dollars, Weekly, Seasonally Adjusted]]-B234)/B234</f>
        <v>7.5336534676848033E-2</v>
      </c>
    </row>
    <row r="247" spans="1:5" x14ac:dyDescent="0.2">
      <c r="A247" s="50">
        <v>28856</v>
      </c>
      <c r="B247" s="51">
        <v>1371.6</v>
      </c>
      <c r="C247" s="53">
        <f>(Table267[[#This Row],[M2 Money Stock, Billions of Dollars, Weekly, Seasonally Adjusted]]-B246)/B246</f>
        <v>4.099560761346932E-3</v>
      </c>
      <c r="D247" s="54">
        <f>((1+Table267[[#This Row],[Monthly change]])^12)-1</f>
        <v>5.0319249917013975E-2</v>
      </c>
      <c r="E247" s="53">
        <f>(Table267[[#This Row],[M2 Money Stock, Billions of Dollars, Weekly, Seasonally Adjusted]]-B235)/B235</f>
        <v>7.181370633742272E-2</v>
      </c>
    </row>
    <row r="248" spans="1:5" x14ac:dyDescent="0.2">
      <c r="A248" s="50">
        <v>28887</v>
      </c>
      <c r="B248" s="51">
        <v>1377.8</v>
      </c>
      <c r="C248" s="53">
        <f>(Table267[[#This Row],[M2 Money Stock, Billions of Dollars, Weekly, Seasonally Adjusted]]-B247)/B247</f>
        <v>4.5202682997958921E-3</v>
      </c>
      <c r="D248" s="54">
        <f>((1+Table267[[#This Row],[Monthly change]])^12)-1</f>
        <v>5.5612313853701023E-2</v>
      </c>
      <c r="E248" s="53">
        <f>(Table267[[#This Row],[M2 Money Stock, Billions of Dollars, Weekly, Seasonally Adjusted]]-B236)/B236</f>
        <v>7.1800855698171878E-2</v>
      </c>
    </row>
    <row r="249" spans="1:5" x14ac:dyDescent="0.2">
      <c r="A249" s="50">
        <v>28915</v>
      </c>
      <c r="B249" s="51">
        <v>1387.8</v>
      </c>
      <c r="C249" s="53">
        <f>(Table267[[#This Row],[M2 Money Stock, Billions of Dollars, Weekly, Seasonally Adjusted]]-B248)/B248</f>
        <v>7.2579474524604448E-3</v>
      </c>
      <c r="D249" s="54">
        <f>((1+Table267[[#This Row],[Monthly change]])^12)-1</f>
        <v>9.0657607194887468E-2</v>
      </c>
      <c r="E249" s="53">
        <f>(Table267[[#This Row],[M2 Money Stock, Billions of Dollars, Weekly, Seasonally Adjusted]]-B237)/B237</f>
        <v>7.3982355672496447E-2</v>
      </c>
    </row>
    <row r="250" spans="1:5" x14ac:dyDescent="0.2">
      <c r="A250" s="50">
        <v>28946</v>
      </c>
      <c r="B250" s="51">
        <v>1402.1</v>
      </c>
      <c r="C250" s="53">
        <f>(Table267[[#This Row],[M2 Money Stock, Billions of Dollars, Weekly, Seasonally Adjusted]]-B249)/B249</f>
        <v>1.0304078397463579E-2</v>
      </c>
      <c r="D250" s="54">
        <f>((1+Table267[[#This Row],[Monthly change]])^12)-1</f>
        <v>0.13090278568663916</v>
      </c>
      <c r="E250" s="53">
        <f>(Table267[[#This Row],[M2 Money Stock, Billions of Dollars, Weekly, Seasonally Adjusted]]-B238)/B238</f>
        <v>7.8206705629037074E-2</v>
      </c>
    </row>
    <row r="251" spans="1:5" x14ac:dyDescent="0.2">
      <c r="A251" s="50">
        <v>28976</v>
      </c>
      <c r="B251" s="51">
        <v>1410.2</v>
      </c>
      <c r="C251" s="53">
        <f>(Table267[[#This Row],[M2 Money Stock, Billions of Dollars, Weekly, Seasonally Adjusted]]-B250)/B250</f>
        <v>5.7770487126454157E-3</v>
      </c>
      <c r="D251" s="54">
        <f>((1+Table267[[#This Row],[Monthly change]])^12)-1</f>
        <v>7.1570261375817124E-2</v>
      </c>
      <c r="E251" s="53">
        <f>(Table267[[#This Row],[M2 Money Stock, Billions of Dollars, Weekly, Seasonally Adjusted]]-B239)/B239</f>
        <v>7.6077832888210642E-2</v>
      </c>
    </row>
    <row r="252" spans="1:5" x14ac:dyDescent="0.2">
      <c r="A252" s="50">
        <v>29007</v>
      </c>
      <c r="B252" s="51">
        <v>1423</v>
      </c>
      <c r="C252" s="53">
        <f>(Table267[[#This Row],[M2 Money Stock, Billions of Dollars, Weekly, Seasonally Adjusted]]-B251)/B251</f>
        <v>9.0767267054318208E-3</v>
      </c>
      <c r="D252" s="54">
        <f>((1+Table267[[#This Row],[Monthly change]])^12)-1</f>
        <v>0.11452618639363066</v>
      </c>
      <c r="E252" s="53">
        <f>(Table267[[#This Row],[M2 Money Stock, Billions of Dollars, Weekly, Seasonally Adjusted]]-B240)/B240</f>
        <v>7.9256731133864236E-2</v>
      </c>
    </row>
    <row r="253" spans="1:5" x14ac:dyDescent="0.2">
      <c r="A253" s="50">
        <v>29037</v>
      </c>
      <c r="B253" s="51">
        <v>1434.8</v>
      </c>
      <c r="C253" s="53">
        <f>(Table267[[#This Row],[M2 Money Stock, Billions of Dollars, Weekly, Seasonally Adjusted]]-B252)/B252</f>
        <v>8.292340126493292E-3</v>
      </c>
      <c r="D253" s="54">
        <f>((1+Table267[[#This Row],[Monthly change]])^12)-1</f>
        <v>0.10417425030268479</v>
      </c>
      <c r="E253" s="53">
        <f>(Table267[[#This Row],[M2 Money Stock, Billions of Dollars, Weekly, Seasonally Adjusted]]-B241)/B241</f>
        <v>8.3603957405029877E-2</v>
      </c>
    </row>
    <row r="254" spans="1:5" x14ac:dyDescent="0.2">
      <c r="A254" s="50">
        <v>29068</v>
      </c>
      <c r="B254" s="51">
        <v>1446.6</v>
      </c>
      <c r="C254" s="53">
        <f>(Table267[[#This Row],[M2 Money Stock, Billions of Dollars, Weekly, Seasonally Adjusted]]-B253)/B253</f>
        <v>8.224142737663755E-3</v>
      </c>
      <c r="D254" s="54">
        <f>((1+Table267[[#This Row],[Monthly change]])^12)-1</f>
        <v>0.10327839351592094</v>
      </c>
      <c r="E254" s="53">
        <f>(Table267[[#This Row],[M2 Money Stock, Billions of Dollars, Weekly, Seasonally Adjusted]]-B242)/B242</f>
        <v>8.4814398200224905E-2</v>
      </c>
    </row>
    <row r="255" spans="1:5" x14ac:dyDescent="0.2">
      <c r="A255" s="50">
        <v>29099</v>
      </c>
      <c r="B255" s="51">
        <v>1454.1</v>
      </c>
      <c r="C255" s="53">
        <f>(Table267[[#This Row],[M2 Money Stock, Billions of Dollars, Weekly, Seasonally Adjusted]]-B254)/B254</f>
        <v>5.1845707175445874E-3</v>
      </c>
      <c r="D255" s="54">
        <f>((1+Table267[[#This Row],[Monthly change]])^12)-1</f>
        <v>6.4019933515609972E-2</v>
      </c>
      <c r="E255" s="53">
        <f>(Table267[[#This Row],[M2 Money Stock, Billions of Dollars, Weekly, Seasonally Adjusted]]-B243)/B243</f>
        <v>8.111524163568766E-2</v>
      </c>
    </row>
    <row r="256" spans="1:5" x14ac:dyDescent="0.2">
      <c r="A256" s="50">
        <v>29129</v>
      </c>
      <c r="B256" s="51">
        <v>1460.4</v>
      </c>
      <c r="C256" s="53">
        <f>(Table267[[#This Row],[M2 Money Stock, Billions of Dollars, Weekly, Seasonally Adjusted]]-B255)/B255</f>
        <v>4.3325768516609461E-3</v>
      </c>
      <c r="D256" s="54">
        <f>((1+Table267[[#This Row],[Monthly change]])^12)-1</f>
        <v>5.3247890624120719E-2</v>
      </c>
      <c r="E256" s="53">
        <f>(Table267[[#This Row],[M2 Money Stock, Billions of Dollars, Weekly, Seasonally Adjusted]]-B244)/B244</f>
        <v>7.9937883605708901E-2</v>
      </c>
    </row>
    <row r="257" spans="1:5" x14ac:dyDescent="0.2">
      <c r="A257" s="50">
        <v>29160</v>
      </c>
      <c r="B257" s="51">
        <v>1465.9</v>
      </c>
      <c r="C257" s="53">
        <f>(Table267[[#This Row],[M2 Money Stock, Billions of Dollars, Weekly, Seasonally Adjusted]]-B256)/B256</f>
        <v>3.7660914817858118E-3</v>
      </c>
      <c r="D257" s="54">
        <f>((1+Table267[[#This Row],[Monthly change]])^12)-1</f>
        <v>4.6141056889913878E-2</v>
      </c>
      <c r="E257" s="53">
        <f>(Table267[[#This Row],[M2 Money Stock, Billions of Dollars, Weekly, Seasonally Adjusted]]-B245)/B245</f>
        <v>7.858141417114281E-2</v>
      </c>
    </row>
    <row r="258" spans="1:5" x14ac:dyDescent="0.2">
      <c r="A258" s="50">
        <v>29190</v>
      </c>
      <c r="B258" s="51">
        <v>1473.7</v>
      </c>
      <c r="C258" s="53">
        <f>(Table267[[#This Row],[M2 Money Stock, Billions of Dollars, Weekly, Seasonally Adjusted]]-B257)/B257</f>
        <v>5.3209632307796946E-3</v>
      </c>
      <c r="D258" s="54">
        <f>((1+Table267[[#This Row],[Monthly change]])^12)-1</f>
        <v>6.5753736968978016E-2</v>
      </c>
      <c r="E258" s="53">
        <f>(Table267[[#This Row],[M2 Money Stock, Billions of Dollars, Weekly, Seasonally Adjusted]]-B246)/B246</f>
        <v>7.884333821376284E-2</v>
      </c>
    </row>
    <row r="259" spans="1:5" x14ac:dyDescent="0.2">
      <c r="A259" s="50">
        <v>29221</v>
      </c>
      <c r="B259" s="51">
        <v>1482.7</v>
      </c>
      <c r="C259" s="53">
        <f>(Table267[[#This Row],[M2 Money Stock, Billions of Dollars, Weekly, Seasonally Adjusted]]-B258)/B258</f>
        <v>6.1070774241704555E-3</v>
      </c>
      <c r="D259" s="54">
        <f>((1+Table267[[#This Row],[Monthly change]])^12)-1</f>
        <v>7.5797296303002692E-2</v>
      </c>
      <c r="E259" s="53">
        <f>(Table267[[#This Row],[M2 Money Stock, Billions of Dollars, Weekly, Seasonally Adjusted]]-B247)/B247</f>
        <v>8.1000291630212995E-2</v>
      </c>
    </row>
    <row r="260" spans="1:5" x14ac:dyDescent="0.2">
      <c r="A260" s="50">
        <v>29252</v>
      </c>
      <c r="B260" s="51">
        <v>1494.6</v>
      </c>
      <c r="C260" s="53">
        <f>(Table267[[#This Row],[M2 Money Stock, Billions of Dollars, Weekly, Seasonally Adjusted]]-B259)/B259</f>
        <v>8.0258986983205386E-3</v>
      </c>
      <c r="D260" s="54">
        <f>((1+Table267[[#This Row],[Monthly change]])^12)-1</f>
        <v>0.10067799570721503</v>
      </c>
      <c r="E260" s="53">
        <f>(Table267[[#This Row],[M2 Money Stock, Billions of Dollars, Weekly, Seasonally Adjusted]]-B248)/B248</f>
        <v>8.4772826244737962E-2</v>
      </c>
    </row>
    <row r="261" spans="1:5" x14ac:dyDescent="0.2">
      <c r="A261" s="50">
        <v>29281</v>
      </c>
      <c r="B261" s="51">
        <v>1499.8</v>
      </c>
      <c r="C261" s="53">
        <f>(Table267[[#This Row],[M2 Money Stock, Billions of Dollars, Weekly, Seasonally Adjusted]]-B260)/B260</f>
        <v>3.479191756991868E-3</v>
      </c>
      <c r="D261" s="54">
        <f>((1+Table267[[#This Row],[Monthly change]])^12)-1</f>
        <v>4.2558554451635366E-2</v>
      </c>
      <c r="E261" s="53">
        <f>(Table267[[#This Row],[M2 Money Stock, Billions of Dollars, Weekly, Seasonally Adjusted]]-B249)/B249</f>
        <v>8.0703271364749973E-2</v>
      </c>
    </row>
    <row r="262" spans="1:5" x14ac:dyDescent="0.2">
      <c r="A262" s="50">
        <v>29312</v>
      </c>
      <c r="B262" s="51">
        <v>1502.2</v>
      </c>
      <c r="C262" s="53">
        <f>(Table267[[#This Row],[M2 Money Stock, Billions of Dollars, Weekly, Seasonally Adjusted]]-B261)/B261</f>
        <v>1.6002133617816316E-3</v>
      </c>
      <c r="D262" s="54">
        <f>((1+Table267[[#This Row],[Monthly change]])^12)-1</f>
        <v>1.9372470141024278E-2</v>
      </c>
      <c r="E262" s="53">
        <f>(Table267[[#This Row],[M2 Money Stock, Billions of Dollars, Weekly, Seasonally Adjusted]]-B250)/B250</f>
        <v>7.1392910634049025E-2</v>
      </c>
    </row>
    <row r="263" spans="1:5" x14ac:dyDescent="0.2">
      <c r="A263" s="50">
        <v>29342</v>
      </c>
      <c r="B263" s="51">
        <v>1512.3</v>
      </c>
      <c r="C263" s="53">
        <f>(Table267[[#This Row],[M2 Money Stock, Billions of Dollars, Weekly, Seasonally Adjusted]]-B262)/B262</f>
        <v>6.7234722407135596E-3</v>
      </c>
      <c r="D263" s="54">
        <f>((1+Table267[[#This Row],[Monthly change]])^12)-1</f>
        <v>8.3733090320832204E-2</v>
      </c>
      <c r="E263" s="53">
        <f>(Table267[[#This Row],[M2 Money Stock, Billions of Dollars, Weekly, Seasonally Adjusted]]-B251)/B251</f>
        <v>7.2401077861296209E-2</v>
      </c>
    </row>
    <row r="264" spans="1:5" x14ac:dyDescent="0.2">
      <c r="A264" s="50">
        <v>29373</v>
      </c>
      <c r="B264" s="51">
        <v>1529.2</v>
      </c>
      <c r="C264" s="53">
        <f>(Table267[[#This Row],[M2 Money Stock, Billions of Dollars, Weekly, Seasonally Adjusted]]-B263)/B263</f>
        <v>1.1175031409112008E-2</v>
      </c>
      <c r="D264" s="54">
        <f>((1+Table267[[#This Row],[Monthly change]])^12)-1</f>
        <v>0.14265742563798955</v>
      </c>
      <c r="E264" s="53">
        <f>(Table267[[#This Row],[M2 Money Stock, Billions of Dollars, Weekly, Seasonally Adjusted]]-B252)/B252</f>
        <v>7.4631061138439952E-2</v>
      </c>
    </row>
    <row r="265" spans="1:5" x14ac:dyDescent="0.2">
      <c r="A265" s="50">
        <v>29403</v>
      </c>
      <c r="B265" s="51">
        <v>1545.5</v>
      </c>
      <c r="C265" s="53">
        <f>(Table267[[#This Row],[M2 Money Stock, Billions of Dollars, Weekly, Seasonally Adjusted]]-B264)/B264</f>
        <v>1.0659168192518935E-2</v>
      </c>
      <c r="D265" s="54">
        <f>((1+Table267[[#This Row],[Monthly change]])^12)-1</f>
        <v>0.13568173364292369</v>
      </c>
      <c r="E265" s="53">
        <f>(Table267[[#This Row],[M2 Money Stock, Billions of Dollars, Weekly, Seasonally Adjusted]]-B253)/B253</f>
        <v>7.7153610259269617E-2</v>
      </c>
    </row>
    <row r="266" spans="1:5" x14ac:dyDescent="0.2">
      <c r="A266" s="50">
        <v>29434</v>
      </c>
      <c r="B266" s="51">
        <v>1561.5</v>
      </c>
      <c r="C266" s="53">
        <f>(Table267[[#This Row],[M2 Money Stock, Billions of Dollars, Weekly, Seasonally Adjusted]]-B265)/B265</f>
        <v>1.0352636687156261E-2</v>
      </c>
      <c r="D266" s="54">
        <f>((1+Table267[[#This Row],[Monthly change]])^12)-1</f>
        <v>0.1315552137043694</v>
      </c>
      <c r="E266" s="53">
        <f>(Table267[[#This Row],[M2 Money Stock, Billions of Dollars, Weekly, Seasonally Adjusted]]-B254)/B254</f>
        <v>7.9427623392783142E-2</v>
      </c>
    </row>
    <row r="267" spans="1:5" x14ac:dyDescent="0.2">
      <c r="A267" s="50">
        <v>29465</v>
      </c>
      <c r="B267" s="51">
        <v>1574</v>
      </c>
      <c r="C267" s="53">
        <f>(Table267[[#This Row],[M2 Money Stock, Billions of Dollars, Weekly, Seasonally Adjusted]]-B266)/B266</f>
        <v>8.0051232788984957E-3</v>
      </c>
      <c r="D267" s="54">
        <f>((1+Table267[[#This Row],[Monthly change]])^12)-1</f>
        <v>0.10040580680664468</v>
      </c>
      <c r="E267" s="53">
        <f>(Table267[[#This Row],[M2 Money Stock, Billions of Dollars, Weekly, Seasonally Adjusted]]-B255)/B255</f>
        <v>8.2456502303830614E-2</v>
      </c>
    </row>
    <row r="268" spans="1:5" x14ac:dyDescent="0.2">
      <c r="A268" s="50">
        <v>29495</v>
      </c>
      <c r="B268" s="51">
        <v>1584.8</v>
      </c>
      <c r="C268" s="53">
        <f>(Table267[[#This Row],[M2 Money Stock, Billions of Dollars, Weekly, Seasonally Adjusted]]-B267)/B267</f>
        <v>6.8614993646759562E-3</v>
      </c>
      <c r="D268" s="54">
        <f>((1+Table267[[#This Row],[Monthly change]])^12)-1</f>
        <v>8.5517462087983942E-2</v>
      </c>
      <c r="E268" s="53">
        <f>(Table267[[#This Row],[M2 Money Stock, Billions of Dollars, Weekly, Seasonally Adjusted]]-B256)/B256</f>
        <v>8.5182141878937176E-2</v>
      </c>
    </row>
    <row r="269" spans="1:5" x14ac:dyDescent="0.2">
      <c r="A269" s="50">
        <v>29526</v>
      </c>
      <c r="B269" s="51">
        <v>1595.8</v>
      </c>
      <c r="C269" s="53">
        <f>(Table267[[#This Row],[M2 Money Stock, Billions of Dollars, Weekly, Seasonally Adjusted]]-B268)/B268</f>
        <v>6.9409389197375064E-3</v>
      </c>
      <c r="D269" s="54">
        <f>((1+Table267[[#This Row],[Monthly change]])^12)-1</f>
        <v>8.6545652607476597E-2</v>
      </c>
      <c r="E269" s="53">
        <f>(Table267[[#This Row],[M2 Money Stock, Billions of Dollars, Weekly, Seasonally Adjusted]]-B257)/B257</f>
        <v>8.8614503035677639E-2</v>
      </c>
    </row>
    <row r="270" spans="1:5" x14ac:dyDescent="0.2">
      <c r="A270" s="50">
        <v>29556</v>
      </c>
      <c r="B270" s="51">
        <v>1599.8</v>
      </c>
      <c r="C270" s="53">
        <f>(Table267[[#This Row],[M2 Money Stock, Billions of Dollars, Weekly, Seasonally Adjusted]]-B269)/B269</f>
        <v>2.5065797719012409E-3</v>
      </c>
      <c r="D270" s="54">
        <f>((1+Table267[[#This Row],[Monthly change]])^12)-1</f>
        <v>3.0497115776864092E-2</v>
      </c>
      <c r="E270" s="53">
        <f>(Table267[[#This Row],[M2 Money Stock, Billions of Dollars, Weekly, Seasonally Adjusted]]-B258)/B258</f>
        <v>8.5566940354210433E-2</v>
      </c>
    </row>
    <row r="271" spans="1:5" x14ac:dyDescent="0.2">
      <c r="A271" s="50">
        <v>29587</v>
      </c>
      <c r="B271" s="51">
        <v>1606.9</v>
      </c>
      <c r="C271" s="53">
        <f>(Table267[[#This Row],[M2 Money Stock, Billions of Dollars, Weekly, Seasonally Adjusted]]-B270)/B270</f>
        <v>4.4380547568446914E-3</v>
      </c>
      <c r="D271" s="54">
        <f>((1+Table267[[#This Row],[Monthly change]])^12)-1</f>
        <v>5.4576039213498628E-2</v>
      </c>
      <c r="E271" s="53">
        <f>(Table267[[#This Row],[M2 Money Stock, Billions of Dollars, Weekly, Seasonally Adjusted]]-B259)/B259</f>
        <v>8.3766102380791824E-2</v>
      </c>
    </row>
    <row r="272" spans="1:5" x14ac:dyDescent="0.2">
      <c r="A272" s="50">
        <v>29618</v>
      </c>
      <c r="B272" s="51">
        <v>1618.7</v>
      </c>
      <c r="C272" s="53">
        <f>(Table267[[#This Row],[M2 Money Stock, Billions of Dollars, Weekly, Seasonally Adjusted]]-B271)/B271</f>
        <v>7.3433318812620284E-3</v>
      </c>
      <c r="D272" s="54">
        <f>((1+Table267[[#This Row],[Monthly change]])^12)-1</f>
        <v>9.1767574393786466E-2</v>
      </c>
      <c r="E272" s="53">
        <f>(Table267[[#This Row],[M2 Money Stock, Billions of Dollars, Weekly, Seasonally Adjusted]]-B260)/B260</f>
        <v>8.3032249431286065E-2</v>
      </c>
    </row>
    <row r="273" spans="1:5" x14ac:dyDescent="0.2">
      <c r="A273" s="50">
        <v>29646</v>
      </c>
      <c r="B273" s="51">
        <v>1636.6</v>
      </c>
      <c r="C273" s="53">
        <f>(Table267[[#This Row],[M2 Money Stock, Billions of Dollars, Weekly, Seasonally Adjusted]]-B272)/B272</f>
        <v>1.1058256625687195E-2</v>
      </c>
      <c r="D273" s="54">
        <f>((1+Table267[[#This Row],[Monthly change]])^12)-1</f>
        <v>0.14107492389771958</v>
      </c>
      <c r="E273" s="53">
        <f>(Table267[[#This Row],[M2 Money Stock, Billions of Dollars, Weekly, Seasonally Adjusted]]-B261)/B261</f>
        <v>9.1212161621549506E-2</v>
      </c>
    </row>
    <row r="274" spans="1:5" x14ac:dyDescent="0.2">
      <c r="A274" s="50">
        <v>29677</v>
      </c>
      <c r="B274" s="51">
        <v>1659.2</v>
      </c>
      <c r="C274" s="53">
        <f>(Table267[[#This Row],[M2 Money Stock, Billions of Dollars, Weekly, Seasonally Adjusted]]-B273)/B273</f>
        <v>1.3809116460955725E-2</v>
      </c>
      <c r="D274" s="54">
        <f>((1+Table267[[#This Row],[Monthly change]])^12)-1</f>
        <v>0.17889277603868292</v>
      </c>
      <c r="E274" s="53">
        <f>(Table267[[#This Row],[M2 Money Stock, Billions of Dollars, Weekly, Seasonally Adjusted]]-B262)/B262</f>
        <v>0.10451338037544934</v>
      </c>
    </row>
    <row r="275" spans="1:5" x14ac:dyDescent="0.2">
      <c r="A275" s="50">
        <v>29707</v>
      </c>
      <c r="B275" s="51">
        <v>1664.2</v>
      </c>
      <c r="C275" s="53">
        <f>(Table267[[#This Row],[M2 Money Stock, Billions of Dollars, Weekly, Seasonally Adjusted]]-B274)/B274</f>
        <v>3.0135004821600772E-3</v>
      </c>
      <c r="D275" s="54">
        <f>((1+Table267[[#This Row],[Monthly change]])^12)-1</f>
        <v>3.6767425579644408E-2</v>
      </c>
      <c r="E275" s="53">
        <f>(Table267[[#This Row],[M2 Money Stock, Billions of Dollars, Weekly, Seasonally Adjusted]]-B263)/B263</f>
        <v>0.10044303378959207</v>
      </c>
    </row>
    <row r="276" spans="1:5" x14ac:dyDescent="0.2">
      <c r="A276" s="50">
        <v>29738</v>
      </c>
      <c r="B276" s="51">
        <v>1670.3</v>
      </c>
      <c r="C276" s="53">
        <f>(Table267[[#This Row],[M2 Money Stock, Billions of Dollars, Weekly, Seasonally Adjusted]]-B275)/B275</f>
        <v>3.6654248287464903E-3</v>
      </c>
      <c r="D276" s="54">
        <f>((1+Table267[[#This Row],[Monthly change]])^12)-1</f>
        <v>4.4882754378089196E-2</v>
      </c>
      <c r="E276" s="53">
        <f>(Table267[[#This Row],[M2 Money Stock, Billions of Dollars, Weekly, Seasonally Adjusted]]-B264)/B264</f>
        <v>9.2270468218676363E-2</v>
      </c>
    </row>
    <row r="277" spans="1:5" x14ac:dyDescent="0.2">
      <c r="A277" s="50">
        <v>29768</v>
      </c>
      <c r="B277" s="51">
        <v>1681.9</v>
      </c>
      <c r="C277" s="53">
        <f>(Table267[[#This Row],[M2 Money Stock, Billions of Dollars, Weekly, Seasonally Adjusted]]-B276)/B276</f>
        <v>6.9448602047537189E-3</v>
      </c>
      <c r="D277" s="54">
        <f>((1+Table267[[#This Row],[Monthly change]])^12)-1</f>
        <v>8.6596429128084074E-2</v>
      </c>
      <c r="E277" s="53">
        <f>(Table267[[#This Row],[M2 Money Stock, Billions of Dollars, Weekly, Seasonally Adjusted]]-B265)/B265</f>
        <v>8.8256227758007177E-2</v>
      </c>
    </row>
    <row r="278" spans="1:5" x14ac:dyDescent="0.2">
      <c r="A278" s="50">
        <v>29799</v>
      </c>
      <c r="B278" s="51">
        <v>1694.3</v>
      </c>
      <c r="C278" s="53">
        <f>(Table267[[#This Row],[M2 Money Stock, Billions of Dollars, Weekly, Seasonally Adjusted]]-B277)/B277</f>
        <v>7.3726143052499334E-3</v>
      </c>
      <c r="D278" s="54">
        <f>((1+Table267[[#This Row],[Monthly change]])^12)-1</f>
        <v>9.2148473875858228E-2</v>
      </c>
      <c r="E278" s="53">
        <f>(Table267[[#This Row],[M2 Money Stock, Billions of Dollars, Weekly, Seasonally Adjusted]]-B266)/B266</f>
        <v>8.504642971501758E-2</v>
      </c>
    </row>
    <row r="279" spans="1:5" x14ac:dyDescent="0.2">
      <c r="A279" s="50">
        <v>29830</v>
      </c>
      <c r="B279" s="51">
        <v>1706</v>
      </c>
      <c r="C279" s="53">
        <f>(Table267[[#This Row],[M2 Money Stock, Billions of Dollars, Weekly, Seasonally Adjusted]]-B278)/B278</f>
        <v>6.9055066989317394E-3</v>
      </c>
      <c r="D279" s="54">
        <f>((1+Table267[[#This Row],[Monthly change]])^12)-1</f>
        <v>8.608694118888871E-2</v>
      </c>
      <c r="E279" s="53">
        <f>(Table267[[#This Row],[M2 Money Stock, Billions of Dollars, Weekly, Seasonally Adjusted]]-B267)/B267</f>
        <v>8.3862770012706478E-2</v>
      </c>
    </row>
    <row r="280" spans="1:5" x14ac:dyDescent="0.2">
      <c r="A280" s="50">
        <v>29860</v>
      </c>
      <c r="B280" s="51">
        <v>1721.8</v>
      </c>
      <c r="C280" s="53">
        <f>(Table267[[#This Row],[M2 Money Stock, Billions of Dollars, Weekly, Seasonally Adjusted]]-B279)/B279</f>
        <v>9.2614302461898907E-3</v>
      </c>
      <c r="D280" s="54">
        <f>((1+Table267[[#This Row],[Monthly change]])^12)-1</f>
        <v>0.11697671523801678</v>
      </c>
      <c r="E280" s="53">
        <f>(Table267[[#This Row],[M2 Money Stock, Billions of Dollars, Weekly, Seasonally Adjusted]]-B268)/B268</f>
        <v>8.6446239273094402E-2</v>
      </c>
    </row>
    <row r="281" spans="1:5" x14ac:dyDescent="0.2">
      <c r="A281" s="50">
        <v>29891</v>
      </c>
      <c r="B281" s="51">
        <v>1736.1</v>
      </c>
      <c r="C281" s="53">
        <f>(Table267[[#This Row],[M2 Money Stock, Billions of Dollars, Weekly, Seasonally Adjusted]]-B280)/B280</f>
        <v>8.3052619351840842E-3</v>
      </c>
      <c r="D281" s="54">
        <f>((1+Table267[[#This Row],[Monthly change]])^12)-1</f>
        <v>0.10434406931544604</v>
      </c>
      <c r="E281" s="53">
        <f>(Table267[[#This Row],[M2 Money Stock, Billions of Dollars, Weekly, Seasonally Adjusted]]-B269)/B269</f>
        <v>8.7918285499435991E-2</v>
      </c>
    </row>
    <row r="282" spans="1:5" x14ac:dyDescent="0.2">
      <c r="A282" s="50">
        <v>29921</v>
      </c>
      <c r="B282" s="51">
        <v>1755.5</v>
      </c>
      <c r="C282" s="53">
        <f>(Table267[[#This Row],[M2 Money Stock, Billions of Dollars, Weekly, Seasonally Adjusted]]-B281)/B281</f>
        <v>1.1174471516617759E-2</v>
      </c>
      <c r="D282" s="54">
        <f>((1+Table267[[#This Row],[Monthly change]])^12)-1</f>
        <v>0.14264983332194703</v>
      </c>
      <c r="E282" s="53">
        <f>(Table267[[#This Row],[M2 Money Stock, Billions of Dollars, Weekly, Seasonally Adjusted]]-B270)/B270</f>
        <v>9.7324665583197925E-2</v>
      </c>
    </row>
    <row r="283" spans="1:5" x14ac:dyDescent="0.2">
      <c r="A283" s="50">
        <v>29952</v>
      </c>
      <c r="B283" s="51">
        <v>1770.4</v>
      </c>
      <c r="C283" s="53">
        <f>(Table267[[#This Row],[M2 Money Stock, Billions of Dollars, Weekly, Seasonally Adjusted]]-B282)/B282</f>
        <v>8.4876103674167425E-3</v>
      </c>
      <c r="D283" s="54">
        <f>((1+Table267[[#This Row],[Monthly change]])^12)-1</f>
        <v>0.1067430550660684</v>
      </c>
      <c r="E283" s="53">
        <f>(Table267[[#This Row],[M2 Money Stock, Billions of Dollars, Weekly, Seasonally Adjusted]]-B271)/B271</f>
        <v>0.10174870869375816</v>
      </c>
    </row>
    <row r="284" spans="1:5" x14ac:dyDescent="0.2">
      <c r="A284" s="50">
        <v>29983</v>
      </c>
      <c r="B284" s="51">
        <v>1774.5</v>
      </c>
      <c r="C284" s="53">
        <f>(Table267[[#This Row],[M2 Money Stock, Billions of Dollars, Weekly, Seasonally Adjusted]]-B283)/B283</f>
        <v>2.3158608224129627E-3</v>
      </c>
      <c r="D284" s="54">
        <f>((1+Table267[[#This Row],[Monthly change]])^12)-1</f>
        <v>2.8147048608303971E-2</v>
      </c>
      <c r="E284" s="53">
        <f>(Table267[[#This Row],[M2 Money Stock, Billions of Dollars, Weekly, Seasonally Adjusted]]-B272)/B272</f>
        <v>9.6250077222462441E-2</v>
      </c>
    </row>
    <row r="285" spans="1:5" x14ac:dyDescent="0.2">
      <c r="A285" s="50">
        <v>30011</v>
      </c>
      <c r="B285" s="51">
        <v>1786.5</v>
      </c>
      <c r="C285" s="53">
        <f>(Table267[[#This Row],[M2 Money Stock, Billions of Dollars, Weekly, Seasonally Adjusted]]-B284)/B284</f>
        <v>6.762468300929839E-3</v>
      </c>
      <c r="D285" s="54">
        <f>((1+Table267[[#This Row],[Monthly change]])^12)-1</f>
        <v>8.4236946564721693E-2</v>
      </c>
      <c r="E285" s="53">
        <f>(Table267[[#This Row],[M2 Money Stock, Billions of Dollars, Weekly, Seasonally Adjusted]]-B273)/B273</f>
        <v>9.1592325552975737E-2</v>
      </c>
    </row>
    <row r="286" spans="1:5" x14ac:dyDescent="0.2">
      <c r="A286" s="50">
        <v>30042</v>
      </c>
      <c r="B286" s="51">
        <v>1803.9</v>
      </c>
      <c r="C286" s="53">
        <f>(Table267[[#This Row],[M2 Money Stock, Billions of Dollars, Weekly, Seasonally Adjusted]]-B285)/B285</f>
        <v>9.7397145256087822E-3</v>
      </c>
      <c r="D286" s="54">
        <f>((1+Table267[[#This Row],[Monthly change]])^12)-1</f>
        <v>0.12334525792354056</v>
      </c>
      <c r="E286" s="53">
        <f>(Table267[[#This Row],[M2 Money Stock, Billions of Dollars, Weekly, Seasonally Adjusted]]-B274)/B274</f>
        <v>8.7210703953712651E-2</v>
      </c>
    </row>
    <row r="287" spans="1:5" x14ac:dyDescent="0.2">
      <c r="A287" s="50">
        <v>30072</v>
      </c>
      <c r="B287" s="51">
        <v>1815.4</v>
      </c>
      <c r="C287" s="53">
        <f>(Table267[[#This Row],[M2 Money Stock, Billions of Dollars, Weekly, Seasonally Adjusted]]-B286)/B286</f>
        <v>6.3750762237374577E-3</v>
      </c>
      <c r="D287" s="54">
        <f>((1+Table267[[#This Row],[Monthly change]])^12)-1</f>
        <v>7.9241086611732348E-2</v>
      </c>
      <c r="E287" s="53">
        <f>(Table267[[#This Row],[M2 Money Stock, Billions of Dollars, Weekly, Seasonally Adjusted]]-B275)/B275</f>
        <v>9.0854464607619298E-2</v>
      </c>
    </row>
    <row r="288" spans="1:5" x14ac:dyDescent="0.2">
      <c r="A288" s="50">
        <v>30103</v>
      </c>
      <c r="B288" s="51">
        <v>1826</v>
      </c>
      <c r="C288" s="53">
        <f>(Table267[[#This Row],[M2 Money Stock, Billions of Dollars, Weekly, Seasonally Adjusted]]-B287)/B287</f>
        <v>5.8389335683595401E-3</v>
      </c>
      <c r="D288" s="54">
        <f>((1+Table267[[#This Row],[Monthly change]])^12)-1</f>
        <v>7.236172605030311E-2</v>
      </c>
      <c r="E288" s="53">
        <f>(Table267[[#This Row],[M2 Money Stock, Billions of Dollars, Weekly, Seasonally Adjusted]]-B276)/B276</f>
        <v>9.3216787403460483E-2</v>
      </c>
    </row>
    <row r="289" spans="1:5" x14ac:dyDescent="0.2">
      <c r="A289" s="50">
        <v>30133</v>
      </c>
      <c r="B289" s="51">
        <v>1831.5</v>
      </c>
      <c r="C289" s="53">
        <f>(Table267[[#This Row],[M2 Money Stock, Billions of Dollars, Weekly, Seasonally Adjusted]]-B288)/B288</f>
        <v>3.0120481927710845E-3</v>
      </c>
      <c r="D289" s="54">
        <f>((1+Table267[[#This Row],[Monthly change]])^12)-1</f>
        <v>3.6749411772176277E-2</v>
      </c>
      <c r="E289" s="53">
        <f>(Table267[[#This Row],[M2 Money Stock, Billions of Dollars, Weekly, Seasonally Adjusted]]-B277)/B277</f>
        <v>8.8947024198822708E-2</v>
      </c>
    </row>
    <row r="290" spans="1:5" x14ac:dyDescent="0.2">
      <c r="A290" s="50">
        <v>30164</v>
      </c>
      <c r="B290" s="51">
        <v>1845.2</v>
      </c>
      <c r="C290" s="53">
        <f>(Table267[[#This Row],[M2 Money Stock, Billions of Dollars, Weekly, Seasonally Adjusted]]-B289)/B289</f>
        <v>7.4802074802075048E-3</v>
      </c>
      <c r="D290" s="54">
        <f>((1+Table267[[#This Row],[Monthly change]])^12)-1</f>
        <v>9.3549069117199624E-2</v>
      </c>
      <c r="E290" s="53">
        <f>(Table267[[#This Row],[M2 Money Stock, Billions of Dollars, Weekly, Seasonally Adjusted]]-B278)/B278</f>
        <v>8.906332998878598E-2</v>
      </c>
    </row>
    <row r="291" spans="1:5" x14ac:dyDescent="0.2">
      <c r="A291" s="50">
        <v>30195</v>
      </c>
      <c r="B291" s="51">
        <v>1858.4</v>
      </c>
      <c r="C291" s="53">
        <f>(Table267[[#This Row],[M2 Money Stock, Billions of Dollars, Weekly, Seasonally Adjusted]]-B290)/B290</f>
        <v>7.1536960763061161E-3</v>
      </c>
      <c r="D291" s="54">
        <f>((1+Table267[[#This Row],[Monthly change]])^12)-1</f>
        <v>8.9303778967057212E-2</v>
      </c>
      <c r="E291" s="53">
        <f>(Table267[[#This Row],[M2 Money Stock, Billions of Dollars, Weekly, Seasonally Adjusted]]-B279)/B279</f>
        <v>8.9331770222743315E-2</v>
      </c>
    </row>
    <row r="292" spans="1:5" x14ac:dyDescent="0.2">
      <c r="A292" s="50">
        <v>30225</v>
      </c>
      <c r="B292" s="51">
        <v>1869.7</v>
      </c>
      <c r="C292" s="53">
        <f>(Table267[[#This Row],[M2 Money Stock, Billions of Dollars, Weekly, Seasonally Adjusted]]-B291)/B291</f>
        <v>6.08049935428323E-3</v>
      </c>
      <c r="D292" s="54">
        <f>((1+Table267[[#This Row],[Monthly change]])^12)-1</f>
        <v>7.5456317147372109E-2</v>
      </c>
      <c r="E292" s="53">
        <f>(Table267[[#This Row],[M2 Money Stock, Billions of Dollars, Weekly, Seasonally Adjusted]]-B280)/B280</f>
        <v>8.589847833662452E-2</v>
      </c>
    </row>
    <row r="293" spans="1:5" x14ac:dyDescent="0.2">
      <c r="A293" s="50">
        <v>30256</v>
      </c>
      <c r="B293" s="51">
        <v>1883.7</v>
      </c>
      <c r="C293" s="53">
        <f>(Table267[[#This Row],[M2 Money Stock, Billions of Dollars, Weekly, Seasonally Adjusted]]-B292)/B292</f>
        <v>7.4878322725570948E-3</v>
      </c>
      <c r="D293" s="54">
        <f>((1+Table267[[#This Row],[Monthly change]])^12)-1</f>
        <v>9.3648387375907083E-2</v>
      </c>
      <c r="E293" s="53">
        <f>(Table267[[#This Row],[M2 Money Stock, Billions of Dollars, Weekly, Seasonally Adjusted]]-B281)/B281</f>
        <v>8.5018144116122421E-2</v>
      </c>
    </row>
    <row r="294" spans="1:5" x14ac:dyDescent="0.2">
      <c r="A294" s="50">
        <v>30286</v>
      </c>
      <c r="B294" s="51">
        <v>1905.9</v>
      </c>
      <c r="C294" s="53">
        <f>(Table267[[#This Row],[M2 Money Stock, Billions of Dollars, Weekly, Seasonally Adjusted]]-B293)/B293</f>
        <v>1.1785316133142244E-2</v>
      </c>
      <c r="D294" s="54">
        <f>((1+Table267[[#This Row],[Monthly change]])^12)-1</f>
        <v>0.15096062736826243</v>
      </c>
      <c r="E294" s="53">
        <f>(Table267[[#This Row],[M2 Money Stock, Billions of Dollars, Weekly, Seasonally Adjusted]]-B282)/B282</f>
        <v>8.5673597265736312E-2</v>
      </c>
    </row>
    <row r="295" spans="1:5" x14ac:dyDescent="0.2">
      <c r="A295" s="50">
        <v>30317</v>
      </c>
      <c r="B295" s="51">
        <v>1959.4</v>
      </c>
      <c r="C295" s="53">
        <f>(Table267[[#This Row],[M2 Money Stock, Billions of Dollars, Weekly, Seasonally Adjusted]]-B294)/B294</f>
        <v>2.8070727740175244E-2</v>
      </c>
      <c r="D295" s="54">
        <f>((1+Table267[[#This Row],[Monthly change]])^12)-1</f>
        <v>0.39404220998464101</v>
      </c>
      <c r="E295" s="53">
        <f>(Table267[[#This Row],[M2 Money Stock, Billions of Dollars, Weekly, Seasonally Adjusted]]-B283)/B283</f>
        <v>0.10675553547220966</v>
      </c>
    </row>
    <row r="296" spans="1:5" x14ac:dyDescent="0.2">
      <c r="A296" s="50">
        <v>30348</v>
      </c>
      <c r="B296" s="51">
        <v>1996.8</v>
      </c>
      <c r="C296" s="53">
        <f>(Table267[[#This Row],[M2 Money Stock, Billions of Dollars, Weekly, Seasonally Adjusted]]-B295)/B295</f>
        <v>1.9087475757884997E-2</v>
      </c>
      <c r="D296" s="54">
        <f>((1+Table267[[#This Row],[Monthly change]])^12)-1</f>
        <v>0.25469327857916291</v>
      </c>
      <c r="E296" s="53">
        <f>(Table267[[#This Row],[M2 Money Stock, Billions of Dollars, Weekly, Seasonally Adjusted]]-B284)/B284</f>
        <v>0.12527472527472525</v>
      </c>
    </row>
    <row r="297" spans="1:5" x14ac:dyDescent="0.2">
      <c r="A297" s="50">
        <v>30376</v>
      </c>
      <c r="B297" s="51">
        <v>2015.2</v>
      </c>
      <c r="C297" s="53">
        <f>(Table267[[#This Row],[M2 Money Stock, Billions of Dollars, Weekly, Seasonally Adjusted]]-B296)/B296</f>
        <v>9.2147435897436351E-3</v>
      </c>
      <c r="D297" s="54">
        <f>((1+Table267[[#This Row],[Monthly change]])^12)-1</f>
        <v>0.11635684045245065</v>
      </c>
      <c r="E297" s="53">
        <f>(Table267[[#This Row],[M2 Money Stock, Billions of Dollars, Weekly, Seasonally Adjusted]]-B285)/B285</f>
        <v>0.12801567310383433</v>
      </c>
    </row>
    <row r="298" spans="1:5" x14ac:dyDescent="0.2">
      <c r="A298" s="50">
        <v>30407</v>
      </c>
      <c r="B298" s="51">
        <v>2028.6</v>
      </c>
      <c r="C298" s="53">
        <f>(Table267[[#This Row],[M2 Money Stock, Billions of Dollars, Weekly, Seasonally Adjusted]]-B297)/B297</f>
        <v>6.6494640730447915E-3</v>
      </c>
      <c r="D298" s="54">
        <f>((1+Table267[[#This Row],[Monthly change]])^12)-1</f>
        <v>8.2777443436226505E-2</v>
      </c>
      <c r="E298" s="53">
        <f>(Table267[[#This Row],[M2 Money Stock, Billions of Dollars, Weekly, Seasonally Adjusted]]-B286)/B286</f>
        <v>0.12456344586728743</v>
      </c>
    </row>
    <row r="299" spans="1:5" x14ac:dyDescent="0.2">
      <c r="A299" s="50">
        <v>30437</v>
      </c>
      <c r="B299" s="51">
        <v>2043.1</v>
      </c>
      <c r="C299" s="53">
        <f>(Table267[[#This Row],[M2 Money Stock, Billions of Dollars, Weekly, Seasonally Adjusted]]-B298)/B298</f>
        <v>7.1477866508922409E-3</v>
      </c>
      <c r="D299" s="54">
        <f>((1+Table267[[#This Row],[Monthly change]])^12)-1</f>
        <v>8.9227084197661899E-2</v>
      </c>
      <c r="E299" s="53">
        <f>(Table267[[#This Row],[M2 Money Stock, Billions of Dollars, Weekly, Seasonally Adjusted]]-B287)/B287</f>
        <v>0.12542690316183749</v>
      </c>
    </row>
    <row r="300" spans="1:5" x14ac:dyDescent="0.2">
      <c r="A300" s="50">
        <v>30468</v>
      </c>
      <c r="B300" s="51">
        <v>2053.5</v>
      </c>
      <c r="C300" s="53">
        <f>(Table267[[#This Row],[M2 Money Stock, Billions of Dollars, Weekly, Seasonally Adjusted]]-B299)/B299</f>
        <v>5.0903039498801286E-3</v>
      </c>
      <c r="D300" s="54">
        <f>((1+Table267[[#This Row],[Monthly change]])^12)-1</f>
        <v>6.2823138371452591E-2</v>
      </c>
      <c r="E300" s="53">
        <f>(Table267[[#This Row],[M2 Money Stock, Billions of Dollars, Weekly, Seasonally Adjusted]]-B288)/B288</f>
        <v>0.12458926615553122</v>
      </c>
    </row>
    <row r="301" spans="1:5" x14ac:dyDescent="0.2">
      <c r="A301" s="50">
        <v>30498</v>
      </c>
      <c r="B301" s="51">
        <v>2064.8000000000002</v>
      </c>
      <c r="C301" s="53">
        <f>(Table267[[#This Row],[M2 Money Stock, Billions of Dollars, Weekly, Seasonally Adjusted]]-B300)/B300</f>
        <v>5.5028000973947801E-3</v>
      </c>
      <c r="D301" s="54">
        <f>((1+Table267[[#This Row],[Monthly change]])^12)-1</f>
        <v>6.8069250890334221E-2</v>
      </c>
      <c r="E301" s="53">
        <f>(Table267[[#This Row],[M2 Money Stock, Billions of Dollars, Weekly, Seasonally Adjusted]]-B289)/B289</f>
        <v>0.12738192738192747</v>
      </c>
    </row>
    <row r="302" spans="1:5" x14ac:dyDescent="0.2">
      <c r="A302" s="50">
        <v>30529</v>
      </c>
      <c r="B302" s="51">
        <v>2074</v>
      </c>
      <c r="C302" s="53">
        <f>(Table267[[#This Row],[M2 Money Stock, Billions of Dollars, Weekly, Seasonally Adjusted]]-B301)/B301</f>
        <v>4.4556373498643052E-3</v>
      </c>
      <c r="D302" s="54">
        <f>((1+Table267[[#This Row],[Monthly change]])^12)-1</f>
        <v>5.4797583586579934E-2</v>
      </c>
      <c r="E302" s="53">
        <f>(Table267[[#This Row],[M2 Money Stock, Billions of Dollars, Weekly, Seasonally Adjusted]]-B290)/B290</f>
        <v>0.12399739865597223</v>
      </c>
    </row>
    <row r="303" spans="1:5" x14ac:dyDescent="0.2">
      <c r="A303" s="50">
        <v>30560</v>
      </c>
      <c r="B303" s="51">
        <v>2083.1999999999998</v>
      </c>
      <c r="C303" s="53">
        <f>(Table267[[#This Row],[M2 Money Stock, Billions of Dollars, Weekly, Seasonally Adjusted]]-B302)/B302</f>
        <v>4.4358727097395462E-3</v>
      </c>
      <c r="D303" s="54">
        <f>((1+Table267[[#This Row],[Monthly change]])^12)-1</f>
        <v>5.4548547936101421E-2</v>
      </c>
      <c r="E303" s="53">
        <f>(Table267[[#This Row],[M2 Money Stock, Billions of Dollars, Weekly, Seasonally Adjusted]]-B291)/B291</f>
        <v>0.12096427034007734</v>
      </c>
    </row>
    <row r="304" spans="1:5" x14ac:dyDescent="0.2">
      <c r="A304" s="50">
        <v>30590</v>
      </c>
      <c r="B304" s="51">
        <v>2099.1999999999998</v>
      </c>
      <c r="C304" s="53">
        <f>(Table267[[#This Row],[M2 Money Stock, Billions of Dollars, Weekly, Seasonally Adjusted]]-B303)/B303</f>
        <v>7.6804915514592943E-3</v>
      </c>
      <c r="D304" s="54">
        <f>((1+Table267[[#This Row],[Monthly change]])^12)-1</f>
        <v>9.6160655014751795E-2</v>
      </c>
      <c r="E304" s="53">
        <f>(Table267[[#This Row],[M2 Money Stock, Billions of Dollars, Weekly, Seasonally Adjusted]]-B292)/B292</f>
        <v>0.12274696475370368</v>
      </c>
    </row>
    <row r="305" spans="1:5" x14ac:dyDescent="0.2">
      <c r="A305" s="50">
        <v>30621</v>
      </c>
      <c r="B305" s="51">
        <v>2112.3000000000002</v>
      </c>
      <c r="C305" s="53">
        <f>(Table267[[#This Row],[M2 Money Stock, Billions of Dollars, Weekly, Seasonally Adjusted]]-B304)/B304</f>
        <v>6.2404725609757836E-3</v>
      </c>
      <c r="D305" s="54">
        <f>((1+Table267[[#This Row],[Monthly change]])^12)-1</f>
        <v>7.7510165533531517E-2</v>
      </c>
      <c r="E305" s="53">
        <f>(Table267[[#This Row],[M2 Money Stock, Billions of Dollars, Weekly, Seasonally Adjusted]]-B293)/B293</f>
        <v>0.12135690396559969</v>
      </c>
    </row>
    <row r="306" spans="1:5" x14ac:dyDescent="0.2">
      <c r="A306" s="50">
        <v>30651</v>
      </c>
      <c r="B306" s="51">
        <v>2123.5</v>
      </c>
      <c r="C306" s="53">
        <f>(Table267[[#This Row],[M2 Money Stock, Billions of Dollars, Weekly, Seasonally Adjusted]]-B305)/B305</f>
        <v>5.3022771386639286E-3</v>
      </c>
      <c r="D306" s="54">
        <f>((1+Table267[[#This Row],[Monthly change]])^12)-1</f>
        <v>6.5516048857681808E-2</v>
      </c>
      <c r="E306" s="53">
        <f>(Table267[[#This Row],[M2 Money Stock, Billions of Dollars, Weekly, Seasonally Adjusted]]-B294)/B294</f>
        <v>0.11417178236003982</v>
      </c>
    </row>
    <row r="307" spans="1:5" x14ac:dyDescent="0.2">
      <c r="A307" s="50">
        <v>30682</v>
      </c>
      <c r="B307" s="51">
        <v>2138.1999999999998</v>
      </c>
      <c r="C307" s="53">
        <f>(Table267[[#This Row],[M2 Money Stock, Billions of Dollars, Weekly, Seasonally Adjusted]]-B306)/B306</f>
        <v>6.9225335530962179E-3</v>
      </c>
      <c r="D307" s="54">
        <f>((1+Table267[[#This Row],[Monthly change]])^12)-1</f>
        <v>8.630735151158464E-2</v>
      </c>
      <c r="E307" s="53">
        <f>(Table267[[#This Row],[M2 Money Stock, Billions of Dollars, Weekly, Seasonally Adjusted]]-B295)/B295</f>
        <v>9.1252424211493169E-2</v>
      </c>
    </row>
    <row r="308" spans="1:5" x14ac:dyDescent="0.2">
      <c r="A308" s="50">
        <v>30713</v>
      </c>
      <c r="B308" s="51">
        <v>2158.1999999999998</v>
      </c>
      <c r="C308" s="53">
        <f>(Table267[[#This Row],[M2 Money Stock, Billions of Dollars, Weekly, Seasonally Adjusted]]-B307)/B307</f>
        <v>9.3536619586568146E-3</v>
      </c>
      <c r="D308" s="54">
        <f>((1+Table267[[#This Row],[Monthly change]])^12)-1</f>
        <v>0.11820223482825032</v>
      </c>
      <c r="E308" s="53">
        <f>(Table267[[#This Row],[M2 Money Stock, Billions of Dollars, Weekly, Seasonally Adjusted]]-B296)/B296</f>
        <v>8.0829326923076858E-2</v>
      </c>
    </row>
    <row r="309" spans="1:5" x14ac:dyDescent="0.2">
      <c r="A309" s="50">
        <v>30742</v>
      </c>
      <c r="B309" s="51">
        <v>2175.1999999999998</v>
      </c>
      <c r="C309" s="53">
        <f>(Table267[[#This Row],[M2 Money Stock, Billions of Dollars, Weekly, Seasonally Adjusted]]-B308)/B308</f>
        <v>7.87693448243907E-3</v>
      </c>
      <c r="D309" s="54">
        <f>((1+Table267[[#This Row],[Monthly change]])^12)-1</f>
        <v>9.8727707298754463E-2</v>
      </c>
      <c r="E309" s="53">
        <f>(Table267[[#This Row],[M2 Money Stock, Billions of Dollars, Weekly, Seasonally Adjusted]]-B297)/B297</f>
        <v>7.9396585946804168E-2</v>
      </c>
    </row>
    <row r="310" spans="1:5" x14ac:dyDescent="0.2">
      <c r="A310" s="50">
        <v>30773</v>
      </c>
      <c r="B310" s="51">
        <v>2191.6999999999998</v>
      </c>
      <c r="C310" s="53">
        <f>(Table267[[#This Row],[M2 Money Stock, Billions of Dollars, Weekly, Seasonally Adjusted]]-B309)/B309</f>
        <v>7.5855093784479594E-3</v>
      </c>
      <c r="D310" s="54">
        <f>((1+Table267[[#This Row],[Monthly change]])^12)-1</f>
        <v>9.4921431711955995E-2</v>
      </c>
      <c r="E310" s="53">
        <f>(Table267[[#This Row],[M2 Money Stock, Billions of Dollars, Weekly, Seasonally Adjusted]]-B298)/B298</f>
        <v>8.0400276052449926E-2</v>
      </c>
    </row>
    <row r="311" spans="1:5" x14ac:dyDescent="0.2">
      <c r="A311" s="50">
        <v>30803</v>
      </c>
      <c r="B311" s="51">
        <v>2204.1</v>
      </c>
      <c r="C311" s="53">
        <f>(Table267[[#This Row],[M2 Money Stock, Billions of Dollars, Weekly, Seasonally Adjusted]]-B310)/B310</f>
        <v>5.6577086280056995E-3</v>
      </c>
      <c r="D311" s="54">
        <f>((1+Table267[[#This Row],[Monthly change]])^12)-1</f>
        <v>7.0045495661831714E-2</v>
      </c>
      <c r="E311" s="53">
        <f>(Table267[[#This Row],[M2 Money Stock, Billions of Dollars, Weekly, Seasonally Adjusted]]-B299)/B299</f>
        <v>7.8801820762566685E-2</v>
      </c>
    </row>
    <row r="312" spans="1:5" x14ac:dyDescent="0.2">
      <c r="A312" s="50">
        <v>30834</v>
      </c>
      <c r="B312" s="51">
        <v>2215.1</v>
      </c>
      <c r="C312" s="53">
        <f>(Table267[[#This Row],[M2 Money Stock, Billions of Dollars, Weekly, Seasonally Adjusted]]-B311)/B311</f>
        <v>4.9906991515811447E-3</v>
      </c>
      <c r="D312" s="54">
        <f>((1+Table267[[#This Row],[Monthly change]])^12)-1</f>
        <v>6.1559913335550887E-2</v>
      </c>
      <c r="E312" s="53">
        <f>(Table267[[#This Row],[M2 Money Stock, Billions of Dollars, Weekly, Seasonally Adjusted]]-B300)/B300</f>
        <v>7.8694911127343517E-2</v>
      </c>
    </row>
    <row r="313" spans="1:5" x14ac:dyDescent="0.2">
      <c r="A313" s="50">
        <v>30864</v>
      </c>
      <c r="B313" s="51">
        <v>2223.5</v>
      </c>
      <c r="C313" s="53">
        <f>(Table267[[#This Row],[M2 Money Stock, Billions of Dollars, Weekly, Seasonally Adjusted]]-B312)/B312</f>
        <v>3.792153853099224E-3</v>
      </c>
      <c r="D313" s="54">
        <f>((1+Table267[[#This Row],[Monthly change]])^12)-1</f>
        <v>4.6467054878630565E-2</v>
      </c>
      <c r="E313" s="53">
        <f>(Table267[[#This Row],[M2 Money Stock, Billions of Dollars, Weekly, Seasonally Adjusted]]-B301)/B301</f>
        <v>7.6859744285160694E-2</v>
      </c>
    </row>
    <row r="314" spans="1:5" x14ac:dyDescent="0.2">
      <c r="A314" s="50">
        <v>30895</v>
      </c>
      <c r="B314" s="51">
        <v>2230.4</v>
      </c>
      <c r="C314" s="53">
        <f>(Table267[[#This Row],[M2 Money Stock, Billions of Dollars, Weekly, Seasonally Adjusted]]-B313)/B313</f>
        <v>3.1032156510007155E-3</v>
      </c>
      <c r="D314" s="54">
        <f>((1+Table267[[#This Row],[Monthly change]])^12)-1</f>
        <v>3.7880784908629339E-2</v>
      </c>
      <c r="E314" s="53">
        <f>(Table267[[#This Row],[M2 Money Stock, Billions of Dollars, Weekly, Seasonally Adjusted]]-B302)/B302</f>
        <v>7.5409836065573818E-2</v>
      </c>
    </row>
    <row r="315" spans="1:5" x14ac:dyDescent="0.2">
      <c r="A315" s="50">
        <v>30926</v>
      </c>
      <c r="B315" s="51">
        <v>2244.4</v>
      </c>
      <c r="C315" s="53">
        <f>(Table267[[#This Row],[M2 Money Stock, Billions of Dollars, Weekly, Seasonally Adjusted]]-B314)/B314</f>
        <v>6.2769010043041609E-3</v>
      </c>
      <c r="D315" s="54">
        <f>((1+Table267[[#This Row],[Monthly change]])^12)-1</f>
        <v>7.7978361782473415E-2</v>
      </c>
      <c r="E315" s="53">
        <f>(Table267[[#This Row],[M2 Money Stock, Billions of Dollars, Weekly, Seasonally Adjusted]]-B303)/B303</f>
        <v>7.7380952380952522E-2</v>
      </c>
    </row>
    <row r="316" spans="1:5" x14ac:dyDescent="0.2">
      <c r="A316" s="50">
        <v>30956</v>
      </c>
      <c r="B316" s="51">
        <v>2258.9</v>
      </c>
      <c r="C316" s="53">
        <f>(Table267[[#This Row],[M2 Money Stock, Billions of Dollars, Weekly, Seasonally Adjusted]]-B315)/B315</f>
        <v>6.4605239707716984E-3</v>
      </c>
      <c r="D316" s="54">
        <f>((1+Table267[[#This Row],[Monthly change]])^12)-1</f>
        <v>8.0341214767166935E-2</v>
      </c>
      <c r="E316" s="53">
        <f>(Table267[[#This Row],[M2 Money Stock, Billions of Dollars, Weekly, Seasonally Adjusted]]-B304)/B304</f>
        <v>7.607660060975624E-2</v>
      </c>
    </row>
    <row r="317" spans="1:5" x14ac:dyDescent="0.2">
      <c r="A317" s="50">
        <v>30987</v>
      </c>
      <c r="B317" s="51">
        <v>2281.4</v>
      </c>
      <c r="C317" s="53">
        <f>(Table267[[#This Row],[M2 Money Stock, Billions of Dollars, Weekly, Seasonally Adjusted]]-B316)/B316</f>
        <v>9.9606002921776085E-3</v>
      </c>
      <c r="D317" s="54">
        <f>((1+Table267[[#This Row],[Monthly change]])^12)-1</f>
        <v>0.1262976592078533</v>
      </c>
      <c r="E317" s="53">
        <f>(Table267[[#This Row],[M2 Money Stock, Billions of Dollars, Weekly, Seasonally Adjusted]]-B305)/B305</f>
        <v>8.0054916441793258E-2</v>
      </c>
    </row>
    <row r="318" spans="1:5" x14ac:dyDescent="0.2">
      <c r="A318" s="50">
        <v>31017</v>
      </c>
      <c r="B318" s="51">
        <v>2306.4</v>
      </c>
      <c r="C318" s="53">
        <f>(Table267[[#This Row],[M2 Money Stock, Billions of Dollars, Weekly, Seasonally Adjusted]]-B317)/B317</f>
        <v>1.0958183571491189E-2</v>
      </c>
      <c r="D318" s="54">
        <f>((1+Table267[[#This Row],[Monthly change]])^12)-1</f>
        <v>0.13972035851207654</v>
      </c>
      <c r="E318" s="53">
        <f>(Table267[[#This Row],[M2 Money Stock, Billions of Dollars, Weekly, Seasonally Adjusted]]-B306)/B306</f>
        <v>8.6131386861313913E-2</v>
      </c>
    </row>
    <row r="319" spans="1:5" x14ac:dyDescent="0.2">
      <c r="A319" s="50">
        <v>31048</v>
      </c>
      <c r="B319" s="51">
        <v>2332.4</v>
      </c>
      <c r="C319" s="53">
        <f>(Table267[[#This Row],[M2 Money Stock, Billions of Dollars, Weekly, Seasonally Adjusted]]-B318)/B318</f>
        <v>1.1272979535206382E-2</v>
      </c>
      <c r="D319" s="54">
        <f>((1+Table267[[#This Row],[Monthly change]])^12)-1</f>
        <v>0.1439863445288434</v>
      </c>
      <c r="E319" s="53">
        <f>(Table267[[#This Row],[M2 Money Stock, Billions of Dollars, Weekly, Seasonally Adjusted]]-B307)/B307</f>
        <v>9.0824057618557802E-2</v>
      </c>
    </row>
    <row r="320" spans="1:5" x14ac:dyDescent="0.2">
      <c r="A320" s="50">
        <v>31079</v>
      </c>
      <c r="B320" s="51">
        <v>2354.1</v>
      </c>
      <c r="C320" s="53">
        <f>(Table267[[#This Row],[M2 Money Stock, Billions of Dollars, Weekly, Seasonally Adjusted]]-B319)/B319</f>
        <v>9.3037214885953595E-3</v>
      </c>
      <c r="D320" s="54">
        <f>((1+Table267[[#This Row],[Monthly change]])^12)-1</f>
        <v>0.11753850293771206</v>
      </c>
      <c r="E320" s="53">
        <f>(Table267[[#This Row],[M2 Money Stock, Billions of Dollars, Weekly, Seasonally Adjusted]]-B308)/B308</f>
        <v>9.0770086182930268E-2</v>
      </c>
    </row>
    <row r="321" spans="1:5" x14ac:dyDescent="0.2">
      <c r="A321" s="50">
        <v>31107</v>
      </c>
      <c r="B321" s="51">
        <v>2366.1999999999998</v>
      </c>
      <c r="C321" s="53">
        <f>(Table267[[#This Row],[M2 Money Stock, Billions of Dollars, Weekly, Seasonally Adjusted]]-B320)/B320</f>
        <v>5.139968565481462E-3</v>
      </c>
      <c r="D321" s="54">
        <f>((1+Table267[[#This Row],[Monthly change]])^12)-1</f>
        <v>6.3453518151397548E-2</v>
      </c>
      <c r="E321" s="53">
        <f>(Table267[[#This Row],[M2 Money Stock, Billions of Dollars, Weekly, Seasonally Adjusted]]-B309)/B309</f>
        <v>8.7808017653549106E-2</v>
      </c>
    </row>
    <row r="322" spans="1:5" x14ac:dyDescent="0.2">
      <c r="A322" s="50">
        <v>31138</v>
      </c>
      <c r="B322" s="51">
        <v>2375.4</v>
      </c>
      <c r="C322" s="53">
        <f>(Table267[[#This Row],[M2 Money Stock, Billions of Dollars, Weekly, Seasonally Adjusted]]-B321)/B321</f>
        <v>3.888090609416057E-3</v>
      </c>
      <c r="D322" s="54">
        <f>((1+Table267[[#This Row],[Monthly change]])^12)-1</f>
        <v>4.7667870540716972E-2</v>
      </c>
      <c r="E322" s="53">
        <f>(Table267[[#This Row],[M2 Money Stock, Billions of Dollars, Weekly, Seasonally Adjusted]]-B310)/B310</f>
        <v>8.3816215722954918E-2</v>
      </c>
    </row>
    <row r="323" spans="1:5" x14ac:dyDescent="0.2">
      <c r="A323" s="50">
        <v>31168</v>
      </c>
      <c r="B323" s="51">
        <v>2389.5</v>
      </c>
      <c r="C323" s="53">
        <f>(Table267[[#This Row],[M2 Money Stock, Billions of Dollars, Weekly, Seasonally Adjusted]]-B322)/B322</f>
        <v>5.9358423844404771E-3</v>
      </c>
      <c r="D323" s="54">
        <f>((1+Table267[[#This Row],[Monthly change]])^12)-1</f>
        <v>7.3602199703005189E-2</v>
      </c>
      <c r="E323" s="53">
        <f>(Table267[[#This Row],[M2 Money Stock, Billions of Dollars, Weekly, Seasonally Adjusted]]-B311)/B311</f>
        <v>8.4115965700285872E-2</v>
      </c>
    </row>
    <row r="324" spans="1:5" x14ac:dyDescent="0.2">
      <c r="A324" s="50">
        <v>31199</v>
      </c>
      <c r="B324" s="51">
        <v>2412.6</v>
      </c>
      <c r="C324" s="53">
        <f>(Table267[[#This Row],[M2 Money Stock, Billions of Dollars, Weekly, Seasonally Adjusted]]-B323)/B323</f>
        <v>9.6672944130570867E-3</v>
      </c>
      <c r="D324" s="54">
        <f>((1+Table267[[#This Row],[Monthly change]])^12)-1</f>
        <v>0.12237882225233632</v>
      </c>
      <c r="E324" s="53">
        <f>(Table267[[#This Row],[M2 Money Stock, Billions of Dollars, Weekly, Seasonally Adjusted]]-B312)/B312</f>
        <v>8.9160760236558168E-2</v>
      </c>
    </row>
    <row r="325" spans="1:5" x14ac:dyDescent="0.2">
      <c r="A325" s="50">
        <v>31229</v>
      </c>
      <c r="B325" s="51">
        <v>2429.5</v>
      </c>
      <c r="C325" s="53">
        <f>(Table267[[#This Row],[M2 Money Stock, Billions of Dollars, Weekly, Seasonally Adjusted]]-B324)/B324</f>
        <v>7.0048909889745886E-3</v>
      </c>
      <c r="D325" s="54">
        <f>((1+Table267[[#This Row],[Monthly change]])^12)-1</f>
        <v>8.7374036293156987E-2</v>
      </c>
      <c r="E325" s="53">
        <f>(Table267[[#This Row],[M2 Money Stock, Billions of Dollars, Weekly, Seasonally Adjusted]]-B313)/B313</f>
        <v>9.2646728131324491E-2</v>
      </c>
    </row>
    <row r="326" spans="1:5" x14ac:dyDescent="0.2">
      <c r="A326" s="50">
        <v>31260</v>
      </c>
      <c r="B326" s="51">
        <v>2444</v>
      </c>
      <c r="C326" s="53">
        <f>(Table267[[#This Row],[M2 Money Stock, Billions of Dollars, Weekly, Seasonally Adjusted]]-B325)/B325</f>
        <v>5.9683062358509981E-3</v>
      </c>
      <c r="D326" s="54">
        <f>((1+Table267[[#This Row],[Monthly change]])^12)-1</f>
        <v>7.4018044704468933E-2</v>
      </c>
      <c r="E326" s="53">
        <f>(Table267[[#This Row],[M2 Money Stock, Billions of Dollars, Weekly, Seasonally Adjusted]]-B314)/B314</f>
        <v>9.5767575322812007E-2</v>
      </c>
    </row>
    <row r="327" spans="1:5" x14ac:dyDescent="0.2">
      <c r="A327" s="50">
        <v>31291</v>
      </c>
      <c r="B327" s="51">
        <v>2456.4</v>
      </c>
      <c r="C327" s="53">
        <f>(Table267[[#This Row],[M2 Money Stock, Billions of Dollars, Weekly, Seasonally Adjusted]]-B326)/B326</f>
        <v>5.0736497545008554E-3</v>
      </c>
      <c r="D327" s="54">
        <f>((1+Table267[[#This Row],[Monthly change]])^12)-1</f>
        <v>6.2611827792460995E-2</v>
      </c>
      <c r="E327" s="53">
        <f>(Table267[[#This Row],[M2 Money Stock, Billions of Dollars, Weekly, Seasonally Adjusted]]-B315)/B315</f>
        <v>9.4457315986455168E-2</v>
      </c>
    </row>
    <row r="328" spans="1:5" x14ac:dyDescent="0.2">
      <c r="A328" s="50">
        <v>31321</v>
      </c>
      <c r="B328" s="51">
        <v>2468</v>
      </c>
      <c r="C328" s="53">
        <f>(Table267[[#This Row],[M2 Money Stock, Billions of Dollars, Weekly, Seasonally Adjusted]]-B327)/B327</f>
        <v>4.7223579221624774E-3</v>
      </c>
      <c r="D328" s="54">
        <f>((1+Table267[[#This Row],[Monthly change]])^12)-1</f>
        <v>5.8163555534421318E-2</v>
      </c>
      <c r="E328" s="53">
        <f>(Table267[[#This Row],[M2 Money Stock, Billions of Dollars, Weekly, Seasonally Adjusted]]-B316)/B316</f>
        <v>9.2567178715303872E-2</v>
      </c>
    </row>
    <row r="329" spans="1:5" x14ac:dyDescent="0.2">
      <c r="A329" s="50">
        <v>31352</v>
      </c>
      <c r="B329" s="51">
        <v>2477.8000000000002</v>
      </c>
      <c r="C329" s="53">
        <f>(Table267[[#This Row],[M2 Money Stock, Billions of Dollars, Weekly, Seasonally Adjusted]]-B328)/B328</f>
        <v>3.9708265802269778E-3</v>
      </c>
      <c r="D329" s="54">
        <f>((1+Table267[[#This Row],[Monthly change]])^12)-1</f>
        <v>4.8704469587905086E-2</v>
      </c>
      <c r="E329" s="53">
        <f>(Table267[[#This Row],[M2 Money Stock, Billions of Dollars, Weekly, Seasonally Adjusted]]-B317)/B317</f>
        <v>8.6087490137634823E-2</v>
      </c>
    </row>
    <row r="330" spans="1:5" x14ac:dyDescent="0.2">
      <c r="A330" s="50">
        <v>31382</v>
      </c>
      <c r="B330" s="51">
        <v>2492.1</v>
      </c>
      <c r="C330" s="53">
        <f>(Table267[[#This Row],[M2 Money Stock, Billions of Dollars, Weekly, Seasonally Adjusted]]-B329)/B329</f>
        <v>5.7712486883524606E-3</v>
      </c>
      <c r="D330" s="54">
        <f>((1+Table267[[#This Row],[Monthly change]])^12)-1</f>
        <v>7.1496110511851452E-2</v>
      </c>
      <c r="E330" s="53">
        <f>(Table267[[#This Row],[M2 Money Stock, Billions of Dollars, Weekly, Seasonally Adjusted]]-B318)/B318</f>
        <v>8.051508844953166E-2</v>
      </c>
    </row>
    <row r="331" spans="1:5" x14ac:dyDescent="0.2">
      <c r="A331" s="50">
        <v>31413</v>
      </c>
      <c r="B331" s="51">
        <v>2502.1</v>
      </c>
      <c r="C331" s="53">
        <f>(Table267[[#This Row],[M2 Money Stock, Billions of Dollars, Weekly, Seasonally Adjusted]]-B330)/B330</f>
        <v>4.012680069018097E-3</v>
      </c>
      <c r="D331" s="54">
        <f>((1+Table267[[#This Row],[Monthly change]])^12)-1</f>
        <v>4.9229210005150126E-2</v>
      </c>
      <c r="E331" s="53">
        <f>(Table267[[#This Row],[M2 Money Stock, Billions of Dollars, Weekly, Seasonally Adjusted]]-B319)/B319</f>
        <v>7.27576744983707E-2</v>
      </c>
    </row>
    <row r="332" spans="1:5" x14ac:dyDescent="0.2">
      <c r="A332" s="50">
        <v>31444</v>
      </c>
      <c r="B332" s="51">
        <v>2512.9</v>
      </c>
      <c r="C332" s="53">
        <f>(Table267[[#This Row],[M2 Money Stock, Billions of Dollars, Weekly, Seasonally Adjusted]]-B331)/B331</f>
        <v>4.3163742456337403E-3</v>
      </c>
      <c r="D332" s="54">
        <f>((1+Table267[[#This Row],[Monthly change]])^12)-1</f>
        <v>5.3044007804176063E-2</v>
      </c>
      <c r="E332" s="53">
        <f>(Table267[[#This Row],[M2 Money Stock, Billions of Dollars, Weekly, Seasonally Adjusted]]-B320)/B320</f>
        <v>6.745677753706307E-2</v>
      </c>
    </row>
    <row r="333" spans="1:5" x14ac:dyDescent="0.2">
      <c r="A333" s="50">
        <v>31472</v>
      </c>
      <c r="B333" s="51">
        <v>2533.1</v>
      </c>
      <c r="C333" s="53">
        <f>(Table267[[#This Row],[M2 Money Stock, Billions of Dollars, Weekly, Seasonally Adjusted]]-B332)/B332</f>
        <v>8.0385212304508007E-3</v>
      </c>
      <c r="D333" s="54">
        <f>((1+Table267[[#This Row],[Monthly change]])^12)-1</f>
        <v>0.10084339979385093</v>
      </c>
      <c r="E333" s="53">
        <f>(Table267[[#This Row],[M2 Money Stock, Billions of Dollars, Weekly, Seasonally Adjusted]]-B321)/B321</f>
        <v>7.0535035077339242E-2</v>
      </c>
    </row>
    <row r="334" spans="1:5" x14ac:dyDescent="0.2">
      <c r="A334" s="50">
        <v>31503</v>
      </c>
      <c r="B334" s="51">
        <v>2557.8000000000002</v>
      </c>
      <c r="C334" s="53">
        <f>(Table267[[#This Row],[M2 Money Stock, Billions of Dollars, Weekly, Seasonally Adjusted]]-B333)/B333</f>
        <v>9.7508981090364665E-3</v>
      </c>
      <c r="D334" s="54">
        <f>((1+Table267[[#This Row],[Monthly change]])^12)-1</f>
        <v>0.12349456916347701</v>
      </c>
      <c r="E334" s="53">
        <f>(Table267[[#This Row],[M2 Money Stock, Billions of Dollars, Weekly, Seasonally Adjusted]]-B322)/B322</f>
        <v>7.6787067441273088E-2</v>
      </c>
    </row>
    <row r="335" spans="1:5" x14ac:dyDescent="0.2">
      <c r="A335" s="50">
        <v>31533</v>
      </c>
      <c r="B335" s="51">
        <v>2584.8000000000002</v>
      </c>
      <c r="C335" s="53">
        <f>(Table267[[#This Row],[M2 Money Stock, Billions of Dollars, Weekly, Seasonally Adjusted]]-B334)/B334</f>
        <v>1.055594651653765E-2</v>
      </c>
      <c r="D335" s="54">
        <f>((1+Table267[[#This Row],[Monthly change]])^12)-1</f>
        <v>0.13429062794164515</v>
      </c>
      <c r="E335" s="53">
        <f>(Table267[[#This Row],[M2 Money Stock, Billions of Dollars, Weekly, Seasonally Adjusted]]-B323)/B323</f>
        <v>8.1732580037664856E-2</v>
      </c>
    </row>
    <row r="336" spans="1:5" x14ac:dyDescent="0.2">
      <c r="A336" s="50">
        <v>31564</v>
      </c>
      <c r="B336" s="51">
        <v>2605</v>
      </c>
      <c r="C336" s="53">
        <f>(Table267[[#This Row],[M2 Money Stock, Billions of Dollars, Weekly, Seasonally Adjusted]]-B335)/B335</f>
        <v>7.8149179820488305E-3</v>
      </c>
      <c r="D336" s="54">
        <f>((1+Table267[[#This Row],[Monthly change]])^12)-1</f>
        <v>9.7916701236459902E-2</v>
      </c>
      <c r="E336" s="53">
        <f>(Table267[[#This Row],[M2 Money Stock, Billions of Dollars, Weekly, Seasonally Adjusted]]-B324)/B324</f>
        <v>7.9747989720633378E-2</v>
      </c>
    </row>
    <row r="337" spans="1:5" x14ac:dyDescent="0.2">
      <c r="A337" s="50">
        <v>31594</v>
      </c>
      <c r="B337" s="51">
        <v>2626.6</v>
      </c>
      <c r="C337" s="53">
        <f>(Table267[[#This Row],[M2 Money Stock, Billions of Dollars, Weekly, Seasonally Adjusted]]-B336)/B336</f>
        <v>8.2917466410748208E-3</v>
      </c>
      <c r="D337" s="54">
        <f>((1+Table267[[#This Row],[Monthly change]])^12)-1</f>
        <v>0.10416645126461255</v>
      </c>
      <c r="E337" s="53">
        <f>(Table267[[#This Row],[M2 Money Stock, Billions of Dollars, Weekly, Seasonally Adjusted]]-B325)/B325</f>
        <v>8.1127804074912491E-2</v>
      </c>
    </row>
    <row r="338" spans="1:5" x14ac:dyDescent="0.2">
      <c r="A338" s="50">
        <v>31625</v>
      </c>
      <c r="B338" s="51">
        <v>2646.5</v>
      </c>
      <c r="C338" s="53">
        <f>(Table267[[#This Row],[M2 Money Stock, Billions of Dollars, Weekly, Seasonally Adjusted]]-B337)/B337</f>
        <v>7.5763344247316271E-3</v>
      </c>
      <c r="D338" s="54">
        <f>((1+Table267[[#This Row],[Monthly change]])^12)-1</f>
        <v>9.4801795013006451E-2</v>
      </c>
      <c r="E338" s="53">
        <f>(Table267[[#This Row],[M2 Money Stock, Billions of Dollars, Weekly, Seasonally Adjusted]]-B326)/B326</f>
        <v>8.2855973813420622E-2</v>
      </c>
    </row>
    <row r="339" spans="1:5" x14ac:dyDescent="0.2">
      <c r="A339" s="50">
        <v>31656</v>
      </c>
      <c r="B339" s="51">
        <v>2667.8</v>
      </c>
      <c r="C339" s="53">
        <f>(Table267[[#This Row],[M2 Money Stock, Billions of Dollars, Weekly, Seasonally Adjusted]]-B338)/B338</f>
        <v>8.0483657661062462E-3</v>
      </c>
      <c r="D339" s="54">
        <f>((1+Table267[[#This Row],[Monthly change]])^12)-1</f>
        <v>0.10097241717558614</v>
      </c>
      <c r="E339" s="53">
        <f>(Table267[[#This Row],[M2 Money Stock, Billions of Dollars, Weekly, Seasonally Adjusted]]-B327)/B327</f>
        <v>8.6060902133203096E-2</v>
      </c>
    </row>
    <row r="340" spans="1:5" x14ac:dyDescent="0.2">
      <c r="A340" s="50">
        <v>31686</v>
      </c>
      <c r="B340" s="51">
        <v>2687.4</v>
      </c>
      <c r="C340" s="53">
        <f>(Table267[[#This Row],[M2 Money Stock, Billions of Dollars, Weekly, Seasonally Adjusted]]-B339)/B339</f>
        <v>7.3468775770297277E-3</v>
      </c>
      <c r="D340" s="54">
        <f>((1+Table267[[#This Row],[Monthly change]])^12)-1</f>
        <v>9.1813689562114664E-2</v>
      </c>
      <c r="E340" s="53">
        <f>(Table267[[#This Row],[M2 Money Stock, Billions of Dollars, Weekly, Seasonally Adjusted]]-B328)/B328</f>
        <v>8.8897893030794206E-2</v>
      </c>
    </row>
    <row r="341" spans="1:5" x14ac:dyDescent="0.2">
      <c r="A341" s="50">
        <v>31717</v>
      </c>
      <c r="B341" s="51">
        <v>2701.3</v>
      </c>
      <c r="C341" s="53">
        <f>(Table267[[#This Row],[M2 Money Stock, Billions of Dollars, Weekly, Seasonally Adjusted]]-B340)/B340</f>
        <v>5.1722854803900016E-3</v>
      </c>
      <c r="D341" s="54">
        <f>((1+Table267[[#This Row],[Monthly change]])^12)-1</f>
        <v>6.3863892219899077E-2</v>
      </c>
      <c r="E341" s="53">
        <f>(Table267[[#This Row],[M2 Money Stock, Billions of Dollars, Weekly, Seasonally Adjusted]]-B329)/B329</f>
        <v>9.0200984744531434E-2</v>
      </c>
    </row>
    <row r="342" spans="1:5" x14ac:dyDescent="0.2">
      <c r="A342" s="50">
        <v>31747</v>
      </c>
      <c r="B342" s="51">
        <v>2728</v>
      </c>
      <c r="C342" s="53">
        <f>(Table267[[#This Row],[M2 Money Stock, Billions of Dollars, Weekly, Seasonally Adjusted]]-B341)/B341</f>
        <v>9.8841298633990365E-3</v>
      </c>
      <c r="D342" s="54">
        <f>((1+Table267[[#This Row],[Monthly change]])^12)-1</f>
        <v>0.12527473684821655</v>
      </c>
      <c r="E342" s="53">
        <f>(Table267[[#This Row],[M2 Money Stock, Billions of Dollars, Weekly, Seasonally Adjusted]]-B330)/B330</f>
        <v>9.4659122828136946E-2</v>
      </c>
    </row>
    <row r="343" spans="1:5" x14ac:dyDescent="0.2">
      <c r="A343" s="50">
        <v>31778</v>
      </c>
      <c r="B343" s="51">
        <v>2743.9</v>
      </c>
      <c r="C343" s="53">
        <f>(Table267[[#This Row],[M2 Money Stock, Billions of Dollars, Weekly, Seasonally Adjusted]]-B342)/B342</f>
        <v>5.8284457478006198E-3</v>
      </c>
      <c r="D343" s="54">
        <f>((1+Table267[[#This Row],[Monthly change]])^12)-1</f>
        <v>7.2227556349476973E-2</v>
      </c>
      <c r="E343" s="53">
        <f>(Table267[[#This Row],[M2 Money Stock, Billions of Dollars, Weekly, Seasonally Adjusted]]-B331)/B331</f>
        <v>9.6638823388353862E-2</v>
      </c>
    </row>
    <row r="344" spans="1:5" x14ac:dyDescent="0.2">
      <c r="A344" s="50">
        <v>31809</v>
      </c>
      <c r="B344" s="51">
        <v>2747.5</v>
      </c>
      <c r="C344" s="53">
        <f>(Table267[[#This Row],[M2 Money Stock, Billions of Dollars, Weekly, Seasonally Adjusted]]-B343)/B343</f>
        <v>1.3120011662232256E-3</v>
      </c>
      <c r="D344" s="54">
        <f>((1+Table267[[#This Row],[Monthly change]])^12)-1</f>
        <v>1.5858121220494681E-2</v>
      </c>
      <c r="E344" s="53">
        <f>(Table267[[#This Row],[M2 Money Stock, Billions of Dollars, Weekly, Seasonally Adjusted]]-B332)/B332</f>
        <v>9.335827131998882E-2</v>
      </c>
    </row>
    <row r="345" spans="1:5" x14ac:dyDescent="0.2">
      <c r="A345" s="50">
        <v>31837</v>
      </c>
      <c r="B345" s="51">
        <v>2753.7</v>
      </c>
      <c r="C345" s="53">
        <f>(Table267[[#This Row],[M2 Money Stock, Billions of Dollars, Weekly, Seasonally Adjusted]]-B344)/B344</f>
        <v>2.2565969062783688E-3</v>
      </c>
      <c r="D345" s="54">
        <f>((1+Table267[[#This Row],[Monthly change]])^12)-1</f>
        <v>2.7417790955086785E-2</v>
      </c>
      <c r="E345" s="53">
        <f>(Table267[[#This Row],[M2 Money Stock, Billions of Dollars, Weekly, Seasonally Adjusted]]-B333)/B333</f>
        <v>8.7086968536575701E-2</v>
      </c>
    </row>
    <row r="346" spans="1:5" x14ac:dyDescent="0.2">
      <c r="A346" s="50">
        <v>31868</v>
      </c>
      <c r="B346" s="51">
        <v>2767.7</v>
      </c>
      <c r="C346" s="53">
        <f>(Table267[[#This Row],[M2 Money Stock, Billions of Dollars, Weekly, Seasonally Adjusted]]-B345)/B345</f>
        <v>5.0840687075571055E-3</v>
      </c>
      <c r="D346" s="54">
        <f>((1+Table267[[#This Row],[Monthly change]])^12)-1</f>
        <v>6.2744020301999104E-2</v>
      </c>
      <c r="E346" s="53">
        <f>(Table267[[#This Row],[M2 Money Stock, Billions of Dollars, Weekly, Seasonally Adjusted]]-B334)/B334</f>
        <v>8.2062710141527731E-2</v>
      </c>
    </row>
    <row r="347" spans="1:5" x14ac:dyDescent="0.2">
      <c r="A347" s="50">
        <v>31898</v>
      </c>
      <c r="B347" s="51">
        <v>2772.9</v>
      </c>
      <c r="C347" s="53">
        <f>(Table267[[#This Row],[M2 Money Stock, Billions of Dollars, Weekly, Seasonally Adjusted]]-B346)/B346</f>
        <v>1.8788163457023064E-3</v>
      </c>
      <c r="D347" s="54">
        <f>((1+Table267[[#This Row],[Monthly change]])^12)-1</f>
        <v>2.2780238160266642E-2</v>
      </c>
      <c r="E347" s="53">
        <f>(Table267[[#This Row],[M2 Money Stock, Billions of Dollars, Weekly, Seasonally Adjusted]]-B335)/B335</f>
        <v>7.2771587743732546E-2</v>
      </c>
    </row>
    <row r="348" spans="1:5" x14ac:dyDescent="0.2">
      <c r="A348" s="50">
        <v>31929</v>
      </c>
      <c r="B348" s="51">
        <v>2774.6</v>
      </c>
      <c r="C348" s="53">
        <f>(Table267[[#This Row],[M2 Money Stock, Billions of Dollars, Weekly, Seasonally Adjusted]]-B347)/B347</f>
        <v>6.1307656244358546E-4</v>
      </c>
      <c r="D348" s="54">
        <f>((1+Table267[[#This Row],[Monthly change]])^12)-1</f>
        <v>7.3817764640351502E-3</v>
      </c>
      <c r="E348" s="53">
        <f>(Table267[[#This Row],[M2 Money Stock, Billions of Dollars, Weekly, Seasonally Adjusted]]-B336)/B336</f>
        <v>6.5105566218809946E-2</v>
      </c>
    </row>
    <row r="349" spans="1:5" x14ac:dyDescent="0.2">
      <c r="A349" s="50">
        <v>31959</v>
      </c>
      <c r="B349" s="51">
        <v>2779</v>
      </c>
      <c r="C349" s="53">
        <f>(Table267[[#This Row],[M2 Money Stock, Billions of Dollars, Weekly, Seasonally Adjusted]]-B348)/B348</f>
        <v>1.5858141714121283E-3</v>
      </c>
      <c r="D349" s="54">
        <f>((1+Table267[[#This Row],[Monthly change]])^12)-1</f>
        <v>1.9196627793605536E-2</v>
      </c>
      <c r="E349" s="53">
        <f>(Table267[[#This Row],[M2 Money Stock, Billions of Dollars, Weekly, Seasonally Adjusted]]-B337)/B337</f>
        <v>5.8021777202467102E-2</v>
      </c>
    </row>
    <row r="350" spans="1:5" x14ac:dyDescent="0.2">
      <c r="A350" s="50">
        <v>31990</v>
      </c>
      <c r="B350" s="51">
        <v>2788.2</v>
      </c>
      <c r="C350" s="53">
        <f>(Table267[[#This Row],[M2 Money Stock, Billions of Dollars, Weekly, Seasonally Adjusted]]-B349)/B349</f>
        <v>3.3105433609211293E-3</v>
      </c>
      <c r="D350" s="54">
        <f>((1+Table267[[#This Row],[Monthly change]])^12)-1</f>
        <v>4.0457902290577552E-2</v>
      </c>
      <c r="E350" s="53">
        <f>(Table267[[#This Row],[M2 Money Stock, Billions of Dollars, Weekly, Seasonally Adjusted]]-B338)/B338</f>
        <v>5.3542414509729762E-2</v>
      </c>
    </row>
    <row r="351" spans="1:5" x14ac:dyDescent="0.2">
      <c r="A351" s="50">
        <v>32021</v>
      </c>
      <c r="B351" s="51">
        <v>2799.5</v>
      </c>
      <c r="C351" s="53">
        <f>(Table267[[#This Row],[M2 Money Stock, Billions of Dollars, Weekly, Seasonally Adjusted]]-B350)/B350</f>
        <v>4.0527939172226466E-3</v>
      </c>
      <c r="D351" s="54">
        <f>((1+Table267[[#This Row],[Monthly change]])^12)-1</f>
        <v>4.9732365458083017E-2</v>
      </c>
      <c r="E351" s="53">
        <f>(Table267[[#This Row],[M2 Money Stock, Billions of Dollars, Weekly, Seasonally Adjusted]]-B339)/B339</f>
        <v>4.9366519229327464E-2</v>
      </c>
    </row>
    <row r="352" spans="1:5" x14ac:dyDescent="0.2">
      <c r="A352" s="50">
        <v>32051</v>
      </c>
      <c r="B352" s="51">
        <v>2814.8</v>
      </c>
      <c r="C352" s="53">
        <f>(Table267[[#This Row],[M2 Money Stock, Billions of Dollars, Weekly, Seasonally Adjusted]]-B351)/B351</f>
        <v>5.4652616538668269E-3</v>
      </c>
      <c r="D352" s="54">
        <f>((1+Table267[[#This Row],[Monthly change]])^12)-1</f>
        <v>6.7590858279754196E-2</v>
      </c>
      <c r="E352" s="53">
        <f>(Table267[[#This Row],[M2 Money Stock, Billions of Dollars, Weekly, Seasonally Adjusted]]-B340)/B340</f>
        <v>4.740641512242319E-2</v>
      </c>
    </row>
    <row r="353" spans="1:5" x14ac:dyDescent="0.2">
      <c r="A353" s="50">
        <v>32082</v>
      </c>
      <c r="B353" s="51">
        <v>2818.9</v>
      </c>
      <c r="C353" s="53">
        <f>(Table267[[#This Row],[M2 Money Stock, Billions of Dollars, Weekly, Seasonally Adjusted]]-B352)/B352</f>
        <v>1.4565866136137234E-3</v>
      </c>
      <c r="D353" s="54">
        <f>((1+Table267[[#This Row],[Monthly change]])^12)-1</f>
        <v>1.7619750016898861E-2</v>
      </c>
      <c r="E353" s="53">
        <f>(Table267[[#This Row],[M2 Money Stock, Billions of Dollars, Weekly, Seasonally Adjusted]]-B341)/B341</f>
        <v>4.353459445452186E-2</v>
      </c>
    </row>
    <row r="354" spans="1:5" x14ac:dyDescent="0.2">
      <c r="A354" s="50">
        <v>32112</v>
      </c>
      <c r="B354" s="51">
        <v>2826.4</v>
      </c>
      <c r="C354" s="53">
        <f>(Table267[[#This Row],[M2 Money Stock, Billions of Dollars, Weekly, Seasonally Adjusted]]-B353)/B353</f>
        <v>2.6606122955762884E-3</v>
      </c>
      <c r="D354" s="54">
        <f>((1+Table267[[#This Row],[Monthly change]])^12)-1</f>
        <v>3.2398720572500705E-2</v>
      </c>
      <c r="E354" s="53">
        <f>(Table267[[#This Row],[M2 Money Stock, Billions of Dollars, Weekly, Seasonally Adjusted]]-B342)/B342</f>
        <v>3.607038123167159E-2</v>
      </c>
    </row>
    <row r="355" spans="1:5" x14ac:dyDescent="0.2">
      <c r="A355" s="50">
        <v>32143</v>
      </c>
      <c r="B355" s="51">
        <v>2847.4</v>
      </c>
      <c r="C355" s="53">
        <f>(Table267[[#This Row],[M2 Money Stock, Billions of Dollars, Weekly, Seasonally Adjusted]]-B354)/B354</f>
        <v>7.4299462213416358E-3</v>
      </c>
      <c r="D355" s="54">
        <f>((1+Table267[[#This Row],[Monthly change]])^12)-1</f>
        <v>9.289458788082916E-2</v>
      </c>
      <c r="E355" s="53">
        <f>(Table267[[#This Row],[M2 Money Stock, Billions of Dollars, Weekly, Seasonally Adjusted]]-B343)/B343</f>
        <v>3.7720033528918694E-2</v>
      </c>
    </row>
    <row r="356" spans="1:5" x14ac:dyDescent="0.2">
      <c r="A356" s="50">
        <v>32174</v>
      </c>
      <c r="B356" s="51">
        <v>2870.4</v>
      </c>
      <c r="C356" s="53">
        <f>(Table267[[#This Row],[M2 Money Stock, Billions of Dollars, Weekly, Seasonally Adjusted]]-B355)/B355</f>
        <v>8.0775444264943458E-3</v>
      </c>
      <c r="D356" s="54">
        <f>((1+Table267[[#This Row],[Monthly change]])^12)-1</f>
        <v>0.10135489900287031</v>
      </c>
      <c r="E356" s="53">
        <f>(Table267[[#This Row],[M2 Money Stock, Billions of Dollars, Weekly, Seasonally Adjusted]]-B344)/B344</f>
        <v>4.4731574158325786E-2</v>
      </c>
    </row>
    <row r="357" spans="1:5" x14ac:dyDescent="0.2">
      <c r="A357" s="50">
        <v>32203</v>
      </c>
      <c r="B357" s="51">
        <v>2890.7</v>
      </c>
      <c r="C357" s="53">
        <f>(Table267[[#This Row],[M2 Money Stock, Billions of Dollars, Weekly, Seasonally Adjusted]]-B356)/B356</f>
        <v>7.0721850613154006E-3</v>
      </c>
      <c r="D357" s="54">
        <f>((1+Table267[[#This Row],[Monthly change]])^12)-1</f>
        <v>8.8246334668902637E-2</v>
      </c>
      <c r="E357" s="53">
        <f>(Table267[[#This Row],[M2 Money Stock, Billions of Dollars, Weekly, Seasonally Adjusted]]-B345)/B345</f>
        <v>4.975124378109453E-2</v>
      </c>
    </row>
    <row r="358" spans="1:5" x14ac:dyDescent="0.2">
      <c r="A358" s="50">
        <v>32234</v>
      </c>
      <c r="B358" s="51">
        <v>2910.7</v>
      </c>
      <c r="C358" s="53">
        <f>(Table267[[#This Row],[M2 Money Stock, Billions of Dollars, Weekly, Seasonally Adjusted]]-B357)/B357</f>
        <v>6.9187394056802855E-3</v>
      </c>
      <c r="D358" s="54">
        <f>((1+Table267[[#This Row],[Monthly change]])^12)-1</f>
        <v>8.6258233236719883E-2</v>
      </c>
      <c r="E358" s="53">
        <f>(Table267[[#This Row],[M2 Money Stock, Billions of Dollars, Weekly, Seasonally Adjusted]]-B346)/B346</f>
        <v>5.1667449506810716E-2</v>
      </c>
    </row>
    <row r="359" spans="1:5" x14ac:dyDescent="0.2">
      <c r="A359" s="50">
        <v>32264</v>
      </c>
      <c r="B359" s="51">
        <v>2926</v>
      </c>
      <c r="C359" s="53">
        <f>(Table267[[#This Row],[M2 Money Stock, Billions of Dollars, Weekly, Seasonally Adjusted]]-B358)/B358</f>
        <v>5.2564675164050514E-3</v>
      </c>
      <c r="D359" s="54">
        <f>((1+Table267[[#This Row],[Monthly change]])^12)-1</f>
        <v>6.4933553532708244E-2</v>
      </c>
      <c r="E359" s="53">
        <f>(Table267[[#This Row],[M2 Money Stock, Billions of Dollars, Weekly, Seasonally Adjusted]]-B347)/B347</f>
        <v>5.5212953947131126E-2</v>
      </c>
    </row>
    <row r="360" spans="1:5" x14ac:dyDescent="0.2">
      <c r="A360" s="50">
        <v>32295</v>
      </c>
      <c r="B360" s="51">
        <v>2938.4</v>
      </c>
      <c r="C360" s="53">
        <f>(Table267[[#This Row],[M2 Money Stock, Billions of Dollars, Weekly, Seasonally Adjusted]]-B359)/B359</f>
        <v>4.2378673957621637E-3</v>
      </c>
      <c r="D360" s="54">
        <f>((1+Table267[[#This Row],[Monthly change]])^12)-1</f>
        <v>5.2056642034984613E-2</v>
      </c>
      <c r="E360" s="53">
        <f>(Table267[[#This Row],[M2 Money Stock, Billions of Dollars, Weekly, Seasonally Adjusted]]-B348)/B348</f>
        <v>5.9035536653932165E-2</v>
      </c>
    </row>
    <row r="361" spans="1:5" x14ac:dyDescent="0.2">
      <c r="A361" s="50">
        <v>32325</v>
      </c>
      <c r="B361" s="51">
        <v>2947.2</v>
      </c>
      <c r="C361" s="53">
        <f>(Table267[[#This Row],[M2 Money Stock, Billions of Dollars, Weekly, Seasonally Adjusted]]-B360)/B360</f>
        <v>2.9948271167981647E-3</v>
      </c>
      <c r="D361" s="54">
        <f>((1+Table267[[#This Row],[Monthly change]])^12)-1</f>
        <v>3.6535828042573604E-2</v>
      </c>
      <c r="E361" s="53">
        <f>(Table267[[#This Row],[M2 Money Stock, Billions of Dollars, Weekly, Seasonally Adjusted]]-B349)/B349</f>
        <v>6.0525368837711341E-2</v>
      </c>
    </row>
    <row r="362" spans="1:5" x14ac:dyDescent="0.2">
      <c r="A362" s="50">
        <v>32356</v>
      </c>
      <c r="B362" s="51">
        <v>2952</v>
      </c>
      <c r="C362" s="53">
        <f>(Table267[[#This Row],[M2 Money Stock, Billions of Dollars, Weekly, Seasonally Adjusted]]-B361)/B361</f>
        <v>1.6286644951140684E-3</v>
      </c>
      <c r="D362" s="54">
        <f>((1+Table267[[#This Row],[Monthly change]])^12)-1</f>
        <v>1.9719996028149778E-2</v>
      </c>
      <c r="E362" s="53">
        <f>(Table267[[#This Row],[M2 Money Stock, Billions of Dollars, Weekly, Seasonally Adjusted]]-B350)/B350</f>
        <v>5.8747579083279607E-2</v>
      </c>
    </row>
    <row r="363" spans="1:5" x14ac:dyDescent="0.2">
      <c r="A363" s="50">
        <v>32387</v>
      </c>
      <c r="B363" s="51">
        <v>2956.9</v>
      </c>
      <c r="C363" s="53">
        <f>(Table267[[#This Row],[M2 Money Stock, Billions of Dollars, Weekly, Seasonally Adjusted]]-B362)/B362</f>
        <v>1.65989159891602E-3</v>
      </c>
      <c r="D363" s="54">
        <f>((1+Table267[[#This Row],[Monthly change]])^12)-1</f>
        <v>2.0101554950623379E-2</v>
      </c>
      <c r="E363" s="53">
        <f>(Table267[[#This Row],[M2 Money Stock, Billions of Dollars, Weekly, Seasonally Adjusted]]-B351)/B351</f>
        <v>5.6224325772459401E-2</v>
      </c>
    </row>
    <row r="364" spans="1:5" x14ac:dyDescent="0.2">
      <c r="A364" s="50">
        <v>32417</v>
      </c>
      <c r="B364" s="51">
        <v>2965.3</v>
      </c>
      <c r="C364" s="53">
        <f>(Table267[[#This Row],[M2 Money Stock, Billions of Dollars, Weekly, Seasonally Adjusted]]-B363)/B363</f>
        <v>2.8408130136291692E-3</v>
      </c>
      <c r="D364" s="54">
        <f>((1+Table267[[#This Row],[Monthly change]])^12)-1</f>
        <v>3.4627466691350861E-2</v>
      </c>
      <c r="E364" s="53">
        <f>(Table267[[#This Row],[M2 Money Stock, Billions of Dollars, Weekly, Seasonally Adjusted]]-B352)/B352</f>
        <v>5.3467386670456155E-2</v>
      </c>
    </row>
    <row r="365" spans="1:5" x14ac:dyDescent="0.2">
      <c r="A365" s="50">
        <v>32448</v>
      </c>
      <c r="B365" s="51">
        <v>2980.2</v>
      </c>
      <c r="C365" s="53">
        <f>(Table267[[#This Row],[M2 Money Stock, Billions of Dollars, Weekly, Seasonally Adjusted]]-B364)/B364</f>
        <v>5.0247866994906536E-3</v>
      </c>
      <c r="D365" s="54">
        <f>((1+Table267[[#This Row],[Monthly change]])^12)-1</f>
        <v>6.1992069283381523E-2</v>
      </c>
      <c r="E365" s="53">
        <f>(Table267[[#This Row],[M2 Money Stock, Billions of Dollars, Weekly, Seasonally Adjusted]]-B353)/B353</f>
        <v>5.7220901770193948E-2</v>
      </c>
    </row>
    <row r="366" spans="1:5" x14ac:dyDescent="0.2">
      <c r="A366" s="50">
        <v>32478</v>
      </c>
      <c r="B366" s="51">
        <v>2988.2</v>
      </c>
      <c r="C366" s="53">
        <f>(Table267[[#This Row],[M2 Money Stock, Billions of Dollars, Weekly, Seasonally Adjusted]]-B365)/B365</f>
        <v>2.684383598416214E-3</v>
      </c>
      <c r="D366" s="54">
        <f>((1+Table267[[#This Row],[Monthly change]])^12)-1</f>
        <v>3.269247496173211E-2</v>
      </c>
      <c r="E366" s="53">
        <f>(Table267[[#This Row],[M2 Money Stock, Billions of Dollars, Weekly, Seasonally Adjusted]]-B354)/B354</f>
        <v>5.7245966600622603E-2</v>
      </c>
    </row>
    <row r="367" spans="1:5" x14ac:dyDescent="0.2">
      <c r="A367" s="50">
        <v>32509</v>
      </c>
      <c r="B367" s="51">
        <v>2991.7</v>
      </c>
      <c r="C367" s="53">
        <f>(Table267[[#This Row],[M2 Money Stock, Billions of Dollars, Weekly, Seasonally Adjusted]]-B366)/B366</f>
        <v>1.1712736764607457E-3</v>
      </c>
      <c r="D367" s="54">
        <f>((1+Table267[[#This Row],[Monthly change]])^12)-1</f>
        <v>1.4146182771403115E-2</v>
      </c>
      <c r="E367" s="53">
        <f>(Table267[[#This Row],[M2 Money Stock, Billions of Dollars, Weekly, Seasonally Adjusted]]-B355)/B355</f>
        <v>5.0677811336657906E-2</v>
      </c>
    </row>
    <row r="368" spans="1:5" x14ac:dyDescent="0.2">
      <c r="A368" s="50">
        <v>32540</v>
      </c>
      <c r="B368" s="51">
        <v>2992.2</v>
      </c>
      <c r="C368" s="53">
        <f>(Table267[[#This Row],[M2 Money Stock, Billions of Dollars, Weekly, Seasonally Adjusted]]-B367)/B367</f>
        <v>1.6712905705786008E-4</v>
      </c>
      <c r="D368" s="54">
        <f>((1+Table267[[#This Row],[Monthly change]])^12)-1</f>
        <v>2.0073932321340582E-3</v>
      </c>
      <c r="E368" s="53">
        <f>(Table267[[#This Row],[M2 Money Stock, Billions of Dollars, Weekly, Seasonally Adjusted]]-B356)/B356</f>
        <v>4.2433110367892879E-2</v>
      </c>
    </row>
    <row r="369" spans="1:5" x14ac:dyDescent="0.2">
      <c r="A369" s="50">
        <v>32568</v>
      </c>
      <c r="B369" s="51">
        <v>2999.7</v>
      </c>
      <c r="C369" s="53">
        <f>(Table267[[#This Row],[M2 Money Stock, Billions of Dollars, Weekly, Seasonally Adjusted]]-B368)/B368</f>
        <v>2.5065169440545419E-3</v>
      </c>
      <c r="D369" s="54">
        <f>((1+Table267[[#This Row],[Monthly change]])^12)-1</f>
        <v>3.0496340792713683E-2</v>
      </c>
      <c r="E369" s="53">
        <f>(Table267[[#This Row],[M2 Money Stock, Billions of Dollars, Weekly, Seasonally Adjusted]]-B357)/B357</f>
        <v>3.7707129760957553E-2</v>
      </c>
    </row>
    <row r="370" spans="1:5" x14ac:dyDescent="0.2">
      <c r="A370" s="50">
        <v>32599</v>
      </c>
      <c r="B370" s="51">
        <v>3006</v>
      </c>
      <c r="C370" s="53">
        <f>(Table267[[#This Row],[M2 Money Stock, Billions of Dollars, Weekly, Seasonally Adjusted]]-B369)/B369</f>
        <v>2.1002100210021609E-3</v>
      </c>
      <c r="D370" s="54">
        <f>((1+Table267[[#This Row],[Monthly change]])^12)-1</f>
        <v>2.5495686167208875E-2</v>
      </c>
      <c r="E370" s="53">
        <f>(Table267[[#This Row],[M2 Money Stock, Billions of Dollars, Weekly, Seasonally Adjusted]]-B358)/B358</f>
        <v>3.2741264987803685E-2</v>
      </c>
    </row>
    <row r="371" spans="1:5" x14ac:dyDescent="0.2">
      <c r="A371" s="50">
        <v>32629</v>
      </c>
      <c r="B371" s="51">
        <v>3011.6</v>
      </c>
      <c r="C371" s="53">
        <f>(Table267[[#This Row],[M2 Money Stock, Billions of Dollars, Weekly, Seasonally Adjusted]]-B370)/B370</f>
        <v>1.8629407850964434E-3</v>
      </c>
      <c r="D371" s="54">
        <f>((1+Table267[[#This Row],[Monthly change]])^12)-1</f>
        <v>2.258577398717887E-2</v>
      </c>
      <c r="E371" s="53">
        <f>(Table267[[#This Row],[M2 Money Stock, Billions of Dollars, Weekly, Seasonally Adjusted]]-B359)/B359</f>
        <v>2.9254955570745013E-2</v>
      </c>
    </row>
    <row r="372" spans="1:5" x14ac:dyDescent="0.2">
      <c r="A372" s="50">
        <v>32660</v>
      </c>
      <c r="B372" s="51">
        <v>3027.9</v>
      </c>
      <c r="C372" s="53">
        <f>(Table267[[#This Row],[M2 Money Stock, Billions of Dollars, Weekly, Seasonally Adjusted]]-B371)/B371</f>
        <v>5.4124053659185094E-3</v>
      </c>
      <c r="D372" s="54">
        <f>((1+Table267[[#This Row],[Monthly change]])^12)-1</f>
        <v>6.6917586954636121E-2</v>
      </c>
      <c r="E372" s="53">
        <f>(Table267[[#This Row],[M2 Money Stock, Billions of Dollars, Weekly, Seasonally Adjusted]]-B360)/B360</f>
        <v>3.0458753062891367E-2</v>
      </c>
    </row>
    <row r="373" spans="1:5" x14ac:dyDescent="0.2">
      <c r="A373" s="50">
        <v>32690</v>
      </c>
      <c r="B373" s="51">
        <v>3052.4</v>
      </c>
      <c r="C373" s="53">
        <f>(Table267[[#This Row],[M2 Money Stock, Billions of Dollars, Weekly, Seasonally Adjusted]]-B372)/B372</f>
        <v>8.0914164932791698E-3</v>
      </c>
      <c r="D373" s="54">
        <f>((1+Table267[[#This Row],[Monthly change]])^12)-1</f>
        <v>0.10153678054765236</v>
      </c>
      <c r="E373" s="53">
        <f>(Table267[[#This Row],[M2 Money Stock, Billions of Dollars, Weekly, Seasonally Adjusted]]-B361)/B361</f>
        <v>3.5694896851248735E-2</v>
      </c>
    </row>
    <row r="374" spans="1:5" x14ac:dyDescent="0.2">
      <c r="A374" s="50">
        <v>32721</v>
      </c>
      <c r="B374" s="51">
        <v>3074.4</v>
      </c>
      <c r="C374" s="53">
        <f>(Table267[[#This Row],[M2 Money Stock, Billions of Dollars, Weekly, Seasonally Adjusted]]-B373)/B373</f>
        <v>7.2074433232865937E-3</v>
      </c>
      <c r="D374" s="54">
        <f>((1+Table267[[#This Row],[Monthly change]])^12)-1</f>
        <v>9.0001558462206699E-2</v>
      </c>
      <c r="E374" s="53">
        <f>(Table267[[#This Row],[M2 Money Stock, Billions of Dollars, Weekly, Seasonally Adjusted]]-B362)/B362</f>
        <v>4.1463414634146371E-2</v>
      </c>
    </row>
    <row r="375" spans="1:5" x14ac:dyDescent="0.2">
      <c r="A375" s="50">
        <v>32752</v>
      </c>
      <c r="B375" s="51">
        <v>3092.5</v>
      </c>
      <c r="C375" s="53">
        <f>(Table267[[#This Row],[M2 Money Stock, Billions of Dollars, Weekly, Seasonally Adjusted]]-B374)/B374</f>
        <v>5.8873276086390544E-3</v>
      </c>
      <c r="D375" s="54">
        <f>((1+Table267[[#This Row],[Monthly change]])^12)-1</f>
        <v>7.2981025818987577E-2</v>
      </c>
      <c r="E375" s="53">
        <f>(Table267[[#This Row],[M2 Money Stock, Billions of Dollars, Weekly, Seasonally Adjusted]]-B363)/B363</f>
        <v>4.5858838648584636E-2</v>
      </c>
    </row>
    <row r="376" spans="1:5" x14ac:dyDescent="0.2">
      <c r="A376" s="50">
        <v>32782</v>
      </c>
      <c r="B376" s="51">
        <v>3114.1</v>
      </c>
      <c r="C376" s="53">
        <f>(Table267[[#This Row],[M2 Money Stock, Billions of Dollars, Weekly, Seasonally Adjusted]]-B375)/B375</f>
        <v>6.9846402586903507E-3</v>
      </c>
      <c r="D376" s="54">
        <f>((1+Table267[[#This Row],[Monthly change]])^12)-1</f>
        <v>8.7111662000811441E-2</v>
      </c>
      <c r="E376" s="53">
        <f>(Table267[[#This Row],[M2 Money Stock, Billions of Dollars, Weekly, Seasonally Adjusted]]-B364)/B364</f>
        <v>5.0180420193572224E-2</v>
      </c>
    </row>
    <row r="377" spans="1:5" x14ac:dyDescent="0.2">
      <c r="A377" s="50">
        <v>32813</v>
      </c>
      <c r="B377" s="51">
        <v>3133.3</v>
      </c>
      <c r="C377" s="53">
        <f>(Table267[[#This Row],[M2 Money Stock, Billions of Dollars, Weekly, Seasonally Adjusted]]-B376)/B376</f>
        <v>6.1655052824251865E-3</v>
      </c>
      <c r="D377" s="54">
        <f>((1+Table267[[#This Row],[Monthly change]])^12)-1</f>
        <v>7.6547235713352979E-2</v>
      </c>
      <c r="E377" s="53">
        <f>(Table267[[#This Row],[M2 Money Stock, Billions of Dollars, Weekly, Seasonally Adjusted]]-B365)/B365</f>
        <v>5.1372391114690413E-2</v>
      </c>
    </row>
    <row r="378" spans="1:5" x14ac:dyDescent="0.2">
      <c r="A378" s="50">
        <v>32843</v>
      </c>
      <c r="B378" s="51">
        <v>3152.5</v>
      </c>
      <c r="C378" s="53">
        <f>(Table267[[#This Row],[M2 Money Stock, Billions of Dollars, Weekly, Seasonally Adjusted]]-B377)/B377</f>
        <v>6.1277247630293352E-3</v>
      </c>
      <c r="D378" s="54">
        <f>((1+Table267[[#This Row],[Monthly change]])^12)-1</f>
        <v>7.606225647419973E-2</v>
      </c>
      <c r="E378" s="53">
        <f>(Table267[[#This Row],[M2 Money Stock, Billions of Dollars, Weekly, Seasonally Adjusted]]-B366)/B366</f>
        <v>5.4982932869285919E-2</v>
      </c>
    </row>
    <row r="379" spans="1:5" x14ac:dyDescent="0.2">
      <c r="A379" s="50">
        <v>32874</v>
      </c>
      <c r="B379" s="51">
        <v>3166.8</v>
      </c>
      <c r="C379" s="53">
        <f>(Table267[[#This Row],[M2 Money Stock, Billions of Dollars, Weekly, Seasonally Adjusted]]-B378)/B378</f>
        <v>4.5360824742268621E-3</v>
      </c>
      <c r="D379" s="54">
        <f>((1+Table267[[#This Row],[Monthly change]])^12)-1</f>
        <v>5.5811753327171587E-2</v>
      </c>
      <c r="E379" s="53">
        <f>(Table267[[#This Row],[M2 Money Stock, Billions of Dollars, Weekly, Seasonally Adjusted]]-B367)/B367</f>
        <v>5.8528595781662723E-2</v>
      </c>
    </row>
    <row r="380" spans="1:5" x14ac:dyDescent="0.2">
      <c r="A380" s="50">
        <v>32905</v>
      </c>
      <c r="B380" s="51">
        <v>3179.2</v>
      </c>
      <c r="C380" s="53">
        <f>(Table267[[#This Row],[M2 Money Stock, Billions of Dollars, Weekly, Seasonally Adjusted]]-B379)/B379</f>
        <v>3.9156246052796627E-3</v>
      </c>
      <c r="D380" s="54">
        <f>((1+Table267[[#This Row],[Monthly change]])^12)-1</f>
        <v>4.8012739674876626E-2</v>
      </c>
      <c r="E380" s="53">
        <f>(Table267[[#This Row],[M2 Money Stock, Billions of Dollars, Weekly, Seasonally Adjusted]]-B368)/B368</f>
        <v>6.2495822471759915E-2</v>
      </c>
    </row>
    <row r="381" spans="1:5" x14ac:dyDescent="0.2">
      <c r="A381" s="50">
        <v>32933</v>
      </c>
      <c r="B381" s="51">
        <v>3190.1</v>
      </c>
      <c r="C381" s="53">
        <f>(Table267[[#This Row],[M2 Money Stock, Billions of Dollars, Weekly, Seasonally Adjusted]]-B380)/B380</f>
        <v>3.4285354806240852E-3</v>
      </c>
      <c r="D381" s="54">
        <f>((1+Table267[[#This Row],[Monthly change]])^12)-1</f>
        <v>4.1927181434040062E-2</v>
      </c>
      <c r="E381" s="53">
        <f>(Table267[[#This Row],[M2 Money Stock, Billions of Dollars, Weekly, Seasonally Adjusted]]-B369)/B369</f>
        <v>6.3473013968063513E-2</v>
      </c>
    </row>
    <row r="382" spans="1:5" x14ac:dyDescent="0.2">
      <c r="A382" s="50">
        <v>32964</v>
      </c>
      <c r="B382" s="51">
        <v>3201.6</v>
      </c>
      <c r="C382" s="53">
        <f>(Table267[[#This Row],[M2 Money Stock, Billions of Dollars, Weekly, Seasonally Adjusted]]-B381)/B381</f>
        <v>3.6049026676279743E-3</v>
      </c>
      <c r="D382" s="54">
        <f>((1+Table267[[#This Row],[Monthly change]])^12)-1</f>
        <v>4.4126913737188245E-2</v>
      </c>
      <c r="E382" s="53">
        <f>(Table267[[#This Row],[M2 Money Stock, Billions of Dollars, Weekly, Seasonally Adjusted]]-B370)/B370</f>
        <v>6.5069860279441089E-2</v>
      </c>
    </row>
    <row r="383" spans="1:5" x14ac:dyDescent="0.2">
      <c r="A383" s="50">
        <v>32994</v>
      </c>
      <c r="B383" s="51">
        <v>3200.6</v>
      </c>
      <c r="C383" s="53">
        <f>(Table267[[#This Row],[M2 Money Stock, Billions of Dollars, Weekly, Seasonally Adjusted]]-B382)/B382</f>
        <v>-3.1234382808595704E-4</v>
      </c>
      <c r="D383" s="54">
        <f>((1+Table267[[#This Row],[Monthly change]])^12)-1</f>
        <v>-3.7416937641112646E-3</v>
      </c>
      <c r="E383" s="53">
        <f>(Table267[[#This Row],[M2 Money Stock, Billions of Dollars, Weekly, Seasonally Adjusted]]-B371)/B371</f>
        <v>6.2757338291937845E-2</v>
      </c>
    </row>
    <row r="384" spans="1:5" x14ac:dyDescent="0.2">
      <c r="A384" s="50">
        <v>33025</v>
      </c>
      <c r="B384" s="51">
        <v>3213.7</v>
      </c>
      <c r="C384" s="53">
        <f>(Table267[[#This Row],[M2 Money Stock, Billions of Dollars, Weekly, Seasonally Adjusted]]-B383)/B383</f>
        <v>4.0929825657688903E-3</v>
      </c>
      <c r="D384" s="54">
        <f>((1+Table267[[#This Row],[Monthly change]])^12)-1</f>
        <v>5.0236680935620726E-2</v>
      </c>
      <c r="E384" s="53">
        <f>(Table267[[#This Row],[M2 Money Stock, Billions of Dollars, Weekly, Seasonally Adjusted]]-B372)/B372</f>
        <v>6.1362660589847656E-2</v>
      </c>
    </row>
    <row r="385" spans="1:5" x14ac:dyDescent="0.2">
      <c r="A385" s="50">
        <v>33055</v>
      </c>
      <c r="B385" s="51">
        <v>3224.5</v>
      </c>
      <c r="C385" s="53">
        <f>(Table267[[#This Row],[M2 Money Stock, Billions of Dollars, Weekly, Seasonally Adjusted]]-B384)/B384</f>
        <v>3.3606123782556501E-3</v>
      </c>
      <c r="D385" s="54">
        <f>((1+Table267[[#This Row],[Monthly change]])^12)-1</f>
        <v>4.1081147078971147E-2</v>
      </c>
      <c r="E385" s="53">
        <f>(Table267[[#This Row],[M2 Money Stock, Billions of Dollars, Weekly, Seasonally Adjusted]]-B373)/B373</f>
        <v>5.6381863451710097E-2</v>
      </c>
    </row>
    <row r="386" spans="1:5" x14ac:dyDescent="0.2">
      <c r="A386" s="50">
        <v>33086</v>
      </c>
      <c r="B386" s="51">
        <v>3242</v>
      </c>
      <c r="C386" s="53">
        <f>(Table267[[#This Row],[M2 Money Stock, Billions of Dollars, Weekly, Seasonally Adjusted]]-B385)/B385</f>
        <v>5.4271980151961545E-3</v>
      </c>
      <c r="D386" s="54">
        <f>((1+Table267[[#This Row],[Monthly change]])^12)-1</f>
        <v>6.7105973110982875E-2</v>
      </c>
      <c r="E386" s="53">
        <f>(Table267[[#This Row],[M2 Money Stock, Billions of Dollars, Weekly, Seasonally Adjusted]]-B374)/B374</f>
        <v>5.4514702055685628E-2</v>
      </c>
    </row>
    <row r="387" spans="1:5" x14ac:dyDescent="0.2">
      <c r="A387" s="50">
        <v>33117</v>
      </c>
      <c r="B387" s="51">
        <v>3254.6</v>
      </c>
      <c r="C387" s="53">
        <f>(Table267[[#This Row],[M2 Money Stock, Billions of Dollars, Weekly, Seasonally Adjusted]]-B386)/B386</f>
        <v>3.8864898210980597E-3</v>
      </c>
      <c r="D387" s="54">
        <f>((1+Table267[[#This Row],[Monthly change]])^12)-1</f>
        <v>4.7647823527960487E-2</v>
      </c>
      <c r="E387" s="53">
        <f>(Table267[[#This Row],[M2 Money Stock, Billions of Dollars, Weekly, Seasonally Adjusted]]-B375)/B375</f>
        <v>5.2417138237671759E-2</v>
      </c>
    </row>
    <row r="388" spans="1:5" x14ac:dyDescent="0.2">
      <c r="A388" s="50">
        <v>33147</v>
      </c>
      <c r="B388" s="51">
        <v>3259.3</v>
      </c>
      <c r="C388" s="53">
        <f>(Table267[[#This Row],[M2 Money Stock, Billions of Dollars, Weekly, Seasonally Adjusted]]-B387)/B387</f>
        <v>1.4441098752535713E-3</v>
      </c>
      <c r="D388" s="54">
        <f>((1+Table267[[#This Row],[Monthly change]])^12)-1</f>
        <v>1.7467623137961796E-2</v>
      </c>
      <c r="E388" s="53">
        <f>(Table267[[#This Row],[M2 Money Stock, Billions of Dollars, Weekly, Seasonally Adjusted]]-B376)/B376</f>
        <v>4.66266336983399E-2</v>
      </c>
    </row>
    <row r="389" spans="1:5" x14ac:dyDescent="0.2">
      <c r="A389" s="50">
        <v>33178</v>
      </c>
      <c r="B389" s="51">
        <v>3262.6</v>
      </c>
      <c r="C389" s="53">
        <f>(Table267[[#This Row],[M2 Money Stock, Billions of Dollars, Weekly, Seasonally Adjusted]]-B388)/B388</f>
        <v>1.0124873439081173E-3</v>
      </c>
      <c r="D389" s="54">
        <f>((1+Table267[[#This Row],[Monthly change]])^12)-1</f>
        <v>1.2217735613948566E-2</v>
      </c>
      <c r="E389" s="53">
        <f>(Table267[[#This Row],[M2 Money Stock, Billions of Dollars, Weekly, Seasonally Adjusted]]-B377)/B377</f>
        <v>4.1266396451025984E-2</v>
      </c>
    </row>
    <row r="390" spans="1:5" x14ac:dyDescent="0.2">
      <c r="A390" s="50">
        <v>33208</v>
      </c>
      <c r="B390" s="51">
        <v>3271.8</v>
      </c>
      <c r="C390" s="53">
        <f>(Table267[[#This Row],[M2 Money Stock, Billions of Dollars, Weekly, Seasonally Adjusted]]-B389)/B389</f>
        <v>2.8198369398639961E-3</v>
      </c>
      <c r="D390" s="54">
        <f>((1+Table267[[#This Row],[Monthly change]])^12)-1</f>
        <v>3.4367805234351678E-2</v>
      </c>
      <c r="E390" s="53">
        <f>(Table267[[#This Row],[M2 Money Stock, Billions of Dollars, Weekly, Seasonally Adjusted]]-B378)/B378</f>
        <v>3.7842981760507592E-2</v>
      </c>
    </row>
    <row r="391" spans="1:5" x14ac:dyDescent="0.2">
      <c r="A391" s="50">
        <v>33239</v>
      </c>
      <c r="B391" s="51">
        <v>3287.7</v>
      </c>
      <c r="C391" s="53">
        <f>(Table267[[#This Row],[M2 Money Stock, Billions of Dollars, Weekly, Seasonally Adjusted]]-B390)/B390</f>
        <v>4.8597102512377395E-3</v>
      </c>
      <c r="D391" s="54">
        <f>((1+Table267[[#This Row],[Monthly change]])^12)-1</f>
        <v>5.9900758546907351E-2</v>
      </c>
      <c r="E391" s="53">
        <f>(Table267[[#This Row],[M2 Money Stock, Billions of Dollars, Weekly, Seasonally Adjusted]]-B379)/B379</f>
        <v>3.8177339901477716E-2</v>
      </c>
    </row>
    <row r="392" spans="1:5" x14ac:dyDescent="0.2">
      <c r="A392" s="50">
        <v>33270</v>
      </c>
      <c r="B392" s="51">
        <v>3304.5</v>
      </c>
      <c r="C392" s="53">
        <f>(Table267[[#This Row],[M2 Money Stock, Billions of Dollars, Weekly, Seasonally Adjusted]]-B391)/B391</f>
        <v>5.1099552878912866E-3</v>
      </c>
      <c r="D392" s="54">
        <f>((1+Table267[[#This Row],[Monthly change]])^12)-1</f>
        <v>6.3072526623633607E-2</v>
      </c>
      <c r="E392" s="53">
        <f>(Table267[[#This Row],[M2 Money Stock, Billions of Dollars, Weekly, Seasonally Adjusted]]-B380)/B380</f>
        <v>3.9412430800201369E-2</v>
      </c>
    </row>
    <row r="393" spans="1:5" x14ac:dyDescent="0.2">
      <c r="A393" s="50">
        <v>33298</v>
      </c>
      <c r="B393" s="51">
        <v>3321.9</v>
      </c>
      <c r="C393" s="53">
        <f>(Table267[[#This Row],[M2 Money Stock, Billions of Dollars, Weekly, Seasonally Adjusted]]-B392)/B392</f>
        <v>5.2655469813890424E-3</v>
      </c>
      <c r="D393" s="54">
        <f>((1+Table267[[#This Row],[Monthly change]])^12)-1</f>
        <v>6.5048980879514939E-2</v>
      </c>
      <c r="E393" s="53">
        <f>(Table267[[#This Row],[M2 Money Stock, Billions of Dollars, Weekly, Seasonally Adjusted]]-B381)/B381</f>
        <v>4.1315319268988494E-2</v>
      </c>
    </row>
    <row r="394" spans="1:5" x14ac:dyDescent="0.2">
      <c r="A394" s="50">
        <v>33329</v>
      </c>
      <c r="B394" s="51">
        <v>3332.4</v>
      </c>
      <c r="C394" s="53">
        <f>(Table267[[#This Row],[M2 Money Stock, Billions of Dollars, Weekly, Seasonally Adjusted]]-B393)/B393</f>
        <v>3.1608416869863629E-3</v>
      </c>
      <c r="D394" s="54">
        <f>((1+Table267[[#This Row],[Monthly change]])^12)-1</f>
        <v>3.8596498173760985E-2</v>
      </c>
      <c r="E394" s="53">
        <f>(Table267[[#This Row],[M2 Money Stock, Billions of Dollars, Weekly, Seasonally Adjusted]]-B382)/B382</f>
        <v>4.0854572713643234E-2</v>
      </c>
    </row>
    <row r="395" spans="1:5" x14ac:dyDescent="0.2">
      <c r="A395" s="50">
        <v>33359</v>
      </c>
      <c r="B395" s="51">
        <v>3343</v>
      </c>
      <c r="C395" s="53">
        <f>(Table267[[#This Row],[M2 Money Stock, Billions of Dollars, Weekly, Seasonally Adjusted]]-B394)/B394</f>
        <v>3.1808906493817997E-3</v>
      </c>
      <c r="D395" s="54">
        <f>((1+Table267[[#This Row],[Monthly change]])^12)-1</f>
        <v>3.8845611619600318E-2</v>
      </c>
      <c r="E395" s="53">
        <f>(Table267[[#This Row],[M2 Money Stock, Billions of Dollars, Weekly, Seasonally Adjusted]]-B383)/B383</f>
        <v>4.4491657814159875E-2</v>
      </c>
    </row>
    <row r="396" spans="1:5" x14ac:dyDescent="0.2">
      <c r="A396" s="50">
        <v>33390</v>
      </c>
      <c r="B396" s="51">
        <v>3351.9</v>
      </c>
      <c r="C396" s="53">
        <f>(Table267[[#This Row],[M2 Money Stock, Billions of Dollars, Weekly, Seasonally Adjusted]]-B395)/B395</f>
        <v>2.6622793897696953E-3</v>
      </c>
      <c r="D396" s="54">
        <f>((1+Table267[[#This Row],[Monthly change]])^12)-1</f>
        <v>3.2419319227283694E-2</v>
      </c>
      <c r="E396" s="53">
        <f>(Table267[[#This Row],[M2 Money Stock, Billions of Dollars, Weekly, Seasonally Adjusted]]-B384)/B384</f>
        <v>4.3003391729159623E-2</v>
      </c>
    </row>
    <row r="397" spans="1:5" x14ac:dyDescent="0.2">
      <c r="A397" s="50">
        <v>33420</v>
      </c>
      <c r="B397" s="51">
        <v>3356.1</v>
      </c>
      <c r="C397" s="53">
        <f>(Table267[[#This Row],[M2 Money Stock, Billions of Dollars, Weekly, Seasonally Adjusted]]-B396)/B396</f>
        <v>1.2530206748410807E-3</v>
      </c>
      <c r="D397" s="54">
        <f>((1+Table267[[#This Row],[Monthly change]])^12)-1</f>
        <v>1.5140306144432403E-2</v>
      </c>
      <c r="E397" s="53">
        <f>(Table267[[#This Row],[M2 Money Stock, Billions of Dollars, Weekly, Seasonally Adjusted]]-B385)/B385</f>
        <v>4.0812529074275052E-2</v>
      </c>
    </row>
    <row r="398" spans="1:5" x14ac:dyDescent="0.2">
      <c r="A398" s="50">
        <v>33451</v>
      </c>
      <c r="B398" s="51">
        <v>3355</v>
      </c>
      <c r="C398" s="53">
        <f>(Table267[[#This Row],[M2 Money Stock, Billions of Dollars, Weekly, Seasonally Adjusted]]-B397)/B397</f>
        <v>-3.2776138970826526E-4</v>
      </c>
      <c r="D398" s="54">
        <f>((1+Table267[[#This Row],[Monthly change]])^12)-1</f>
        <v>-3.9260542002342858E-3</v>
      </c>
      <c r="E398" s="53">
        <f>(Table267[[#This Row],[M2 Money Stock, Billions of Dollars, Weekly, Seasonally Adjusted]]-B386)/B386</f>
        <v>3.4855027760641581E-2</v>
      </c>
    </row>
    <row r="399" spans="1:5" x14ac:dyDescent="0.2">
      <c r="A399" s="50">
        <v>33482</v>
      </c>
      <c r="B399" s="51">
        <v>3354.9</v>
      </c>
      <c r="C399" s="53">
        <f>(Table267[[#This Row],[M2 Money Stock, Billions of Dollars, Weekly, Seasonally Adjusted]]-B398)/B398</f>
        <v>-2.9806259314428927E-5</v>
      </c>
      <c r="D399" s="54">
        <f>((1+Table267[[#This Row],[Monthly change]])^12)-1</f>
        <v>-3.5761648233467724E-4</v>
      </c>
      <c r="E399" s="53">
        <f>(Table267[[#This Row],[M2 Money Stock, Billions of Dollars, Weekly, Seasonally Adjusted]]-B387)/B387</f>
        <v>3.0817919252750011E-2</v>
      </c>
    </row>
    <row r="400" spans="1:5" x14ac:dyDescent="0.2">
      <c r="A400" s="50">
        <v>33512</v>
      </c>
      <c r="B400" s="51">
        <v>3360.1</v>
      </c>
      <c r="C400" s="53">
        <f>(Table267[[#This Row],[M2 Money Stock, Billions of Dollars, Weekly, Seasonally Adjusted]]-B399)/B399</f>
        <v>1.5499716832095794E-3</v>
      </c>
      <c r="D400" s="54">
        <f>((1+Table267[[#This Row],[Monthly change]])^12)-1</f>
        <v>1.8759041476583249E-2</v>
      </c>
      <c r="E400" s="53">
        <f>(Table267[[#This Row],[M2 Money Stock, Billions of Dollars, Weekly, Seasonally Adjusted]]-B388)/B388</f>
        <v>3.0926886141195879E-2</v>
      </c>
    </row>
    <row r="401" spans="1:5" x14ac:dyDescent="0.2">
      <c r="A401" s="50">
        <v>33543</v>
      </c>
      <c r="B401" s="51">
        <v>3365.5</v>
      </c>
      <c r="C401" s="53">
        <f>(Table267[[#This Row],[M2 Money Stock, Billions of Dollars, Weekly, Seasonally Adjusted]]-B400)/B400</f>
        <v>1.6070950269337493E-3</v>
      </c>
      <c r="D401" s="54">
        <f>((1+Table267[[#This Row],[Monthly change]])^12)-1</f>
        <v>1.9456518586753013E-2</v>
      </c>
      <c r="E401" s="53">
        <f>(Table267[[#This Row],[M2 Money Stock, Billions of Dollars, Weekly, Seasonally Adjusted]]-B389)/B389</f>
        <v>3.1539263164347485E-2</v>
      </c>
    </row>
    <row r="402" spans="1:5" x14ac:dyDescent="0.2">
      <c r="A402" s="50">
        <v>33573</v>
      </c>
      <c r="B402" s="51">
        <v>3372.2</v>
      </c>
      <c r="C402" s="53">
        <f>(Table267[[#This Row],[M2 Money Stock, Billions of Dollars, Weekly, Seasonally Adjusted]]-B401)/B401</f>
        <v>1.9907888872380979E-3</v>
      </c>
      <c r="D402" s="54">
        <f>((1+Table267[[#This Row],[Monthly change]])^12)-1</f>
        <v>2.4152784107241754E-2</v>
      </c>
      <c r="E402" s="53">
        <f>(Table267[[#This Row],[M2 Money Stock, Billions of Dollars, Weekly, Seasonally Adjusted]]-B390)/B390</f>
        <v>3.0686472278256504E-2</v>
      </c>
    </row>
    <row r="403" spans="1:5" x14ac:dyDescent="0.2">
      <c r="A403" s="50">
        <v>33604</v>
      </c>
      <c r="B403" s="51">
        <v>3381.2</v>
      </c>
      <c r="C403" s="53">
        <f>(Table267[[#This Row],[M2 Money Stock, Billions of Dollars, Weekly, Seasonally Adjusted]]-B402)/B402</f>
        <v>2.6688808492971948E-3</v>
      </c>
      <c r="D403" s="54">
        <f>((1+Table267[[#This Row],[Monthly change]])^12)-1</f>
        <v>3.25008907150659E-2</v>
      </c>
      <c r="E403" s="53">
        <f>(Table267[[#This Row],[M2 Money Stock, Billions of Dollars, Weekly, Seasonally Adjusted]]-B391)/B391</f>
        <v>2.8439334489156556E-2</v>
      </c>
    </row>
    <row r="404" spans="1:5" x14ac:dyDescent="0.2">
      <c r="A404" s="50">
        <v>33635</v>
      </c>
      <c r="B404" s="51">
        <v>3400</v>
      </c>
      <c r="C404" s="53">
        <f>(Table267[[#This Row],[M2 Money Stock, Billions of Dollars, Weekly, Seasonally Adjusted]]-B403)/B403</f>
        <v>5.5601561575772456E-3</v>
      </c>
      <c r="D404" s="54">
        <f>((1+Table267[[#This Row],[Monthly change]])^12)-1</f>
        <v>6.880058013787016E-2</v>
      </c>
      <c r="E404" s="53">
        <f>(Table267[[#This Row],[M2 Money Stock, Billions of Dollars, Weekly, Seasonally Adjusted]]-B392)/B392</f>
        <v>2.8899984869117868E-2</v>
      </c>
    </row>
    <row r="405" spans="1:5" x14ac:dyDescent="0.2">
      <c r="A405" s="50">
        <v>33664</v>
      </c>
      <c r="B405" s="51">
        <v>3403.9</v>
      </c>
      <c r="C405" s="53">
        <f>(Table267[[#This Row],[M2 Money Stock, Billions of Dollars, Weekly, Seasonally Adjusted]]-B404)/B404</f>
        <v>1.1470588235294385E-3</v>
      </c>
      <c r="D405" s="54">
        <f>((1+Table267[[#This Row],[Monthly change]])^12)-1</f>
        <v>1.385187787306319E-2</v>
      </c>
      <c r="E405" s="53">
        <f>(Table267[[#This Row],[M2 Money Stock, Billions of Dollars, Weekly, Seasonally Adjusted]]-B393)/B393</f>
        <v>2.4684668412655406E-2</v>
      </c>
    </row>
    <row r="406" spans="1:5" x14ac:dyDescent="0.2">
      <c r="A406" s="50">
        <v>33695</v>
      </c>
      <c r="B406" s="51">
        <v>3399.7</v>
      </c>
      <c r="C406" s="53">
        <f>(Table267[[#This Row],[M2 Money Stock, Billions of Dollars, Weekly, Seasonally Adjusted]]-B405)/B405</f>
        <v>-1.2338787860983792E-3</v>
      </c>
      <c r="D406" s="54">
        <f>((1+Table267[[#This Row],[Monthly change]])^12)-1</f>
        <v>-1.4706475411403019E-2</v>
      </c>
      <c r="E406" s="53">
        <f>(Table267[[#This Row],[M2 Money Stock, Billions of Dollars, Weekly, Seasonally Adjusted]]-B394)/B394</f>
        <v>2.0195654783339251E-2</v>
      </c>
    </row>
    <row r="407" spans="1:5" x14ac:dyDescent="0.2">
      <c r="A407" s="50">
        <v>33725</v>
      </c>
      <c r="B407" s="51">
        <v>3398.6</v>
      </c>
      <c r="C407" s="53">
        <f>(Table267[[#This Row],[M2 Money Stock, Billions of Dollars, Weekly, Seasonally Adjusted]]-B406)/B406</f>
        <v>-3.2355796099653179E-4</v>
      </c>
      <c r="D407" s="54">
        <f>((1+Table267[[#This Row],[Monthly change]])^12)-1</f>
        <v>-3.8757934548682149E-3</v>
      </c>
      <c r="E407" s="53">
        <f>(Table267[[#This Row],[M2 Money Stock, Billions of Dollars, Weekly, Seasonally Adjusted]]-B395)/B395</f>
        <v>1.6631767873167787E-2</v>
      </c>
    </row>
    <row r="408" spans="1:5" x14ac:dyDescent="0.2">
      <c r="A408" s="50">
        <v>33756</v>
      </c>
      <c r="B408" s="51">
        <v>3393.4</v>
      </c>
      <c r="C408" s="53">
        <f>(Table267[[#This Row],[M2 Money Stock, Billions of Dollars, Weekly, Seasonally Adjusted]]-B407)/B407</f>
        <v>-1.5300417819101449E-3</v>
      </c>
      <c r="D408" s="54">
        <f>((1+Table267[[#This Row],[Monthly change]])^12)-1</f>
        <v>-1.8206778849852889E-2</v>
      </c>
      <c r="E408" s="53">
        <f>(Table267[[#This Row],[M2 Money Stock, Billions of Dollars, Weekly, Seasonally Adjusted]]-B396)/B396</f>
        <v>1.2381037620454071E-2</v>
      </c>
    </row>
    <row r="409" spans="1:5" x14ac:dyDescent="0.2">
      <c r="A409" s="50">
        <v>33786</v>
      </c>
      <c r="B409" s="51">
        <v>3393.9</v>
      </c>
      <c r="C409" s="53">
        <f>(Table267[[#This Row],[M2 Money Stock, Billions of Dollars, Weekly, Seasonally Adjusted]]-B408)/B408</f>
        <v>1.4734484587729122E-4</v>
      </c>
      <c r="D409" s="54">
        <f>((1+Table267[[#This Row],[Monthly change]])^12)-1</f>
        <v>1.7695717477639317E-3</v>
      </c>
      <c r="E409" s="53">
        <f>(Table267[[#This Row],[M2 Money Stock, Billions of Dollars, Weekly, Seasonally Adjusted]]-B397)/B397</f>
        <v>1.1263073209975919E-2</v>
      </c>
    </row>
    <row r="410" spans="1:5" x14ac:dyDescent="0.2">
      <c r="A410" s="50">
        <v>33817</v>
      </c>
      <c r="B410" s="51">
        <v>3398.8</v>
      </c>
      <c r="C410" s="53">
        <f>(Table267[[#This Row],[M2 Money Stock, Billions of Dollars, Weekly, Seasonally Adjusted]]-B409)/B409</f>
        <v>1.4437667580070393E-3</v>
      </c>
      <c r="D410" s="54">
        <f>((1+Table267[[#This Row],[Monthly change]])^12)-1</f>
        <v>1.7463439858699248E-2</v>
      </c>
      <c r="E410" s="53">
        <f>(Table267[[#This Row],[M2 Money Stock, Billions of Dollars, Weekly, Seasonally Adjusted]]-B398)/B398</f>
        <v>1.3055141579731798E-2</v>
      </c>
    </row>
    <row r="411" spans="1:5" x14ac:dyDescent="0.2">
      <c r="A411" s="50">
        <v>33848</v>
      </c>
      <c r="B411" s="51">
        <v>3410.3</v>
      </c>
      <c r="C411" s="53">
        <f>(Table267[[#This Row],[M2 Money Stock, Billions of Dollars, Weekly, Seasonally Adjusted]]-B410)/B410</f>
        <v>3.383547134282688E-3</v>
      </c>
      <c r="D411" s="54">
        <f>((1+Table267[[#This Row],[Monthly change]])^12)-1</f>
        <v>4.1366746619044603E-2</v>
      </c>
      <c r="E411" s="53">
        <f>(Table267[[#This Row],[M2 Money Stock, Billions of Dollars, Weekly, Seasonally Adjusted]]-B399)/B399</f>
        <v>1.6513159855733432E-2</v>
      </c>
    </row>
    <row r="412" spans="1:5" x14ac:dyDescent="0.2">
      <c r="A412" s="50">
        <v>33878</v>
      </c>
      <c r="B412" s="51">
        <v>3423.8</v>
      </c>
      <c r="C412" s="53">
        <f>(Table267[[#This Row],[M2 Money Stock, Billions of Dollars, Weekly, Seasonally Adjusted]]-B411)/B411</f>
        <v>3.9585960179456354E-3</v>
      </c>
      <c r="D412" s="54">
        <f>((1+Table267[[#This Row],[Monthly change]])^12)-1</f>
        <v>4.8551173667654712E-2</v>
      </c>
      <c r="E412" s="53">
        <f>(Table267[[#This Row],[M2 Money Stock, Billions of Dollars, Weekly, Seasonally Adjusted]]-B400)/B400</f>
        <v>1.8957769114014547E-2</v>
      </c>
    </row>
    <row r="413" spans="1:5" x14ac:dyDescent="0.2">
      <c r="A413" s="50">
        <v>33909</v>
      </c>
      <c r="B413" s="51">
        <v>3426.5</v>
      </c>
      <c r="C413" s="53">
        <f>(Table267[[#This Row],[M2 Money Stock, Billions of Dollars, Weekly, Seasonally Adjusted]]-B412)/B412</f>
        <v>7.8859746480513409E-4</v>
      </c>
      <c r="D413" s="54">
        <f>((1+Table267[[#This Row],[Monthly change]])^12)-1</f>
        <v>9.5043221346917672E-3</v>
      </c>
      <c r="E413" s="53">
        <f>(Table267[[#This Row],[M2 Money Stock, Billions of Dollars, Weekly, Seasonally Adjusted]]-B401)/B401</f>
        <v>1.8125092853959295E-2</v>
      </c>
    </row>
    <row r="414" spans="1:5" x14ac:dyDescent="0.2">
      <c r="A414" s="50">
        <v>33939</v>
      </c>
      <c r="B414" s="51">
        <v>3424.7</v>
      </c>
      <c r="C414" s="53">
        <f>(Table267[[#This Row],[M2 Money Stock, Billions of Dollars, Weekly, Seasonally Adjusted]]-B413)/B413</f>
        <v>-5.2531737925001656E-4</v>
      </c>
      <c r="D414" s="54">
        <f>((1+Table267[[#This Row],[Monthly change]])^12)-1</f>
        <v>-6.2856271547633291E-3</v>
      </c>
      <c r="E414" s="53">
        <f>(Table267[[#This Row],[M2 Money Stock, Billions of Dollars, Weekly, Seasonally Adjusted]]-B402)/B402</f>
        <v>1.5568471620900304E-2</v>
      </c>
    </row>
    <row r="415" spans="1:5" x14ac:dyDescent="0.2">
      <c r="A415" s="50">
        <v>33970</v>
      </c>
      <c r="B415" s="51">
        <v>3419.1</v>
      </c>
      <c r="C415" s="53">
        <f>(Table267[[#This Row],[M2 Money Stock, Billions of Dollars, Weekly, Seasonally Adjusted]]-B414)/B414</f>
        <v>-1.6351797237713988E-3</v>
      </c>
      <c r="D415" s="54">
        <f>((1+Table267[[#This Row],[Monthly change]])^12)-1</f>
        <v>-1.9446643391649698E-2</v>
      </c>
      <c r="E415" s="53">
        <f>(Table267[[#This Row],[M2 Money Stock, Billions of Dollars, Weekly, Seasonally Adjusted]]-B403)/B403</f>
        <v>1.1209038211285962E-2</v>
      </c>
    </row>
    <row r="416" spans="1:5" x14ac:dyDescent="0.2">
      <c r="A416" s="50">
        <v>34001</v>
      </c>
      <c r="B416" s="51">
        <v>3414.5</v>
      </c>
      <c r="C416" s="53">
        <f>(Table267[[#This Row],[M2 Money Stock, Billions of Dollars, Weekly, Seasonally Adjusted]]-B415)/B415</f>
        <v>-1.3453832879997394E-3</v>
      </c>
      <c r="D416" s="54">
        <f>((1+Table267[[#This Row],[Monthly change]])^12)-1</f>
        <v>-1.602566987732168E-2</v>
      </c>
      <c r="E416" s="53">
        <f>(Table267[[#This Row],[M2 Money Stock, Billions of Dollars, Weekly, Seasonally Adjusted]]-B404)/B404</f>
        <v>4.2647058823529413E-3</v>
      </c>
    </row>
    <row r="417" spans="1:5" x14ac:dyDescent="0.2">
      <c r="A417" s="50">
        <v>34029</v>
      </c>
      <c r="B417" s="51">
        <v>3411.7</v>
      </c>
      <c r="C417" s="53">
        <f>(Table267[[#This Row],[M2 Money Stock, Billions of Dollars, Weekly, Seasonally Adjusted]]-B416)/B416</f>
        <v>-8.2003221555137856E-4</v>
      </c>
      <c r="D417" s="54">
        <f>((1+Table267[[#This Row],[Monthly change]])^12)-1</f>
        <v>-9.7961257912523303E-3</v>
      </c>
      <c r="E417" s="53">
        <f>(Table267[[#This Row],[M2 Money Stock, Billions of Dollars, Weekly, Seasonally Adjusted]]-B405)/B405</f>
        <v>2.2914891741824752E-3</v>
      </c>
    </row>
    <row r="418" spans="1:5" x14ac:dyDescent="0.2">
      <c r="A418" s="50">
        <v>34060</v>
      </c>
      <c r="B418" s="51">
        <v>3411.3</v>
      </c>
      <c r="C418" s="53">
        <f>(Table267[[#This Row],[M2 Money Stock, Billions of Dollars, Weekly, Seasonally Adjusted]]-B417)/B417</f>
        <v>-1.1724360289581037E-4</v>
      </c>
      <c r="D418" s="54">
        <f>((1+Table267[[#This Row],[Monthly change]])^12)-1</f>
        <v>-1.4060163490966504E-3</v>
      </c>
      <c r="E418" s="53">
        <f>(Table267[[#This Row],[M2 Money Stock, Billions of Dollars, Weekly, Seasonally Adjusted]]-B406)/B406</f>
        <v>3.4120657705092698E-3</v>
      </c>
    </row>
    <row r="419" spans="1:5" x14ac:dyDescent="0.2">
      <c r="A419" s="50">
        <v>34090</v>
      </c>
      <c r="B419" s="51">
        <v>3436.9</v>
      </c>
      <c r="C419" s="53">
        <f>(Table267[[#This Row],[M2 Money Stock, Billions of Dollars, Weekly, Seasonally Adjusted]]-B418)/B418</f>
        <v>7.5044704364904602E-3</v>
      </c>
      <c r="D419" s="54">
        <f>((1+Table267[[#This Row],[Monthly change]])^12)-1</f>
        <v>9.3865139818114729E-2</v>
      </c>
      <c r="E419" s="53">
        <f>(Table267[[#This Row],[M2 Money Stock, Billions of Dollars, Weekly, Seasonally Adjusted]]-B407)/B407</f>
        <v>1.1269346201377092E-2</v>
      </c>
    </row>
    <row r="420" spans="1:5" x14ac:dyDescent="0.2">
      <c r="A420" s="50">
        <v>34121</v>
      </c>
      <c r="B420" s="51">
        <v>3442.4</v>
      </c>
      <c r="C420" s="53">
        <f>(Table267[[#This Row],[M2 Money Stock, Billions of Dollars, Weekly, Seasonally Adjusted]]-B419)/B419</f>
        <v>1.6002793214815677E-3</v>
      </c>
      <c r="D420" s="54">
        <f>((1+Table267[[#This Row],[Monthly change]])^12)-1</f>
        <v>1.9373275702274206E-2</v>
      </c>
      <c r="E420" s="53">
        <f>(Table267[[#This Row],[M2 Money Stock, Billions of Dollars, Weekly, Seasonally Adjusted]]-B408)/B408</f>
        <v>1.4439794895974538E-2</v>
      </c>
    </row>
    <row r="421" spans="1:5" x14ac:dyDescent="0.2">
      <c r="A421" s="50">
        <v>34151</v>
      </c>
      <c r="B421" s="51">
        <v>3442</v>
      </c>
      <c r="C421" s="53">
        <f>(Table267[[#This Row],[M2 Money Stock, Billions of Dollars, Weekly, Seasonally Adjusted]]-B420)/B420</f>
        <v>-1.1619800139440243E-4</v>
      </c>
      <c r="D421" s="54">
        <f>((1+Table267[[#This Row],[Monthly change]])^12)-1</f>
        <v>-1.3934852314161361E-3</v>
      </c>
      <c r="E421" s="53">
        <f>(Table267[[#This Row],[M2 Money Stock, Billions of Dollars, Weekly, Seasonally Adjusted]]-B409)/B409</f>
        <v>1.4172485930640239E-2</v>
      </c>
    </row>
    <row r="422" spans="1:5" x14ac:dyDescent="0.2">
      <c r="A422" s="50">
        <v>34182</v>
      </c>
      <c r="B422" s="51">
        <v>3445.7</v>
      </c>
      <c r="C422" s="53">
        <f>(Table267[[#This Row],[M2 Money Stock, Billions of Dollars, Weekly, Seasonally Adjusted]]-B421)/B421</f>
        <v>1.074956420685595E-3</v>
      </c>
      <c r="D422" s="54">
        <f>((1+Table267[[#This Row],[Monthly change]])^12)-1</f>
        <v>1.2976016048611205E-2</v>
      </c>
      <c r="E422" s="53">
        <f>(Table267[[#This Row],[M2 Money Stock, Billions of Dollars, Weekly, Seasonally Adjusted]]-B410)/B410</f>
        <v>1.3798987878074508E-2</v>
      </c>
    </row>
    <row r="423" spans="1:5" x14ac:dyDescent="0.2">
      <c r="A423" s="50">
        <v>34213</v>
      </c>
      <c r="B423" s="51">
        <v>3452.2</v>
      </c>
      <c r="C423" s="53">
        <f>(Table267[[#This Row],[M2 Money Stock, Billions of Dollars, Weekly, Seasonally Adjusted]]-B422)/B422</f>
        <v>1.8864091476332823E-3</v>
      </c>
      <c r="D423" s="54">
        <f>((1+Table267[[#This Row],[Monthly change]])^12)-1</f>
        <v>2.2873256493527894E-2</v>
      </c>
      <c r="E423" s="53">
        <f>(Table267[[#This Row],[M2 Money Stock, Billions of Dollars, Weekly, Seasonally Adjusted]]-B411)/B411</f>
        <v>1.2286309122364494E-2</v>
      </c>
    </row>
    <row r="424" spans="1:5" x14ac:dyDescent="0.2">
      <c r="A424" s="50">
        <v>34243</v>
      </c>
      <c r="B424" s="51">
        <v>3456.7</v>
      </c>
      <c r="C424" s="53">
        <f>(Table267[[#This Row],[M2 Money Stock, Billions of Dollars, Weekly, Seasonally Adjusted]]-B423)/B423</f>
        <v>1.3035165981113493E-3</v>
      </c>
      <c r="D424" s="54">
        <f>((1+Table267[[#This Row],[Monthly change]])^12)-1</f>
        <v>1.5754832146908093E-2</v>
      </c>
      <c r="E424" s="53">
        <f>(Table267[[#This Row],[M2 Money Stock, Billions of Dollars, Weekly, Seasonally Adjusted]]-B412)/B412</f>
        <v>9.6092061452186552E-3</v>
      </c>
    </row>
    <row r="425" spans="1:5" x14ac:dyDescent="0.2">
      <c r="A425" s="50">
        <v>34274</v>
      </c>
      <c r="B425" s="51">
        <v>3470.1</v>
      </c>
      <c r="C425" s="53">
        <f>(Table267[[#This Row],[M2 Money Stock, Billions of Dollars, Weekly, Seasonally Adjusted]]-B424)/B424</f>
        <v>3.8765296380941627E-3</v>
      </c>
      <c r="D425" s="54">
        <f>((1+Table267[[#This Row],[Monthly change]])^12)-1</f>
        <v>4.7523097936890579E-2</v>
      </c>
      <c r="E425" s="53">
        <f>(Table267[[#This Row],[M2 Money Stock, Billions of Dollars, Weekly, Seasonally Adjusted]]-B413)/B413</f>
        <v>1.2724354297387979E-2</v>
      </c>
    </row>
    <row r="426" spans="1:5" x14ac:dyDescent="0.2">
      <c r="A426" s="50">
        <v>34304</v>
      </c>
      <c r="B426" s="51">
        <v>3474.5</v>
      </c>
      <c r="C426" s="53">
        <f>(Table267[[#This Row],[M2 Money Stock, Billions of Dollars, Weekly, Seasonally Adjusted]]-B425)/B425</f>
        <v>1.26797498631166E-3</v>
      </c>
      <c r="D426" s="54">
        <f>((1+Table267[[#This Row],[Monthly change]])^12)-1</f>
        <v>1.532226180725238E-2</v>
      </c>
      <c r="E426" s="53">
        <f>(Table267[[#This Row],[M2 Money Stock, Billions of Dollars, Weekly, Seasonally Adjusted]]-B414)/B414</f>
        <v>1.4541419686395943E-2</v>
      </c>
    </row>
    <row r="427" spans="1:5" x14ac:dyDescent="0.2">
      <c r="A427" s="50">
        <v>34335</v>
      </c>
      <c r="B427" s="51">
        <v>3474.9</v>
      </c>
      <c r="C427" s="53">
        <f>(Table267[[#This Row],[M2 Money Stock, Billions of Dollars, Weekly, Seasonally Adjusted]]-B426)/B426</f>
        <v>1.1512447834223369E-4</v>
      </c>
      <c r="D427" s="54">
        <f>((1+Table267[[#This Row],[Monthly change]])^12)-1</f>
        <v>1.3823688164766867E-3</v>
      </c>
      <c r="E427" s="53">
        <f>(Table267[[#This Row],[M2 Money Stock, Billions of Dollars, Weekly, Seasonally Adjusted]]-B415)/B415</f>
        <v>1.6320084232692867E-2</v>
      </c>
    </row>
    <row r="428" spans="1:5" x14ac:dyDescent="0.2">
      <c r="A428" s="50">
        <v>34366</v>
      </c>
      <c r="B428" s="51">
        <v>3475.7</v>
      </c>
      <c r="C428" s="53">
        <f>(Table267[[#This Row],[M2 Money Stock, Billions of Dollars, Weekly, Seasonally Adjusted]]-B427)/B427</f>
        <v>2.3022245244459614E-4</v>
      </c>
      <c r="D428" s="54">
        <f>((1+Table267[[#This Row],[Monthly change]])^12)-1</f>
        <v>2.7661702721635262E-3</v>
      </c>
      <c r="E428" s="53">
        <f>(Table267[[#This Row],[M2 Money Stock, Billions of Dollars, Weekly, Seasonally Adjusted]]-B416)/B416</f>
        <v>1.7923561282764625E-2</v>
      </c>
    </row>
    <row r="429" spans="1:5" x14ac:dyDescent="0.2">
      <c r="A429" s="50">
        <v>34394</v>
      </c>
      <c r="B429" s="51">
        <v>3480.1</v>
      </c>
      <c r="C429" s="53">
        <f>(Table267[[#This Row],[M2 Money Stock, Billions of Dollars, Weekly, Seasonally Adjusted]]-B428)/B428</f>
        <v>1.265932042466292E-3</v>
      </c>
      <c r="D429" s="54">
        <f>((1+Table267[[#This Row],[Monthly change]])^12)-1</f>
        <v>1.5297402650976011E-2</v>
      </c>
      <c r="E429" s="53">
        <f>(Table267[[#This Row],[M2 Money Stock, Billions of Dollars, Weekly, Seasonally Adjusted]]-B417)/B417</f>
        <v>2.0048656095201834E-2</v>
      </c>
    </row>
    <row r="430" spans="1:5" x14ac:dyDescent="0.2">
      <c r="A430" s="50">
        <v>34425</v>
      </c>
      <c r="B430" s="51">
        <v>3481.3</v>
      </c>
      <c r="C430" s="53">
        <f>(Table267[[#This Row],[M2 Money Stock, Billions of Dollars, Weekly, Seasonally Adjusted]]-B429)/B429</f>
        <v>3.4481767765301939E-4</v>
      </c>
      <c r="D430" s="54">
        <f>((1+Table267[[#This Row],[Monthly change]])^12)-1</f>
        <v>4.1456685077558841E-3</v>
      </c>
      <c r="E430" s="53">
        <f>(Table267[[#This Row],[M2 Money Stock, Billions of Dollars, Weekly, Seasonally Adjusted]]-B418)/B418</f>
        <v>2.0520036349778677E-2</v>
      </c>
    </row>
    <row r="431" spans="1:5" x14ac:dyDescent="0.2">
      <c r="A431" s="50">
        <v>34455</v>
      </c>
      <c r="B431" s="51">
        <v>3490.8</v>
      </c>
      <c r="C431" s="53">
        <f>(Table267[[#This Row],[M2 Money Stock, Billions of Dollars, Weekly, Seasonally Adjusted]]-B430)/B430</f>
        <v>2.7288656536351361E-3</v>
      </c>
      <c r="D431" s="54">
        <f>((1+Table267[[#This Row],[Monthly change]])^12)-1</f>
        <v>3.3242368759488272E-2</v>
      </c>
      <c r="E431" s="53">
        <f>(Table267[[#This Row],[M2 Money Stock, Billions of Dollars, Weekly, Seasonally Adjusted]]-B419)/B419</f>
        <v>1.568273735051939E-2</v>
      </c>
    </row>
    <row r="432" spans="1:5" x14ac:dyDescent="0.2">
      <c r="A432" s="50">
        <v>34486</v>
      </c>
      <c r="B432" s="51">
        <v>3479.5</v>
      </c>
      <c r="C432" s="53">
        <f>(Table267[[#This Row],[M2 Money Stock, Billions of Dollars, Weekly, Seasonally Adjusted]]-B431)/B431</f>
        <v>-3.2370803254268884E-3</v>
      </c>
      <c r="D432" s="54">
        <f>((1+Table267[[#This Row],[Monthly change]])^12)-1</f>
        <v>-3.816077883571245E-2</v>
      </c>
      <c r="E432" s="53">
        <f>(Table267[[#This Row],[M2 Money Stock, Billions of Dollars, Weekly, Seasonally Adjusted]]-B420)/B420</f>
        <v>1.0777364629328349E-2</v>
      </c>
    </row>
    <row r="433" spans="1:5" x14ac:dyDescent="0.2">
      <c r="A433" s="50">
        <v>34516</v>
      </c>
      <c r="B433" s="51">
        <v>3488.2</v>
      </c>
      <c r="C433" s="53">
        <f>(Table267[[#This Row],[M2 Money Stock, Billions of Dollars, Weekly, Seasonally Adjusted]]-B432)/B432</f>
        <v>2.5003592470181973E-3</v>
      </c>
      <c r="D433" s="54">
        <f>((1+Table267[[#This Row],[Monthly change]])^12)-1</f>
        <v>3.0420387931040072E-2</v>
      </c>
      <c r="E433" s="53">
        <f>(Table267[[#This Row],[M2 Money Stock, Billions of Dollars, Weekly, Seasonally Adjusted]]-B421)/B421</f>
        <v>1.3422428820453173E-2</v>
      </c>
    </row>
    <row r="434" spans="1:5" x14ac:dyDescent="0.2">
      <c r="A434" s="50">
        <v>34547</v>
      </c>
      <c r="B434" s="51">
        <v>3485.7</v>
      </c>
      <c r="C434" s="53">
        <f>(Table267[[#This Row],[M2 Money Stock, Billions of Dollars, Weekly, Seasonally Adjusted]]-B433)/B433</f>
        <v>-7.1670202396651567E-4</v>
      </c>
      <c r="D434" s="54">
        <f>((1+Table267[[#This Row],[Monthly change]])^12)-1</f>
        <v>-8.566603470264722E-3</v>
      </c>
      <c r="E434" s="53">
        <f>(Table267[[#This Row],[M2 Money Stock, Billions of Dollars, Weekly, Seasonally Adjusted]]-B422)/B422</f>
        <v>1.1608671677743276E-2</v>
      </c>
    </row>
    <row r="435" spans="1:5" x14ac:dyDescent="0.2">
      <c r="A435" s="50">
        <v>34578</v>
      </c>
      <c r="B435" s="51">
        <v>3486.1</v>
      </c>
      <c r="C435" s="53">
        <f>(Table267[[#This Row],[M2 Money Stock, Billions of Dollars, Weekly, Seasonally Adjusted]]-B434)/B434</f>
        <v>1.1475456866629112E-4</v>
      </c>
      <c r="D435" s="54">
        <f>((1+Table267[[#This Row],[Monthly change]])^12)-1</f>
        <v>1.3779242848654949E-3</v>
      </c>
      <c r="E435" s="53">
        <f>(Table267[[#This Row],[M2 Money Stock, Billions of Dollars, Weekly, Seasonally Adjusted]]-B423)/B423</f>
        <v>9.8198250391055251E-3</v>
      </c>
    </row>
    <row r="436" spans="1:5" x14ac:dyDescent="0.2">
      <c r="A436" s="50">
        <v>34608</v>
      </c>
      <c r="B436" s="51">
        <v>3484.3</v>
      </c>
      <c r="C436" s="53">
        <f>(Table267[[#This Row],[M2 Money Stock, Billions of Dollars, Weekly, Seasonally Adjusted]]-B435)/B435</f>
        <v>-5.1633630704791232E-4</v>
      </c>
      <c r="D436" s="54">
        <f>((1+Table267[[#This Row],[Monthly change]])^12)-1</f>
        <v>-6.1784701239292472E-3</v>
      </c>
      <c r="E436" s="53">
        <f>(Table267[[#This Row],[M2 Money Stock, Billions of Dollars, Weekly, Seasonally Adjusted]]-B424)/B424</f>
        <v>7.9844938814477295E-3</v>
      </c>
    </row>
    <row r="437" spans="1:5" x14ac:dyDescent="0.2">
      <c r="A437" s="50">
        <v>34639</v>
      </c>
      <c r="B437" s="51">
        <v>3487.2</v>
      </c>
      <c r="C437" s="53">
        <f>(Table267[[#This Row],[M2 Money Stock, Billions of Dollars, Weekly, Seasonally Adjusted]]-B436)/B436</f>
        <v>8.3230491059886808E-4</v>
      </c>
      <c r="D437" s="54">
        <f>((1+Table267[[#This Row],[Monthly change]])^12)-1</f>
        <v>1.0033506285716642E-2</v>
      </c>
      <c r="E437" s="53">
        <f>(Table267[[#This Row],[M2 Money Stock, Billions of Dollars, Weekly, Seasonally Adjusted]]-B425)/B425</f>
        <v>4.9278118786201868E-3</v>
      </c>
    </row>
    <row r="438" spans="1:5" x14ac:dyDescent="0.2">
      <c r="A438" s="50">
        <v>34669</v>
      </c>
      <c r="B438" s="51">
        <v>3486.4</v>
      </c>
      <c r="C438" s="53">
        <f>(Table267[[#This Row],[M2 Money Stock, Billions of Dollars, Weekly, Seasonally Adjusted]]-B437)/B437</f>
        <v>-2.2941041523277334E-4</v>
      </c>
      <c r="D438" s="54">
        <f>((1+Table267[[#This Row],[Monthly change]])^12)-1</f>
        <v>-2.7494541144813534E-3</v>
      </c>
      <c r="E438" s="53">
        <f>(Table267[[#This Row],[M2 Money Stock, Billions of Dollars, Weekly, Seasonally Adjusted]]-B426)/B426</f>
        <v>3.4249532306806995E-3</v>
      </c>
    </row>
    <row r="439" spans="1:5" x14ac:dyDescent="0.2">
      <c r="A439" s="50">
        <v>34700</v>
      </c>
      <c r="B439" s="51">
        <v>3492.4</v>
      </c>
      <c r="C439" s="53">
        <f>(Table267[[#This Row],[M2 Money Stock, Billions of Dollars, Weekly, Seasonally Adjusted]]-B438)/B438</f>
        <v>1.7209729233593392E-3</v>
      </c>
      <c r="D439" s="54">
        <f>((1+Table267[[#This Row],[Monthly change]])^12)-1</f>
        <v>2.0848276148712541E-2</v>
      </c>
      <c r="E439" s="53">
        <f>(Table267[[#This Row],[M2 Money Stock, Billions of Dollars, Weekly, Seasonally Adjusted]]-B427)/B427</f>
        <v>5.0361161472272584E-3</v>
      </c>
    </row>
    <row r="440" spans="1:5" x14ac:dyDescent="0.2">
      <c r="A440" s="50">
        <v>34731</v>
      </c>
      <c r="B440" s="51">
        <v>3489.9</v>
      </c>
      <c r="C440" s="53">
        <f>(Table267[[#This Row],[M2 Money Stock, Billions of Dollars, Weekly, Seasonally Adjusted]]-B439)/B439</f>
        <v>-7.1584010995304084E-4</v>
      </c>
      <c r="D440" s="54">
        <f>((1+Table267[[#This Row],[Monthly change]])^12)-1</f>
        <v>-8.5563417029346223E-3</v>
      </c>
      <c r="E440" s="53">
        <f>(Table267[[#This Row],[M2 Money Stock, Billions of Dollars, Weekly, Seasonally Adjusted]]-B428)/B428</f>
        <v>4.0855079552321186E-3</v>
      </c>
    </row>
    <row r="441" spans="1:5" x14ac:dyDescent="0.2">
      <c r="A441" s="50">
        <v>34759</v>
      </c>
      <c r="B441" s="51">
        <v>3491.1</v>
      </c>
      <c r="C441" s="53">
        <f>(Table267[[#This Row],[M2 Money Stock, Billions of Dollars, Weekly, Seasonally Adjusted]]-B440)/B440</f>
        <v>3.4384939396539098E-4</v>
      </c>
      <c r="D441" s="54">
        <f>((1+Table267[[#This Row],[Monthly change]])^12)-1</f>
        <v>4.134005017196074E-3</v>
      </c>
      <c r="E441" s="53">
        <f>(Table267[[#This Row],[M2 Money Stock, Billions of Dollars, Weekly, Seasonally Adjusted]]-B429)/B429</f>
        <v>3.1608287118186258E-3</v>
      </c>
    </row>
    <row r="442" spans="1:5" x14ac:dyDescent="0.2">
      <c r="A442" s="50">
        <v>34790</v>
      </c>
      <c r="B442" s="51">
        <v>3499.2</v>
      </c>
      <c r="C442" s="53">
        <f>(Table267[[#This Row],[M2 Money Stock, Billions of Dollars, Weekly, Seasonally Adjusted]]-B441)/B441</f>
        <v>2.3201856148491618E-3</v>
      </c>
      <c r="D442" s="54">
        <f>((1+Table267[[#This Row],[Monthly change]])^12)-1</f>
        <v>2.8200284857793578E-2</v>
      </c>
      <c r="E442" s="53">
        <f>(Table267[[#This Row],[M2 Money Stock, Billions of Dollars, Weekly, Seasonally Adjusted]]-B430)/B430</f>
        <v>5.1417573894808359E-3</v>
      </c>
    </row>
    <row r="443" spans="1:5" x14ac:dyDescent="0.2">
      <c r="A443" s="50">
        <v>34820</v>
      </c>
      <c r="B443" s="51">
        <v>3524.2</v>
      </c>
      <c r="C443" s="53">
        <f>(Table267[[#This Row],[M2 Money Stock, Billions of Dollars, Weekly, Seasonally Adjusted]]-B442)/B442</f>
        <v>7.1444901691815272E-3</v>
      </c>
      <c r="D443" s="54">
        <f>((1+Table267[[#This Row],[Monthly change]])^12)-1</f>
        <v>8.91843033557016E-2</v>
      </c>
      <c r="E443" s="53">
        <f>(Table267[[#This Row],[M2 Money Stock, Billions of Dollars, Weekly, Seasonally Adjusted]]-B431)/B431</f>
        <v>9.5680073335624033E-3</v>
      </c>
    </row>
    <row r="444" spans="1:5" x14ac:dyDescent="0.2">
      <c r="A444" s="50">
        <v>34851</v>
      </c>
      <c r="B444" s="51">
        <v>3548.9</v>
      </c>
      <c r="C444" s="53">
        <f>(Table267[[#This Row],[M2 Money Stock, Billions of Dollars, Weekly, Seasonally Adjusted]]-B443)/B443</f>
        <v>7.0086828216333564E-3</v>
      </c>
      <c r="D444" s="54">
        <f>((1+Table267[[#This Row],[Monthly change]])^12)-1</f>
        <v>8.7423170820443152E-2</v>
      </c>
      <c r="E444" s="53">
        <f>(Table267[[#This Row],[M2 Money Stock, Billions of Dollars, Weekly, Seasonally Adjusted]]-B432)/B432</f>
        <v>1.9945394453226066E-2</v>
      </c>
    </row>
    <row r="445" spans="1:5" x14ac:dyDescent="0.2">
      <c r="A445" s="50">
        <v>34881</v>
      </c>
      <c r="B445" s="51">
        <v>3567.4</v>
      </c>
      <c r="C445" s="53">
        <f>(Table267[[#This Row],[M2 Money Stock, Billions of Dollars, Weekly, Seasonally Adjusted]]-B444)/B444</f>
        <v>5.2128828651131333E-3</v>
      </c>
      <c r="D445" s="54">
        <f>((1+Table267[[#This Row],[Monthly change]])^12)-1</f>
        <v>6.4379620969020168E-2</v>
      </c>
      <c r="E445" s="53">
        <f>(Table267[[#This Row],[M2 Money Stock, Billions of Dollars, Weekly, Seasonally Adjusted]]-B433)/B433</f>
        <v>2.2705120119259296E-2</v>
      </c>
    </row>
    <row r="446" spans="1:5" x14ac:dyDescent="0.2">
      <c r="A446" s="50">
        <v>34912</v>
      </c>
      <c r="B446" s="51">
        <v>3589</v>
      </c>
      <c r="C446" s="53">
        <f>(Table267[[#This Row],[M2 Money Stock, Billions of Dollars, Weekly, Seasonally Adjusted]]-B445)/B445</f>
        <v>6.0548298480685957E-3</v>
      </c>
      <c r="D446" s="54">
        <f>((1+Table267[[#This Row],[Monthly change]])^12)-1</f>
        <v>7.5127088315520618E-2</v>
      </c>
      <c r="E446" s="53">
        <f>(Table267[[#This Row],[M2 Money Stock, Billions of Dollars, Weekly, Seasonally Adjusted]]-B434)/B434</f>
        <v>2.9635367358062995E-2</v>
      </c>
    </row>
    <row r="447" spans="1:5" x14ac:dyDescent="0.2">
      <c r="A447" s="50">
        <v>34943</v>
      </c>
      <c r="B447" s="51">
        <v>3602.1</v>
      </c>
      <c r="C447" s="53">
        <f>(Table267[[#This Row],[M2 Money Stock, Billions of Dollars, Weekly, Seasonally Adjusted]]-B446)/B446</f>
        <v>3.6500417943716658E-3</v>
      </c>
      <c r="D447" s="54">
        <f>((1+Table267[[#This Row],[Monthly change]])^12)-1</f>
        <v>4.4690593380487975E-2</v>
      </c>
      <c r="E447" s="53">
        <f>(Table267[[#This Row],[M2 Money Stock, Billions of Dollars, Weekly, Seasonally Adjusted]]-B435)/B435</f>
        <v>3.3275006454203837E-2</v>
      </c>
    </row>
    <row r="448" spans="1:5" x14ac:dyDescent="0.2">
      <c r="A448" s="50">
        <v>34973</v>
      </c>
      <c r="B448" s="51">
        <v>3613.4</v>
      </c>
      <c r="C448" s="53">
        <f>(Table267[[#This Row],[M2 Money Stock, Billions of Dollars, Weekly, Seasonally Adjusted]]-B447)/B447</f>
        <v>3.1370589378418652E-3</v>
      </c>
      <c r="D448" s="54">
        <f>((1+Table267[[#This Row],[Monthly change]])^12)-1</f>
        <v>3.8301062485942339E-2</v>
      </c>
      <c r="E448" s="53">
        <f>(Table267[[#This Row],[M2 Money Stock, Billions of Dollars, Weekly, Seasonally Adjusted]]-B436)/B436</f>
        <v>3.7051918606319748E-2</v>
      </c>
    </row>
    <row r="449" spans="1:5" x14ac:dyDescent="0.2">
      <c r="A449" s="50">
        <v>35004</v>
      </c>
      <c r="B449" s="51">
        <v>3619.9</v>
      </c>
      <c r="C449" s="53">
        <f>(Table267[[#This Row],[M2 Money Stock, Billions of Dollars, Weekly, Seasonally Adjusted]]-B448)/B448</f>
        <v>1.798859799634693E-3</v>
      </c>
      <c r="D449" s="54">
        <f>((1+Table267[[#This Row],[Monthly change]])^12)-1</f>
        <v>2.1801172571261684E-2</v>
      </c>
      <c r="E449" s="53">
        <f>(Table267[[#This Row],[M2 Money Stock, Billions of Dollars, Weekly, Seasonally Adjusted]]-B437)/B437</f>
        <v>3.8053452626749334E-2</v>
      </c>
    </row>
    <row r="450" spans="1:5" x14ac:dyDescent="0.2">
      <c r="A450" s="50">
        <v>35034</v>
      </c>
      <c r="B450" s="51">
        <v>3629.5</v>
      </c>
      <c r="C450" s="53">
        <f>(Table267[[#This Row],[M2 Money Stock, Billions of Dollars, Weekly, Seasonally Adjusted]]-B449)/B449</f>
        <v>2.6520069615182489E-3</v>
      </c>
      <c r="D450" s="54">
        <f>((1+Table267[[#This Row],[Monthly change]])^12)-1</f>
        <v>3.229239885514068E-2</v>
      </c>
      <c r="E450" s="53">
        <f>(Table267[[#This Row],[M2 Money Stock, Billions of Dollars, Weekly, Seasonally Adjusted]]-B438)/B438</f>
        <v>4.1045204222120213E-2</v>
      </c>
    </row>
    <row r="451" spans="1:5" x14ac:dyDescent="0.2">
      <c r="A451" s="50">
        <v>35065</v>
      </c>
      <c r="B451" s="51">
        <v>3647.9</v>
      </c>
      <c r="C451" s="53">
        <f>(Table267[[#This Row],[M2 Money Stock, Billions of Dollars, Weekly, Seasonally Adjusted]]-B450)/B450</f>
        <v>5.0695688111310347E-3</v>
      </c>
      <c r="D451" s="54">
        <f>((1+Table267[[#This Row],[Monthly change]])^12)-1</f>
        <v>6.2560054131644005E-2</v>
      </c>
      <c r="E451" s="53">
        <f>(Table267[[#This Row],[M2 Money Stock, Billions of Dollars, Weekly, Seasonally Adjusted]]-B439)/B439</f>
        <v>4.452525483907914E-2</v>
      </c>
    </row>
    <row r="452" spans="1:5" x14ac:dyDescent="0.2">
      <c r="A452" s="50">
        <v>35096</v>
      </c>
      <c r="B452" s="51">
        <v>3661.8</v>
      </c>
      <c r="C452" s="53">
        <f>(Table267[[#This Row],[M2 Money Stock, Billions of Dollars, Weekly, Seasonally Adjusted]]-B451)/B451</f>
        <v>3.8104114696126787E-3</v>
      </c>
      <c r="D452" s="54">
        <f>((1+Table267[[#This Row],[Monthly change]])^12)-1</f>
        <v>4.6695483509491043E-2</v>
      </c>
      <c r="E452" s="53">
        <f>(Table267[[#This Row],[M2 Money Stock, Billions of Dollars, Weekly, Seasonally Adjusted]]-B440)/B440</f>
        <v>4.9256425685549755E-2</v>
      </c>
    </row>
    <row r="453" spans="1:5" x14ac:dyDescent="0.2">
      <c r="A453" s="50">
        <v>35125</v>
      </c>
      <c r="B453" s="51">
        <v>3686.9</v>
      </c>
      <c r="C453" s="53">
        <f>(Table267[[#This Row],[M2 Money Stock, Billions of Dollars, Weekly, Seasonally Adjusted]]-B452)/B452</f>
        <v>6.8545524059205601E-3</v>
      </c>
      <c r="D453" s="54">
        <f>((1+Table267[[#This Row],[Monthly change]])^12)-1</f>
        <v>8.5427589641191126E-2</v>
      </c>
      <c r="E453" s="53">
        <f>(Table267[[#This Row],[M2 Money Stock, Billions of Dollars, Weekly, Seasonally Adjusted]]-B441)/B441</f>
        <v>5.6085474492280421E-2</v>
      </c>
    </row>
    <row r="454" spans="1:5" x14ac:dyDescent="0.2">
      <c r="A454" s="50">
        <v>35156</v>
      </c>
      <c r="B454" s="51">
        <v>3697.7</v>
      </c>
      <c r="C454" s="53">
        <f>(Table267[[#This Row],[M2 Money Stock, Billions of Dollars, Weekly, Seasonally Adjusted]]-B453)/B453</f>
        <v>2.9292901895900964E-3</v>
      </c>
      <c r="D454" s="54">
        <f>((1+Table267[[#This Row],[Monthly change]])^12)-1</f>
        <v>3.5723377605581641E-2</v>
      </c>
      <c r="E454" s="53">
        <f>(Table267[[#This Row],[M2 Money Stock, Billions of Dollars, Weekly, Seasonally Adjusted]]-B442)/B442</f>
        <v>5.6727251943301332E-2</v>
      </c>
    </row>
    <row r="455" spans="1:5" x14ac:dyDescent="0.2">
      <c r="A455" s="50">
        <v>35186</v>
      </c>
      <c r="B455" s="51">
        <v>3709.6</v>
      </c>
      <c r="C455" s="53">
        <f>(Table267[[#This Row],[M2 Money Stock, Billions of Dollars, Weekly, Seasonally Adjusted]]-B454)/B454</f>
        <v>3.2182167293182498E-3</v>
      </c>
      <c r="D455" s="54">
        <f>((1+Table267[[#This Row],[Monthly change]])^12)-1</f>
        <v>3.930954354945837E-2</v>
      </c>
      <c r="E455" s="53">
        <f>(Table267[[#This Row],[M2 Money Stock, Billions of Dollars, Weekly, Seasonally Adjusted]]-B443)/B443</f>
        <v>5.2607684013393136E-2</v>
      </c>
    </row>
    <row r="456" spans="1:5" x14ac:dyDescent="0.2">
      <c r="A456" s="50">
        <v>35217</v>
      </c>
      <c r="B456" s="51">
        <v>3722.5</v>
      </c>
      <c r="C456" s="53">
        <f>(Table267[[#This Row],[M2 Money Stock, Billions of Dollars, Weekly, Seasonally Adjusted]]-B455)/B455</f>
        <v>3.4774638775070333E-3</v>
      </c>
      <c r="D456" s="54">
        <f>((1+Table267[[#This Row],[Monthly change]])^12)-1</f>
        <v>4.2537012618069525E-2</v>
      </c>
      <c r="E456" s="53">
        <f>(Table267[[#This Row],[M2 Money Stock, Billions of Dollars, Weekly, Seasonally Adjusted]]-B444)/B444</f>
        <v>4.8916565696412943E-2</v>
      </c>
    </row>
    <row r="457" spans="1:5" x14ac:dyDescent="0.2">
      <c r="A457" s="50">
        <v>35247</v>
      </c>
      <c r="B457" s="51">
        <v>3737.1</v>
      </c>
      <c r="C457" s="53">
        <f>(Table267[[#This Row],[M2 Money Stock, Billions of Dollars, Weekly, Seasonally Adjusted]]-B456)/B456</f>
        <v>3.9220953660174373E-3</v>
      </c>
      <c r="D457" s="54">
        <f>((1+Table267[[#This Row],[Monthly change]])^12)-1</f>
        <v>4.8093802424760579E-2</v>
      </c>
      <c r="E457" s="53">
        <f>(Table267[[#This Row],[M2 Money Stock, Billions of Dollars, Weekly, Seasonally Adjusted]]-B445)/B445</f>
        <v>4.75696585748724E-2</v>
      </c>
    </row>
    <row r="458" spans="1:5" x14ac:dyDescent="0.2">
      <c r="A458" s="50">
        <v>35278</v>
      </c>
      <c r="B458" s="51">
        <v>3744</v>
      </c>
      <c r="C458" s="53">
        <f>(Table267[[#This Row],[M2 Money Stock, Billions of Dollars, Weekly, Seasonally Adjusted]]-B457)/B457</f>
        <v>1.8463514489845312E-3</v>
      </c>
      <c r="D458" s="54">
        <f>((1+Table267[[#This Row],[Monthly change]])^12)-1</f>
        <v>2.2382602792068163E-2</v>
      </c>
      <c r="E458" s="53">
        <f>(Table267[[#This Row],[M2 Money Stock, Billions of Dollars, Weekly, Seasonally Adjusted]]-B446)/B446</f>
        <v>4.3187517414321537E-2</v>
      </c>
    </row>
    <row r="459" spans="1:5" x14ac:dyDescent="0.2">
      <c r="A459" s="50">
        <v>35309</v>
      </c>
      <c r="B459" s="51">
        <v>3753.4</v>
      </c>
      <c r="C459" s="53">
        <f>(Table267[[#This Row],[M2 Money Stock, Billions of Dollars, Weekly, Seasonally Adjusted]]-B458)/B458</f>
        <v>2.5106837606837852E-3</v>
      </c>
      <c r="D459" s="54">
        <f>((1+Table267[[#This Row],[Monthly change]])^12)-1</f>
        <v>3.0547739809602792E-2</v>
      </c>
      <c r="E459" s="53">
        <f>(Table267[[#This Row],[M2 Money Stock, Billions of Dollars, Weekly, Seasonally Adjusted]]-B447)/B447</f>
        <v>4.2003275866855497E-2</v>
      </c>
    </row>
    <row r="460" spans="1:5" x14ac:dyDescent="0.2">
      <c r="A460" s="50">
        <v>35339</v>
      </c>
      <c r="B460" s="51">
        <v>3772.8</v>
      </c>
      <c r="C460" s="53">
        <f>(Table267[[#This Row],[M2 Money Stock, Billions of Dollars, Weekly, Seasonally Adjusted]]-B459)/B459</f>
        <v>5.1686470933020971E-3</v>
      </c>
      <c r="D460" s="54">
        <f>((1+Table267[[#This Row],[Monthly change]])^12)-1</f>
        <v>6.3817683167229466E-2</v>
      </c>
      <c r="E460" s="53">
        <f>(Table267[[#This Row],[M2 Money Stock, Billions of Dollars, Weekly, Seasonally Adjusted]]-B448)/B448</f>
        <v>4.4113577240272345E-2</v>
      </c>
    </row>
    <row r="461" spans="1:5" x14ac:dyDescent="0.2">
      <c r="A461" s="50">
        <v>35370</v>
      </c>
      <c r="B461" s="51">
        <v>3795.1</v>
      </c>
      <c r="C461" s="53">
        <f>(Table267[[#This Row],[M2 Money Stock, Billions of Dollars, Weekly, Seasonally Adjusted]]-B460)/B460</f>
        <v>5.9107294317217252E-3</v>
      </c>
      <c r="D461" s="54">
        <f>((1+Table267[[#This Row],[Monthly change]])^12)-1</f>
        <v>7.3280617130895731E-2</v>
      </c>
      <c r="E461" s="53">
        <f>(Table267[[#This Row],[M2 Money Stock, Billions of Dollars, Weekly, Seasonally Adjusted]]-B449)/B449</f>
        <v>4.8399127047708448E-2</v>
      </c>
    </row>
    <row r="462" spans="1:5" x14ac:dyDescent="0.2">
      <c r="A462" s="50">
        <v>35400</v>
      </c>
      <c r="B462" s="51">
        <v>3818.6</v>
      </c>
      <c r="C462" s="53">
        <f>(Table267[[#This Row],[M2 Money Stock, Billions of Dollars, Weekly, Seasonally Adjusted]]-B461)/B461</f>
        <v>6.1921951990724887E-3</v>
      </c>
      <c r="D462" s="54">
        <f>((1+Table267[[#This Row],[Monthly change]])^12)-1</f>
        <v>7.6889968373574202E-2</v>
      </c>
      <c r="E462" s="53">
        <f>(Table267[[#This Row],[M2 Money Stock, Billions of Dollars, Weekly, Seasonally Adjusted]]-B450)/B450</f>
        <v>5.2100840336134428E-2</v>
      </c>
    </row>
    <row r="463" spans="1:5" x14ac:dyDescent="0.2">
      <c r="A463" s="50">
        <v>35431</v>
      </c>
      <c r="B463" s="51">
        <v>3834.6</v>
      </c>
      <c r="C463" s="53">
        <f>(Table267[[#This Row],[M2 Money Stock, Billions of Dollars, Weekly, Seasonally Adjusted]]-B462)/B462</f>
        <v>4.1900172838212962E-3</v>
      </c>
      <c r="D463" s="54">
        <f>((1+Table267[[#This Row],[Monthly change]])^12)-1</f>
        <v>5.145525657606953E-2</v>
      </c>
      <c r="E463" s="53">
        <f>(Table267[[#This Row],[M2 Money Stock, Billions of Dollars, Weekly, Seasonally Adjusted]]-B451)/B451</f>
        <v>5.1180131034293655E-2</v>
      </c>
    </row>
    <row r="464" spans="1:5" x14ac:dyDescent="0.2">
      <c r="A464" s="50">
        <v>35462</v>
      </c>
      <c r="B464" s="51">
        <v>3846.3</v>
      </c>
      <c r="C464" s="53">
        <f>(Table267[[#This Row],[M2 Money Stock, Billions of Dollars, Weekly, Seasonally Adjusted]]-B463)/B463</f>
        <v>3.0511657017681828E-3</v>
      </c>
      <c r="D464" s="54">
        <f>((1+Table267[[#This Row],[Monthly change]])^12)-1</f>
        <v>3.723471507095133E-2</v>
      </c>
      <c r="E464" s="53">
        <f>(Table267[[#This Row],[M2 Money Stock, Billions of Dollars, Weekly, Seasonally Adjusted]]-B452)/B452</f>
        <v>5.0385056529575617E-2</v>
      </c>
    </row>
    <row r="465" spans="1:5" x14ac:dyDescent="0.2">
      <c r="A465" s="50">
        <v>35490</v>
      </c>
      <c r="B465" s="51">
        <v>3861.2</v>
      </c>
      <c r="C465" s="53">
        <f>(Table267[[#This Row],[M2 Money Stock, Billions of Dollars, Weekly, Seasonally Adjusted]]-B464)/B464</f>
        <v>3.8738527935937486E-3</v>
      </c>
      <c r="D465" s="54">
        <f>((1+Table267[[#This Row],[Monthly change]])^12)-1</f>
        <v>4.7489579687531869E-2</v>
      </c>
      <c r="E465" s="53">
        <f>(Table267[[#This Row],[M2 Money Stock, Billions of Dollars, Weekly, Seasonally Adjusted]]-B453)/B453</f>
        <v>4.7275488893107953E-2</v>
      </c>
    </row>
    <row r="466" spans="1:5" x14ac:dyDescent="0.2">
      <c r="A466" s="50">
        <v>35521</v>
      </c>
      <c r="B466" s="51">
        <v>3877</v>
      </c>
      <c r="C466" s="53">
        <f>(Table267[[#This Row],[M2 Money Stock, Billions of Dollars, Weekly, Seasonally Adjusted]]-B465)/B465</f>
        <v>4.0919921268000063E-3</v>
      </c>
      <c r="D466" s="54">
        <f>((1+Table267[[#This Row],[Monthly change]])^12)-1</f>
        <v>5.0224249540797627E-2</v>
      </c>
      <c r="E466" s="53">
        <f>(Table267[[#This Row],[M2 Money Stock, Billions of Dollars, Weekly, Seasonally Adjusted]]-B454)/B454</f>
        <v>4.8489601644265405E-2</v>
      </c>
    </row>
    <row r="467" spans="1:5" x14ac:dyDescent="0.2">
      <c r="A467" s="50">
        <v>35551</v>
      </c>
      <c r="B467" s="51">
        <v>3889.2</v>
      </c>
      <c r="C467" s="53">
        <f>(Table267[[#This Row],[M2 Money Stock, Billions of Dollars, Weekly, Seasonally Adjusted]]-B466)/B466</f>
        <v>3.1467629610523132E-3</v>
      </c>
      <c r="D467" s="54">
        <f>((1+Table267[[#This Row],[Monthly change]])^12)-1</f>
        <v>3.8421599159773612E-2</v>
      </c>
      <c r="E467" s="53">
        <f>(Table267[[#This Row],[M2 Money Stock, Billions of Dollars, Weekly, Seasonally Adjusted]]-B455)/B455</f>
        <v>4.8414923441880503E-2</v>
      </c>
    </row>
    <row r="468" spans="1:5" x14ac:dyDescent="0.2">
      <c r="A468" s="50">
        <v>35582</v>
      </c>
      <c r="B468" s="51">
        <v>3906</v>
      </c>
      <c r="C468" s="53">
        <f>(Table267[[#This Row],[M2 Money Stock, Billions of Dollars, Weekly, Seasonally Adjusted]]-B467)/B467</f>
        <v>4.3196544276458354E-3</v>
      </c>
      <c r="D468" s="54">
        <f>((1+Table267[[#This Row],[Monthly change]])^12)-1</f>
        <v>5.3085280512463529E-2</v>
      </c>
      <c r="E468" s="53">
        <f>(Table267[[#This Row],[M2 Money Stock, Billions of Dollars, Weekly, Seasonally Adjusted]]-B456)/B456</f>
        <v>4.9294828744123574E-2</v>
      </c>
    </row>
    <row r="469" spans="1:5" x14ac:dyDescent="0.2">
      <c r="A469" s="50">
        <v>35612</v>
      </c>
      <c r="B469" s="51">
        <v>3923.9</v>
      </c>
      <c r="C469" s="53">
        <f>(Table267[[#This Row],[M2 Money Stock, Billions of Dollars, Weekly, Seasonally Adjusted]]-B468)/B468</f>
        <v>4.5826932923707349E-3</v>
      </c>
      <c r="D469" s="54">
        <f>((1+Table267[[#This Row],[Monthly change]])^12)-1</f>
        <v>5.6399783700460171E-2</v>
      </c>
      <c r="E469" s="53">
        <f>(Table267[[#This Row],[M2 Money Stock, Billions of Dollars, Weekly, Seasonally Adjusted]]-B457)/B457</f>
        <v>4.9985282705841474E-2</v>
      </c>
    </row>
    <row r="470" spans="1:5" x14ac:dyDescent="0.2">
      <c r="A470" s="50">
        <v>35643</v>
      </c>
      <c r="B470" s="51">
        <v>3957.4</v>
      </c>
      <c r="C470" s="53">
        <f>(Table267[[#This Row],[M2 Money Stock, Billions of Dollars, Weekly, Seasonally Adjusted]]-B469)/B469</f>
        <v>8.5374245011340753E-3</v>
      </c>
      <c r="D470" s="54">
        <f>((1+Table267[[#This Row],[Monthly change]])^12)-1</f>
        <v>0.10739924272092294</v>
      </c>
      <c r="E470" s="53">
        <f>(Table267[[#This Row],[M2 Money Stock, Billions of Dollars, Weekly, Seasonally Adjusted]]-B458)/B458</f>
        <v>5.6997863247863274E-2</v>
      </c>
    </row>
    <row r="471" spans="1:5" x14ac:dyDescent="0.2">
      <c r="A471" s="50">
        <v>35674</v>
      </c>
      <c r="B471" s="51">
        <v>3973.1</v>
      </c>
      <c r="C471" s="53">
        <f>(Table267[[#This Row],[M2 Money Stock, Billions of Dollars, Weekly, Seasonally Adjusted]]-B470)/B470</f>
        <v>3.9672512255520837E-3</v>
      </c>
      <c r="D471" s="54">
        <f>((1+Table267[[#This Row],[Monthly change]])^12)-1</f>
        <v>4.8659654536837404E-2</v>
      </c>
      <c r="E471" s="53">
        <f>(Table267[[#This Row],[M2 Money Stock, Billions of Dollars, Weekly, Seasonally Adjusted]]-B459)/B459</f>
        <v>5.8533596206106417E-2</v>
      </c>
    </row>
    <row r="472" spans="1:5" x14ac:dyDescent="0.2">
      <c r="A472" s="50">
        <v>35704</v>
      </c>
      <c r="B472" s="51">
        <v>3992.3</v>
      </c>
      <c r="C472" s="53">
        <f>(Table267[[#This Row],[M2 Money Stock, Billions of Dollars, Weekly, Seasonally Adjusted]]-B471)/B471</f>
        <v>4.8324985527674292E-3</v>
      </c>
      <c r="D472" s="54">
        <f>((1+Table267[[#This Row],[Monthly change]])^12)-1</f>
        <v>5.955638325656043E-2</v>
      </c>
      <c r="E472" s="53">
        <f>(Table267[[#This Row],[M2 Money Stock, Billions of Dollars, Weekly, Seasonally Adjusted]]-B460)/B460</f>
        <v>5.8179601357082271E-2</v>
      </c>
    </row>
    <row r="473" spans="1:5" x14ac:dyDescent="0.2">
      <c r="A473" s="50">
        <v>35735</v>
      </c>
      <c r="B473" s="51">
        <v>4014.8</v>
      </c>
      <c r="C473" s="53">
        <f>(Table267[[#This Row],[M2 Money Stock, Billions of Dollars, Weekly, Seasonally Adjusted]]-B472)/B472</f>
        <v>5.6358490093429848E-3</v>
      </c>
      <c r="D473" s="54">
        <f>((1+Table267[[#This Row],[Monthly change]])^12)-1</f>
        <v>6.9766418714456657E-2</v>
      </c>
      <c r="E473" s="53">
        <f>(Table267[[#This Row],[M2 Money Stock, Billions of Dollars, Weekly, Seasonally Adjusted]]-B461)/B461</f>
        <v>5.7890437669626697E-2</v>
      </c>
    </row>
    <row r="474" spans="1:5" x14ac:dyDescent="0.2">
      <c r="A474" s="50">
        <v>35765</v>
      </c>
      <c r="B474" s="51">
        <v>4032.9</v>
      </c>
      <c r="C474" s="53">
        <f>(Table267[[#This Row],[M2 Money Stock, Billions of Dollars, Weekly, Seasonally Adjusted]]-B473)/B473</f>
        <v>4.5083192188900834E-3</v>
      </c>
      <c r="D474" s="54">
        <f>((1+Table267[[#This Row],[Monthly change]])^12)-1</f>
        <v>5.5461641671494366E-2</v>
      </c>
      <c r="E474" s="53">
        <f>(Table267[[#This Row],[M2 Money Stock, Billions of Dollars, Weekly, Seasonally Adjusted]]-B462)/B462</f>
        <v>5.6120043995181529E-2</v>
      </c>
    </row>
    <row r="475" spans="1:5" x14ac:dyDescent="0.2">
      <c r="A475" s="50">
        <v>35796</v>
      </c>
      <c r="B475" s="51">
        <v>4056.2</v>
      </c>
      <c r="C475" s="53">
        <f>(Table267[[#This Row],[M2 Money Stock, Billions of Dollars, Weekly, Seasonally Adjusted]]-B474)/B474</f>
        <v>5.7774802251480883E-3</v>
      </c>
      <c r="D475" s="54">
        <f>((1+Table267[[#This Row],[Monthly change]])^12)-1</f>
        <v>7.1575778269131085E-2</v>
      </c>
      <c r="E475" s="53">
        <f>(Table267[[#This Row],[M2 Money Stock, Billions of Dollars, Weekly, Seasonally Adjusted]]-B463)/B463</f>
        <v>5.7789599958274637E-2</v>
      </c>
    </row>
    <row r="476" spans="1:5" x14ac:dyDescent="0.2">
      <c r="A476" s="50">
        <v>35827</v>
      </c>
      <c r="B476" s="51">
        <v>4088.9</v>
      </c>
      <c r="C476" s="53">
        <f>(Table267[[#This Row],[M2 Money Stock, Billions of Dollars, Weekly, Seasonally Adjusted]]-B475)/B475</f>
        <v>8.0617326561807298E-3</v>
      </c>
      <c r="D476" s="54">
        <f>((1+Table267[[#This Row],[Monthly change]])^12)-1</f>
        <v>0.10114761889545565</v>
      </c>
      <c r="E476" s="53">
        <f>(Table267[[#This Row],[M2 Money Stock, Billions of Dollars, Weekly, Seasonally Adjusted]]-B464)/B464</f>
        <v>6.3073603203078255E-2</v>
      </c>
    </row>
    <row r="477" spans="1:5" x14ac:dyDescent="0.2">
      <c r="A477" s="50">
        <v>35855</v>
      </c>
      <c r="B477" s="51">
        <v>4114.3</v>
      </c>
      <c r="C477" s="53">
        <f>(Table267[[#This Row],[M2 Money Stock, Billions of Dollars, Weekly, Seasonally Adjusted]]-B476)/B476</f>
        <v>6.2119396414683876E-3</v>
      </c>
      <c r="D477" s="54">
        <f>((1+Table267[[#This Row],[Monthly change]])^12)-1</f>
        <v>7.714357662442084E-2</v>
      </c>
      <c r="E477" s="53">
        <f>(Table267[[#This Row],[M2 Money Stock, Billions of Dollars, Weekly, Seasonally Adjusted]]-B465)/B465</f>
        <v>6.5549570081839939E-2</v>
      </c>
    </row>
    <row r="478" spans="1:5" x14ac:dyDescent="0.2">
      <c r="A478" s="50">
        <v>35886</v>
      </c>
      <c r="B478" s="51">
        <v>4140.2</v>
      </c>
      <c r="C478" s="53">
        <f>(Table267[[#This Row],[M2 Money Stock, Billions of Dollars, Weekly, Seasonally Adjusted]]-B477)/B477</f>
        <v>6.2951170308435545E-3</v>
      </c>
      <c r="D478" s="54">
        <f>((1+Table267[[#This Row],[Monthly change]])^12)-1</f>
        <v>7.8212553038775168E-2</v>
      </c>
      <c r="E478" s="53">
        <f>(Table267[[#This Row],[M2 Money Stock, Billions of Dollars, Weekly, Seasonally Adjusted]]-B466)/B466</f>
        <v>6.7887541913850866E-2</v>
      </c>
    </row>
    <row r="479" spans="1:5" x14ac:dyDescent="0.2">
      <c r="A479" s="50">
        <v>35916</v>
      </c>
      <c r="B479" s="51">
        <v>4164.3999999999996</v>
      </c>
      <c r="C479" s="53">
        <f>(Table267[[#This Row],[M2 Money Stock, Billions of Dollars, Weekly, Seasonally Adjusted]]-B478)/B478</f>
        <v>5.8451282546736439E-3</v>
      </c>
      <c r="D479" s="54">
        <f>((1+Table267[[#This Row],[Monthly change]])^12)-1</f>
        <v>7.2440981318408593E-2</v>
      </c>
      <c r="E479" s="53">
        <f>(Table267[[#This Row],[M2 Money Stock, Billions of Dollars, Weekly, Seasonally Adjusted]]-B467)/B467</f>
        <v>7.0760053481435728E-2</v>
      </c>
    </row>
    <row r="480" spans="1:5" x14ac:dyDescent="0.2">
      <c r="A480" s="50">
        <v>35947</v>
      </c>
      <c r="B480" s="51">
        <v>4184.1000000000004</v>
      </c>
      <c r="C480" s="53">
        <f>(Table267[[#This Row],[M2 Money Stock, Billions of Dollars, Weekly, Seasonally Adjusted]]-B479)/B479</f>
        <v>4.7305734319471543E-3</v>
      </c>
      <c r="D480" s="54">
        <f>((1+Table267[[#This Row],[Monthly change]])^12)-1</f>
        <v>5.8267390118596829E-2</v>
      </c>
      <c r="E480" s="53">
        <f>(Table267[[#This Row],[M2 Money Stock, Billions of Dollars, Weekly, Seasonally Adjusted]]-B468)/B468</f>
        <v>7.1198156682027738E-2</v>
      </c>
    </row>
    <row r="481" spans="1:5" x14ac:dyDescent="0.2">
      <c r="A481" s="50">
        <v>35977</v>
      </c>
      <c r="B481" s="51">
        <v>4203.8</v>
      </c>
      <c r="C481" s="53">
        <f>(Table267[[#This Row],[M2 Money Stock, Billions of Dollars, Weekly, Seasonally Adjusted]]-B480)/B480</f>
        <v>4.7083004708300029E-3</v>
      </c>
      <c r="D481" s="54">
        <f>((1+Table267[[#This Row],[Monthly change]])^12)-1</f>
        <v>5.7985907196723474E-2</v>
      </c>
      <c r="E481" s="53">
        <f>(Table267[[#This Row],[M2 Money Stock, Billions of Dollars, Weekly, Seasonally Adjusted]]-B469)/B469</f>
        <v>7.1332093070669511E-2</v>
      </c>
    </row>
    <row r="482" spans="1:5" x14ac:dyDescent="0.2">
      <c r="A482" s="50">
        <v>36008</v>
      </c>
      <c r="B482" s="51">
        <v>4228.7</v>
      </c>
      <c r="C482" s="53">
        <f>(Table267[[#This Row],[M2 Money Stock, Billions of Dollars, Weekly, Seasonally Adjusted]]-B481)/B481</f>
        <v>5.9232123316998037E-3</v>
      </c>
      <c r="D482" s="54">
        <f>((1+Table267[[#This Row],[Monthly change]])^12)-1</f>
        <v>7.3440455199961008E-2</v>
      </c>
      <c r="E482" s="53">
        <f>(Table267[[#This Row],[M2 Money Stock, Billions of Dollars, Weekly, Seasonally Adjusted]]-B470)/B470</f>
        <v>6.8555111942184194E-2</v>
      </c>
    </row>
    <row r="483" spans="1:5" x14ac:dyDescent="0.2">
      <c r="A483" s="50">
        <v>36039</v>
      </c>
      <c r="B483" s="51">
        <v>4267.6000000000004</v>
      </c>
      <c r="C483" s="53">
        <f>(Table267[[#This Row],[M2 Money Stock, Billions of Dollars, Weekly, Seasonally Adjusted]]-B482)/B482</f>
        <v>9.1990446236433297E-3</v>
      </c>
      <c r="D483" s="54">
        <f>((1+Table267[[#This Row],[Monthly change]])^12)-1</f>
        <v>0.11614847073974222</v>
      </c>
      <c r="E483" s="53">
        <f>(Table267[[#This Row],[M2 Money Stock, Billions of Dollars, Weekly, Seasonally Adjusted]]-B471)/B471</f>
        <v>7.4123480405728637E-2</v>
      </c>
    </row>
    <row r="484" spans="1:5" x14ac:dyDescent="0.2">
      <c r="A484" s="50">
        <v>36069</v>
      </c>
      <c r="B484" s="51">
        <v>4307.7</v>
      </c>
      <c r="C484" s="53">
        <f>(Table267[[#This Row],[M2 Money Stock, Billions of Dollars, Weekly, Seasonally Adjusted]]-B483)/B483</f>
        <v>9.3963820414283087E-3</v>
      </c>
      <c r="D484" s="54">
        <f>((1+Table267[[#This Row],[Monthly change]])^12)-1</f>
        <v>0.11877029118399252</v>
      </c>
      <c r="E484" s="53">
        <f>(Table267[[#This Row],[M2 Money Stock, Billions of Dollars, Weekly, Seasonally Adjusted]]-B472)/B472</f>
        <v>7.9002079002078909E-2</v>
      </c>
    </row>
    <row r="485" spans="1:5" x14ac:dyDescent="0.2">
      <c r="A485" s="50">
        <v>36100</v>
      </c>
      <c r="B485" s="51">
        <v>4346.3999999999996</v>
      </c>
      <c r="C485" s="53">
        <f>(Table267[[#This Row],[M2 Money Stock, Billions of Dollars, Weekly, Seasonally Adjusted]]-B484)/B484</f>
        <v>8.9839125287275862E-3</v>
      </c>
      <c r="D485" s="54">
        <f>((1+Table267[[#This Row],[Monthly change]])^12)-1</f>
        <v>0.11329664838638842</v>
      </c>
      <c r="E485" s="53">
        <f>(Table267[[#This Row],[M2 Money Stock, Billions of Dollars, Weekly, Seasonally Adjusted]]-B473)/B473</f>
        <v>8.2594400717345681E-2</v>
      </c>
    </row>
    <row r="486" spans="1:5" x14ac:dyDescent="0.2">
      <c r="A486" s="50">
        <v>36130</v>
      </c>
      <c r="B486" s="51">
        <v>4375.2</v>
      </c>
      <c r="C486" s="53">
        <f>(Table267[[#This Row],[M2 Money Stock, Billions of Dollars, Weekly, Seasonally Adjusted]]-B485)/B485</f>
        <v>6.6261733848702797E-3</v>
      </c>
      <c r="D486" s="54">
        <f>((1+Table267[[#This Row],[Monthly change]])^12)-1</f>
        <v>8.2476857099379242E-2</v>
      </c>
      <c r="E486" s="53">
        <f>(Table267[[#This Row],[M2 Money Stock, Billions of Dollars, Weekly, Seasonally Adjusted]]-B474)/B474</f>
        <v>8.4876887599494091E-2</v>
      </c>
    </row>
    <row r="487" spans="1:5" x14ac:dyDescent="0.2">
      <c r="A487" s="50">
        <v>36161</v>
      </c>
      <c r="B487" s="51">
        <v>4402.6000000000004</v>
      </c>
      <c r="C487" s="53">
        <f>(Table267[[#This Row],[M2 Money Stock, Billions of Dollars, Weekly, Seasonally Adjusted]]-B486)/B486</f>
        <v>6.2625708539039461E-3</v>
      </c>
      <c r="D487" s="54">
        <f>((1+Table267[[#This Row],[Monthly change]])^12)-1</f>
        <v>7.7794161403738515E-2</v>
      </c>
      <c r="E487" s="53">
        <f>(Table267[[#This Row],[M2 Money Stock, Billions of Dollars, Weekly, Seasonally Adjusted]]-B475)/B475</f>
        <v>8.5400128198806907E-2</v>
      </c>
    </row>
    <row r="488" spans="1:5" x14ac:dyDescent="0.2">
      <c r="A488" s="50">
        <v>36192</v>
      </c>
      <c r="B488" s="51">
        <v>4425.3</v>
      </c>
      <c r="C488" s="53">
        <f>(Table267[[#This Row],[M2 Money Stock, Billions of Dollars, Weekly, Seasonally Adjusted]]-B487)/B487</f>
        <v>5.1560441557261198E-3</v>
      </c>
      <c r="D488" s="54">
        <f>((1+Table267[[#This Row],[Monthly change]])^12)-1</f>
        <v>6.36576347609632E-2</v>
      </c>
      <c r="E488" s="53">
        <f>(Table267[[#This Row],[M2 Money Stock, Billions of Dollars, Weekly, Seasonally Adjusted]]-B476)/B476</f>
        <v>8.2271515566533809E-2</v>
      </c>
    </row>
    <row r="489" spans="1:5" x14ac:dyDescent="0.2">
      <c r="A489" s="50">
        <v>36220</v>
      </c>
      <c r="B489" s="51">
        <v>4432.1000000000004</v>
      </c>
      <c r="C489" s="53">
        <f>(Table267[[#This Row],[M2 Money Stock, Billions of Dollars, Weekly, Seasonally Adjusted]]-B488)/B488</f>
        <v>1.5366189862834568E-3</v>
      </c>
      <c r="D489" s="54">
        <f>((1+Table267[[#This Row],[Monthly change]])^12)-1</f>
        <v>1.8596067881484046E-2</v>
      </c>
      <c r="E489" s="53">
        <f>(Table267[[#This Row],[M2 Money Stock, Billions of Dollars, Weekly, Seasonally Adjusted]]-B477)/B477</f>
        <v>7.7242787351432848E-2</v>
      </c>
    </row>
    <row r="490" spans="1:5" x14ac:dyDescent="0.2">
      <c r="A490" s="50">
        <v>36251</v>
      </c>
      <c r="B490" s="51">
        <v>4460.7</v>
      </c>
      <c r="C490" s="53">
        <f>(Table267[[#This Row],[M2 Money Stock, Billions of Dollars, Weekly, Seasonally Adjusted]]-B489)/B489</f>
        <v>6.4529229936146418E-3</v>
      </c>
      <c r="D490" s="54">
        <f>((1+Table267[[#This Row],[Monthly change]])^12)-1</f>
        <v>8.0243311579260235E-2</v>
      </c>
      <c r="E490" s="53">
        <f>(Table267[[#This Row],[M2 Money Stock, Billions of Dollars, Weekly, Seasonally Adjusted]]-B478)/B478</f>
        <v>7.7411719240616406E-2</v>
      </c>
    </row>
    <row r="491" spans="1:5" x14ac:dyDescent="0.2">
      <c r="A491" s="50">
        <v>36281</v>
      </c>
      <c r="B491" s="51">
        <v>4485.3</v>
      </c>
      <c r="C491" s="53">
        <f>(Table267[[#This Row],[M2 Money Stock, Billions of Dollars, Weekly, Seasonally Adjusted]]-B490)/B490</f>
        <v>5.5148295110633676E-3</v>
      </c>
      <c r="D491" s="54">
        <f>((1+Table267[[#This Row],[Monthly change]])^12)-1</f>
        <v>6.8222596169400518E-2</v>
      </c>
      <c r="E491" s="53">
        <f>(Table267[[#This Row],[M2 Money Stock, Billions of Dollars, Weekly, Seasonally Adjusted]]-B479)/B479</f>
        <v>7.70579195082126E-2</v>
      </c>
    </row>
    <row r="492" spans="1:5" x14ac:dyDescent="0.2">
      <c r="A492" s="50">
        <v>36312</v>
      </c>
      <c r="B492" s="51">
        <v>4507.2</v>
      </c>
      <c r="C492" s="53">
        <f>(Table267[[#This Row],[M2 Money Stock, Billions of Dollars, Weekly, Seasonally Adjusted]]-B491)/B491</f>
        <v>4.8826165473880535E-3</v>
      </c>
      <c r="D492" s="54">
        <f>((1+Table267[[#This Row],[Monthly change]])^12)-1</f>
        <v>6.0190726723299726E-2</v>
      </c>
      <c r="E492" s="53">
        <f>(Table267[[#This Row],[M2 Money Stock, Billions of Dollars, Weekly, Seasonally Adjusted]]-B480)/B480</f>
        <v>7.7220907722090629E-2</v>
      </c>
    </row>
    <row r="493" spans="1:5" x14ac:dyDescent="0.2">
      <c r="A493" s="50">
        <v>36342</v>
      </c>
      <c r="B493" s="51">
        <v>4534.5</v>
      </c>
      <c r="C493" s="53">
        <f>(Table267[[#This Row],[M2 Money Stock, Billions of Dollars, Weekly, Seasonally Adjusted]]-B492)/B492</f>
        <v>6.0569755058573352E-3</v>
      </c>
      <c r="D493" s="54">
        <f>((1+Table267[[#This Row],[Monthly change]])^12)-1</f>
        <v>7.5154604293405702E-2</v>
      </c>
      <c r="E493" s="53">
        <f>(Table267[[#This Row],[M2 Money Stock, Billions of Dollars, Weekly, Seasonally Adjusted]]-B481)/B481</f>
        <v>7.8666920405347493E-2</v>
      </c>
    </row>
    <row r="494" spans="1:5" x14ac:dyDescent="0.2">
      <c r="A494" s="50">
        <v>36373</v>
      </c>
      <c r="B494" s="51">
        <v>4551.7</v>
      </c>
      <c r="C494" s="53">
        <f>(Table267[[#This Row],[M2 Money Stock, Billions of Dollars, Weekly, Seasonally Adjusted]]-B493)/B493</f>
        <v>3.7931414709449374E-3</v>
      </c>
      <c r="D494" s="54">
        <f>((1+Table267[[#This Row],[Monthly change]])^12)-1</f>
        <v>4.6479410206897054E-2</v>
      </c>
      <c r="E494" s="53">
        <f>(Table267[[#This Row],[M2 Money Stock, Billions of Dollars, Weekly, Seasonally Adjusted]]-B482)/B482</f>
        <v>7.638281268474946E-2</v>
      </c>
    </row>
    <row r="495" spans="1:5" x14ac:dyDescent="0.2">
      <c r="A495" s="50">
        <v>36404</v>
      </c>
      <c r="B495" s="51">
        <v>4567.7</v>
      </c>
      <c r="C495" s="53">
        <f>(Table267[[#This Row],[M2 Money Stock, Billions of Dollars, Weekly, Seasonally Adjusted]]-B494)/B494</f>
        <v>3.5151701562053739E-3</v>
      </c>
      <c r="D495" s="54">
        <f>((1+Table267[[#This Row],[Monthly change]])^12)-1</f>
        <v>4.3007197362522342E-2</v>
      </c>
      <c r="E495" s="53">
        <f>(Table267[[#This Row],[M2 Money Stock, Billions of Dollars, Weekly, Seasonally Adjusted]]-B483)/B483</f>
        <v>7.032055487862017E-2</v>
      </c>
    </row>
    <row r="496" spans="1:5" x14ac:dyDescent="0.2">
      <c r="A496" s="50">
        <v>36434</v>
      </c>
      <c r="B496" s="51">
        <v>4591.5</v>
      </c>
      <c r="C496" s="53">
        <f>(Table267[[#This Row],[M2 Money Stock, Billions of Dollars, Weekly, Seasonally Adjusted]]-B495)/B495</f>
        <v>5.2104998139107612E-3</v>
      </c>
      <c r="D496" s="54">
        <f>((1+Table267[[#This Row],[Monthly change]])^12)-1</f>
        <v>6.4349341555299144E-2</v>
      </c>
      <c r="E496" s="53">
        <f>(Table267[[#This Row],[M2 Money Stock, Billions of Dollars, Weekly, Seasonally Adjusted]]-B484)/B484</f>
        <v>6.5882025210669312E-2</v>
      </c>
    </row>
    <row r="497" spans="1:5" x14ac:dyDescent="0.2">
      <c r="A497" s="50">
        <v>36465</v>
      </c>
      <c r="B497" s="51">
        <v>4610.5</v>
      </c>
      <c r="C497" s="53">
        <f>(Table267[[#This Row],[M2 Money Stock, Billions of Dollars, Weekly, Seasonally Adjusted]]-B496)/B496</f>
        <v>4.138081237068496E-3</v>
      </c>
      <c r="D497" s="54">
        <f>((1+Table267[[#This Row],[Monthly change]])^12)-1</f>
        <v>5.0802875285047788E-2</v>
      </c>
      <c r="E497" s="53">
        <f>(Table267[[#This Row],[M2 Money Stock, Billions of Dollars, Weekly, Seasonally Adjusted]]-B485)/B485</f>
        <v>6.0762930241119173E-2</v>
      </c>
    </row>
    <row r="498" spans="1:5" x14ac:dyDescent="0.2">
      <c r="A498" s="50">
        <v>36495</v>
      </c>
      <c r="B498" s="51">
        <v>4638</v>
      </c>
      <c r="C498" s="53">
        <f>(Table267[[#This Row],[M2 Money Stock, Billions of Dollars, Weekly, Seasonally Adjusted]]-B497)/B497</f>
        <v>5.9646459169287493E-3</v>
      </c>
      <c r="D498" s="54">
        <f>((1+Table267[[#This Row],[Monthly change]])^12)-1</f>
        <v>7.397115054438208E-2</v>
      </c>
      <c r="E498" s="53">
        <f>(Table267[[#This Row],[M2 Money Stock, Billions of Dollars, Weekly, Seasonally Adjusted]]-B486)/B486</f>
        <v>6.0065825562260054E-2</v>
      </c>
    </row>
    <row r="499" spans="1:5" x14ac:dyDescent="0.2">
      <c r="A499" s="50">
        <v>36526</v>
      </c>
      <c r="B499" s="51">
        <v>4666.2</v>
      </c>
      <c r="C499" s="53">
        <f>(Table267[[#This Row],[M2 Money Stock, Billions of Dollars, Weekly, Seasonally Adjusted]]-B498)/B498</f>
        <v>6.0802069857696893E-3</v>
      </c>
      <c r="D499" s="54">
        <f>((1+Table267[[#This Row],[Monthly change]])^12)-1</f>
        <v>7.5452566802596044E-2</v>
      </c>
      <c r="E499" s="53">
        <f>(Table267[[#This Row],[M2 Money Stock, Billions of Dollars, Weekly, Seasonally Adjusted]]-B487)/B487</f>
        <v>5.9873710988960938E-2</v>
      </c>
    </row>
    <row r="500" spans="1:5" x14ac:dyDescent="0.2">
      <c r="A500" s="50">
        <v>36557</v>
      </c>
      <c r="B500" s="51">
        <v>4679.3999999999996</v>
      </c>
      <c r="C500" s="53">
        <f>(Table267[[#This Row],[M2 Money Stock, Billions of Dollars, Weekly, Seasonally Adjusted]]-B499)/B499</f>
        <v>2.8288543140027899E-3</v>
      </c>
      <c r="D500" s="54">
        <f>((1+Table267[[#This Row],[Monthly change]])^12)-1</f>
        <v>3.4479423402935971E-2</v>
      </c>
      <c r="E500" s="53">
        <f>(Table267[[#This Row],[M2 Money Stock, Billions of Dollars, Weekly, Seasonally Adjusted]]-B488)/B488</f>
        <v>5.7419835943325753E-2</v>
      </c>
    </row>
    <row r="501" spans="1:5" x14ac:dyDescent="0.2">
      <c r="A501" s="50">
        <v>36586</v>
      </c>
      <c r="B501" s="51">
        <v>4710.2</v>
      </c>
      <c r="C501" s="53">
        <f>(Table267[[#This Row],[M2 Money Stock, Billions of Dollars, Weekly, Seasonally Adjusted]]-B500)/B500</f>
        <v>6.5820404325341248E-3</v>
      </c>
      <c r="D501" s="54">
        <f>((1+Table267[[#This Row],[Monthly change]])^12)-1</f>
        <v>8.1907493224189887E-2</v>
      </c>
      <c r="E501" s="53">
        <f>(Table267[[#This Row],[M2 Money Stock, Billions of Dollars, Weekly, Seasonally Adjusted]]-B489)/B489</f>
        <v>6.2746779179170015E-2</v>
      </c>
    </row>
    <row r="502" spans="1:5" x14ac:dyDescent="0.2">
      <c r="A502" s="50">
        <v>36617</v>
      </c>
      <c r="B502" s="51">
        <v>4766.1000000000004</v>
      </c>
      <c r="C502" s="53">
        <f>(Table267[[#This Row],[M2 Money Stock, Billions of Dollars, Weekly, Seasonally Adjusted]]-B501)/B501</f>
        <v>1.186786123731488E-2</v>
      </c>
      <c r="D502" s="54">
        <f>((1+Table267[[#This Row],[Monthly change]])^12)-1</f>
        <v>0.1520879274605218</v>
      </c>
      <c r="E502" s="53">
        <f>(Table267[[#This Row],[M2 Money Stock, Billions of Dollars, Weekly, Seasonally Adjusted]]-B490)/B490</f>
        <v>6.8464590759297991E-2</v>
      </c>
    </row>
    <row r="503" spans="1:5" x14ac:dyDescent="0.2">
      <c r="A503" s="50">
        <v>36647</v>
      </c>
      <c r="B503" s="51">
        <v>4753.8999999999996</v>
      </c>
      <c r="C503" s="53">
        <f>(Table267[[#This Row],[M2 Money Stock, Billions of Dollars, Weekly, Seasonally Adjusted]]-B502)/B502</f>
        <v>-2.5597448647742865E-3</v>
      </c>
      <c r="D503" s="54">
        <f>((1+Table267[[#This Row],[Monthly change]])^12)-1</f>
        <v>-3.0288155707529185E-2</v>
      </c>
      <c r="E503" s="53">
        <f>(Table267[[#This Row],[M2 Money Stock, Billions of Dollars, Weekly, Seasonally Adjusted]]-B491)/B491</f>
        <v>5.9884511626869877E-2</v>
      </c>
    </row>
    <row r="504" spans="1:5" x14ac:dyDescent="0.2">
      <c r="A504" s="50">
        <v>36678</v>
      </c>
      <c r="B504" s="51">
        <v>4771.8</v>
      </c>
      <c r="C504" s="53">
        <f>(Table267[[#This Row],[M2 Money Stock, Billions of Dollars, Weekly, Seasonally Adjusted]]-B503)/B503</f>
        <v>3.7653295189214219E-3</v>
      </c>
      <c r="D504" s="54">
        <f>((1+Table267[[#This Row],[Monthly change]])^12)-1</f>
        <v>4.6131527371254588E-2</v>
      </c>
      <c r="E504" s="53">
        <f>(Table267[[#This Row],[M2 Money Stock, Billions of Dollars, Weekly, Seasonally Adjusted]]-B492)/B492</f>
        <v>5.8706070287540019E-2</v>
      </c>
    </row>
    <row r="505" spans="1:5" x14ac:dyDescent="0.2">
      <c r="A505" s="50">
        <v>36708</v>
      </c>
      <c r="B505" s="51">
        <v>4789.3999999999996</v>
      </c>
      <c r="C505" s="53">
        <f>(Table267[[#This Row],[M2 Money Stock, Billions of Dollars, Weekly, Seasonally Adjusted]]-B504)/B504</f>
        <v>3.6883356385429928E-3</v>
      </c>
      <c r="D505" s="54">
        <f>((1+Table267[[#This Row],[Monthly change]])^12)-1</f>
        <v>4.51690105174678E-2</v>
      </c>
      <c r="E505" s="53">
        <f>(Table267[[#This Row],[M2 Money Stock, Billions of Dollars, Weekly, Seasonally Adjusted]]-B493)/B493</f>
        <v>5.6213474473481011E-2</v>
      </c>
    </row>
    <row r="506" spans="1:5" x14ac:dyDescent="0.2">
      <c r="A506" s="50">
        <v>36739</v>
      </c>
      <c r="B506" s="51">
        <v>4817.5</v>
      </c>
      <c r="C506" s="53">
        <f>(Table267[[#This Row],[M2 Money Stock, Billions of Dollars, Weekly, Seasonally Adjusted]]-B505)/B505</f>
        <v>5.867123230467358E-3</v>
      </c>
      <c r="D506" s="54">
        <f>((1+Table267[[#This Row],[Monthly change]])^12)-1</f>
        <v>7.2722430021636253E-2</v>
      </c>
      <c r="E506" s="53">
        <f>(Table267[[#This Row],[M2 Money Stock, Billions of Dollars, Weekly, Seasonally Adjusted]]-B494)/B494</f>
        <v>5.8395764219961815E-2</v>
      </c>
    </row>
    <row r="507" spans="1:5" x14ac:dyDescent="0.2">
      <c r="A507" s="50">
        <v>36770</v>
      </c>
      <c r="B507" s="51">
        <v>4853.2</v>
      </c>
      <c r="C507" s="53">
        <f>(Table267[[#This Row],[M2 Money Stock, Billions of Dollars, Weekly, Seasonally Adjusted]]-B506)/B506</f>
        <v>7.410482615464415E-3</v>
      </c>
      <c r="D507" s="54">
        <f>((1+Table267[[#This Row],[Monthly change]])^12)-1</f>
        <v>9.2641237349631478E-2</v>
      </c>
      <c r="E507" s="53">
        <f>(Table267[[#This Row],[M2 Money Stock, Billions of Dollars, Weekly, Seasonally Adjusted]]-B495)/B495</f>
        <v>6.2504104910567682E-2</v>
      </c>
    </row>
    <row r="508" spans="1:5" x14ac:dyDescent="0.2">
      <c r="A508" s="50">
        <v>36800</v>
      </c>
      <c r="B508" s="51">
        <v>4869.2</v>
      </c>
      <c r="C508" s="53">
        <f>(Table267[[#This Row],[M2 Money Stock, Billions of Dollars, Weekly, Seasonally Adjusted]]-B507)/B507</f>
        <v>3.2967938679634057E-3</v>
      </c>
      <c r="D508" s="54">
        <f>((1+Table267[[#This Row],[Monthly change]])^12)-1</f>
        <v>4.0286812406433947E-2</v>
      </c>
      <c r="E508" s="53">
        <f>(Table267[[#This Row],[M2 Money Stock, Billions of Dollars, Weekly, Seasonally Adjusted]]-B496)/B496</f>
        <v>6.0481324185995819E-2</v>
      </c>
    </row>
    <row r="509" spans="1:5" x14ac:dyDescent="0.2">
      <c r="A509" s="50">
        <v>36831</v>
      </c>
      <c r="B509" s="51">
        <v>4880.1000000000004</v>
      </c>
      <c r="C509" s="53">
        <f>(Table267[[#This Row],[M2 Money Stock, Billions of Dollars, Weekly, Seasonally Adjusted]]-B508)/B508</f>
        <v>2.2385607491991594E-3</v>
      </c>
      <c r="D509" s="54">
        <f>((1+Table267[[#This Row],[Monthly change]])^12)-1</f>
        <v>2.7195945554437939E-2</v>
      </c>
      <c r="E509" s="53">
        <f>(Table267[[#This Row],[M2 Money Stock, Billions of Dollars, Weekly, Seasonally Adjusted]]-B497)/B497</f>
        <v>5.847521960741793E-2</v>
      </c>
    </row>
    <row r="510" spans="1:5" x14ac:dyDescent="0.2">
      <c r="A510" s="50">
        <v>36861</v>
      </c>
      <c r="B510" s="51">
        <v>4924.7</v>
      </c>
      <c r="C510" s="53">
        <f>(Table267[[#This Row],[M2 Money Stock, Billions of Dollars, Weekly, Seasonally Adjusted]]-B509)/B509</f>
        <v>9.1391569844879103E-3</v>
      </c>
      <c r="D510" s="54">
        <f>((1+Table267[[#This Row],[Monthly change]])^12)-1</f>
        <v>0.11535391963300845</v>
      </c>
      <c r="E510" s="53">
        <f>(Table267[[#This Row],[M2 Money Stock, Billions of Dollars, Weekly, Seasonally Adjusted]]-B498)/B498</f>
        <v>6.1815437688658867E-2</v>
      </c>
    </row>
    <row r="511" spans="1:5" x14ac:dyDescent="0.2">
      <c r="A511" s="50">
        <v>36892</v>
      </c>
      <c r="B511" s="51">
        <v>4975.3</v>
      </c>
      <c r="C511" s="53">
        <f>(Table267[[#This Row],[M2 Money Stock, Billions of Dollars, Weekly, Seasonally Adjusted]]-B510)/B510</f>
        <v>1.0274737547464894E-2</v>
      </c>
      <c r="D511" s="54">
        <f>((1+Table267[[#This Row],[Monthly change]])^12)-1</f>
        <v>0.13050872987526962</v>
      </c>
      <c r="E511" s="53">
        <f>(Table267[[#This Row],[M2 Money Stock, Billions of Dollars, Weekly, Seasonally Adjusted]]-B499)/B499</f>
        <v>6.6242338519566318E-2</v>
      </c>
    </row>
    <row r="512" spans="1:5" x14ac:dyDescent="0.2">
      <c r="A512" s="50">
        <v>36923</v>
      </c>
      <c r="B512" s="51">
        <v>5013.5</v>
      </c>
      <c r="C512" s="53">
        <f>(Table267[[#This Row],[M2 Money Stock, Billions of Dollars, Weekly, Seasonally Adjusted]]-B511)/B511</f>
        <v>7.6779289691073539E-3</v>
      </c>
      <c r="D512" s="54">
        <f>((1+Table267[[#This Row],[Monthly change]])^12)-1</f>
        <v>9.6127204380139553E-2</v>
      </c>
      <c r="E512" s="53">
        <f>(Table267[[#This Row],[M2 Money Stock, Billions of Dollars, Weekly, Seasonally Adjusted]]-B500)/B500</f>
        <v>7.1398042484079244E-2</v>
      </c>
    </row>
    <row r="513" spans="1:5" x14ac:dyDescent="0.2">
      <c r="A513" s="50">
        <v>36951</v>
      </c>
      <c r="B513" s="51">
        <v>5071.2</v>
      </c>
      <c r="C513" s="53">
        <f>(Table267[[#This Row],[M2 Money Stock, Billions of Dollars, Weekly, Seasonally Adjusted]]-B512)/B512</f>
        <v>1.1508925900069775E-2</v>
      </c>
      <c r="D513" s="54">
        <f>((1+Table267[[#This Row],[Monthly change]])^12)-1</f>
        <v>0.14719338435586637</v>
      </c>
      <c r="E513" s="53">
        <f>(Table267[[#This Row],[M2 Money Stock, Billions of Dollars, Weekly, Seasonally Adjusted]]-B501)/B501</f>
        <v>7.6642180799116819E-2</v>
      </c>
    </row>
    <row r="514" spans="1:5" x14ac:dyDescent="0.2">
      <c r="A514" s="50">
        <v>36982</v>
      </c>
      <c r="B514" s="51">
        <v>5135.2</v>
      </c>
      <c r="C514" s="53">
        <f>(Table267[[#This Row],[M2 Money Stock, Billions of Dollars, Weekly, Seasonally Adjusted]]-B513)/B513</f>
        <v>1.2620287111531788E-2</v>
      </c>
      <c r="D514" s="54">
        <f>((1+Table267[[#This Row],[Monthly change]])^12)-1</f>
        <v>0.16241040010605268</v>
      </c>
      <c r="E514" s="53">
        <f>(Table267[[#This Row],[M2 Money Stock, Billions of Dollars, Weekly, Seasonally Adjusted]]-B502)/B502</f>
        <v>7.7442772917059949E-2</v>
      </c>
    </row>
    <row r="515" spans="1:5" x14ac:dyDescent="0.2">
      <c r="A515" s="50">
        <v>37012</v>
      </c>
      <c r="B515" s="51">
        <v>5132.2</v>
      </c>
      <c r="C515" s="53">
        <f>(Table267[[#This Row],[M2 Money Stock, Billions of Dollars, Weekly, Seasonally Adjusted]]-B514)/B514</f>
        <v>-5.8420314690761806E-4</v>
      </c>
      <c r="D515" s="54">
        <f>((1+Table267[[#This Row],[Monthly change]])^12)-1</f>
        <v>-6.9879562109936844E-3</v>
      </c>
      <c r="E515" s="53">
        <f>(Table267[[#This Row],[M2 Money Stock, Billions of Dollars, Weekly, Seasonally Adjusted]]-B503)/B503</f>
        <v>7.9576768547929111E-2</v>
      </c>
    </row>
    <row r="516" spans="1:5" x14ac:dyDescent="0.2">
      <c r="A516" s="50">
        <v>37043</v>
      </c>
      <c r="B516" s="51">
        <v>5172.5</v>
      </c>
      <c r="C516" s="53">
        <f>(Table267[[#This Row],[M2 Money Stock, Billions of Dollars, Weekly, Seasonally Adjusted]]-B515)/B515</f>
        <v>7.8523829936479831E-3</v>
      </c>
      <c r="D516" s="54">
        <f>((1+Table267[[#This Row],[Monthly change]])^12)-1</f>
        <v>9.8406575387650408E-2</v>
      </c>
      <c r="E516" s="53">
        <f>(Table267[[#This Row],[M2 Money Stock, Billions of Dollars, Weekly, Seasonally Adjusted]]-B504)/B504</f>
        <v>8.3972505134330813E-2</v>
      </c>
    </row>
    <row r="517" spans="1:5" x14ac:dyDescent="0.2">
      <c r="A517" s="50">
        <v>37073</v>
      </c>
      <c r="B517" s="51">
        <v>5202.3999999999996</v>
      </c>
      <c r="C517" s="53">
        <f>(Table267[[#This Row],[M2 Money Stock, Billions of Dollars, Weekly, Seasonally Adjusted]]-B516)/B516</f>
        <v>5.7805703238278661E-3</v>
      </c>
      <c r="D517" s="54">
        <f>((1+Table267[[#This Row],[Monthly change]])^12)-1</f>
        <v>7.1615285984311772E-2</v>
      </c>
      <c r="E517" s="53">
        <f>(Table267[[#This Row],[M2 Money Stock, Billions of Dollars, Weekly, Seasonally Adjusted]]-B505)/B505</f>
        <v>8.6232095878398141E-2</v>
      </c>
    </row>
    <row r="518" spans="1:5" x14ac:dyDescent="0.2">
      <c r="A518" s="50">
        <v>37104</v>
      </c>
      <c r="B518" s="51">
        <v>5236.3</v>
      </c>
      <c r="C518" s="53">
        <f>(Table267[[#This Row],[M2 Money Stock, Billions of Dollars, Weekly, Seasonally Adjusted]]-B517)/B517</f>
        <v>6.5162232815624615E-3</v>
      </c>
      <c r="D518" s="54">
        <f>((1+Table267[[#This Row],[Monthly change]])^12)-1</f>
        <v>8.1058889177882731E-2</v>
      </c>
      <c r="E518" s="53">
        <f>(Table267[[#This Row],[M2 Money Stock, Billions of Dollars, Weekly, Seasonally Adjusted]]-B506)/B506</f>
        <v>8.6933056564608244E-2</v>
      </c>
    </row>
    <row r="519" spans="1:5" x14ac:dyDescent="0.2">
      <c r="A519" s="50">
        <v>37135</v>
      </c>
      <c r="B519" s="51">
        <v>5347.4</v>
      </c>
      <c r="C519" s="53">
        <f>(Table267[[#This Row],[M2 Money Stock, Billions of Dollars, Weekly, Seasonally Adjusted]]-B518)/B518</f>
        <v>2.1217271737677262E-2</v>
      </c>
      <c r="D519" s="54">
        <f>((1+Table267[[#This Row],[Monthly change]])^12)-1</f>
        <v>0.2865237751332157</v>
      </c>
      <c r="E519" s="53">
        <f>(Table267[[#This Row],[M2 Money Stock, Billions of Dollars, Weekly, Seasonally Adjusted]]-B507)/B507</f>
        <v>0.10182972059671966</v>
      </c>
    </row>
    <row r="520" spans="1:5" x14ac:dyDescent="0.2">
      <c r="A520" s="50">
        <v>37165</v>
      </c>
      <c r="B520" s="51">
        <v>5336</v>
      </c>
      <c r="C520" s="53">
        <f>(Table267[[#This Row],[M2 Money Stock, Billions of Dollars, Weekly, Seasonally Adjusted]]-B519)/B519</f>
        <v>-2.1318771739536292E-3</v>
      </c>
      <c r="D520" s="54">
        <f>((1+Table267[[#This Row],[Monthly change]])^12)-1</f>
        <v>-2.5284684095874588E-2</v>
      </c>
      <c r="E520" s="53">
        <f>(Table267[[#This Row],[M2 Money Stock, Billions of Dollars, Weekly, Seasonally Adjusted]]-B508)/B508</f>
        <v>9.5867904378542715E-2</v>
      </c>
    </row>
    <row r="521" spans="1:5" x14ac:dyDescent="0.2">
      <c r="A521" s="50">
        <v>37196</v>
      </c>
      <c r="B521" s="51">
        <v>5379.6</v>
      </c>
      <c r="C521" s="53">
        <f>(Table267[[#This Row],[M2 Money Stock, Billions of Dollars, Weekly, Seasonally Adjusted]]-B520)/B520</f>
        <v>8.1709145427287036E-3</v>
      </c>
      <c r="D521" s="54">
        <f>((1+Table267[[#This Row],[Monthly change]])^12)-1</f>
        <v>0.10257963855514318</v>
      </c>
      <c r="E521" s="53">
        <f>(Table267[[#This Row],[M2 Money Stock, Billions of Dollars, Weekly, Seasonally Adjusted]]-B509)/B509</f>
        <v>0.10235445994959119</v>
      </c>
    </row>
    <row r="522" spans="1:5" x14ac:dyDescent="0.2">
      <c r="A522" s="50">
        <v>37226</v>
      </c>
      <c r="B522" s="51">
        <v>5432.7</v>
      </c>
      <c r="C522" s="53">
        <f>(Table267[[#This Row],[M2 Money Stock, Billions of Dollars, Weekly, Seasonally Adjusted]]-B521)/B521</f>
        <v>9.8706223511040685E-3</v>
      </c>
      <c r="D522" s="54">
        <f>((1+Table267[[#This Row],[Monthly change]])^12)-1</f>
        <v>0.12509413936627811</v>
      </c>
      <c r="E522" s="53">
        <f>(Table267[[#This Row],[M2 Money Stock, Billions of Dollars, Weekly, Seasonally Adjusted]]-B510)/B510</f>
        <v>0.10315349158324365</v>
      </c>
    </row>
    <row r="523" spans="1:5" x14ac:dyDescent="0.2">
      <c r="A523" s="50">
        <v>37257</v>
      </c>
      <c r="B523" s="51">
        <v>5453</v>
      </c>
      <c r="C523" s="53">
        <f>(Table267[[#This Row],[M2 Money Stock, Billions of Dollars, Weekly, Seasonally Adjusted]]-B522)/B522</f>
        <v>3.7366318773354285E-3</v>
      </c>
      <c r="D523" s="54">
        <f>((1+Table267[[#This Row],[Monthly change]])^12)-1</f>
        <v>4.5772677112602134E-2</v>
      </c>
      <c r="E523" s="53">
        <f>(Table267[[#This Row],[M2 Money Stock, Billions of Dollars, Weekly, Seasonally Adjusted]]-B511)/B511</f>
        <v>9.6014310694832433E-2</v>
      </c>
    </row>
    <row r="524" spans="1:5" x14ac:dyDescent="0.2">
      <c r="A524" s="50">
        <v>37288</v>
      </c>
      <c r="B524" s="51">
        <v>5482.4</v>
      </c>
      <c r="C524" s="53">
        <f>(Table267[[#This Row],[M2 Money Stock, Billions of Dollars, Weekly, Seasonally Adjusted]]-B523)/B523</f>
        <v>5.3915275994864545E-3</v>
      </c>
      <c r="D524" s="54">
        <f>((1+Table267[[#This Row],[Monthly change]])^12)-1</f>
        <v>6.6651757980516591E-2</v>
      </c>
      <c r="E524" s="53">
        <f>(Table267[[#This Row],[M2 Money Stock, Billions of Dollars, Weekly, Seasonally Adjusted]]-B512)/B512</f>
        <v>9.3527475815298619E-2</v>
      </c>
    </row>
    <row r="525" spans="1:5" x14ac:dyDescent="0.2">
      <c r="A525" s="50">
        <v>37316</v>
      </c>
      <c r="B525" s="51">
        <v>5494.2</v>
      </c>
      <c r="C525" s="53">
        <f>(Table267[[#This Row],[M2 Money Stock, Billions of Dollars, Weekly, Seasonally Adjusted]]-B524)/B524</f>
        <v>2.1523420399825227E-3</v>
      </c>
      <c r="D525" s="54">
        <f>((1+Table267[[#This Row],[Monthly change]])^12)-1</f>
        <v>2.6136058768008841E-2</v>
      </c>
      <c r="E525" s="53">
        <f>(Table267[[#This Row],[M2 Money Stock, Billions of Dollars, Weekly, Seasonally Adjusted]]-B513)/B513</f>
        <v>8.3412210127780412E-2</v>
      </c>
    </row>
    <row r="526" spans="1:5" x14ac:dyDescent="0.2">
      <c r="A526" s="50">
        <v>37347</v>
      </c>
      <c r="B526" s="51">
        <v>5494.4</v>
      </c>
      <c r="C526" s="53">
        <f>(Table267[[#This Row],[M2 Money Stock, Billions of Dollars, Weekly, Seasonally Adjusted]]-B525)/B525</f>
        <v>3.6402023952498657E-5</v>
      </c>
      <c r="D526" s="54">
        <f>((1+Table267[[#This Row],[Monthly change]])^12)-1</f>
        <v>4.3691175512794445E-4</v>
      </c>
      <c r="E526" s="53">
        <f>(Table267[[#This Row],[M2 Money Stock, Billions of Dollars, Weekly, Seasonally Adjusted]]-B514)/B514</f>
        <v>6.9948590123072099E-2</v>
      </c>
    </row>
    <row r="527" spans="1:5" x14ac:dyDescent="0.2">
      <c r="A527" s="50">
        <v>37377</v>
      </c>
      <c r="B527" s="51">
        <v>5520.6</v>
      </c>
      <c r="C527" s="53">
        <f>(Table267[[#This Row],[M2 Money Stock, Billions of Dollars, Weekly, Seasonally Adjusted]]-B526)/B526</f>
        <v>4.7684915550379892E-3</v>
      </c>
      <c r="D527" s="54">
        <f>((1+Table267[[#This Row],[Monthly change]])^12)-1</f>
        <v>5.8746752579921457E-2</v>
      </c>
      <c r="E527" s="53">
        <f>(Table267[[#This Row],[M2 Money Stock, Billions of Dollars, Weekly, Seasonally Adjusted]]-B515)/B515</f>
        <v>7.567904602314808E-2</v>
      </c>
    </row>
    <row r="528" spans="1:5" x14ac:dyDescent="0.2">
      <c r="A528" s="50">
        <v>37408</v>
      </c>
      <c r="B528" s="51">
        <v>5545.6</v>
      </c>
      <c r="C528" s="53">
        <f>(Table267[[#This Row],[M2 Money Stock, Billions of Dollars, Weekly, Seasonally Adjusted]]-B527)/B527</f>
        <v>4.5284932797159724E-3</v>
      </c>
      <c r="D528" s="54">
        <f>((1+Table267[[#This Row],[Monthly change]])^12)-1</f>
        <v>5.5716038364245879E-2</v>
      </c>
      <c r="E528" s="53">
        <f>(Table267[[#This Row],[M2 Money Stock, Billions of Dollars, Weekly, Seasonally Adjusted]]-B516)/B516</f>
        <v>7.2131464475592141E-2</v>
      </c>
    </row>
    <row r="529" spans="1:5" x14ac:dyDescent="0.2">
      <c r="A529" s="50">
        <v>37438</v>
      </c>
      <c r="B529" s="51">
        <v>5588.2</v>
      </c>
      <c r="C529" s="53">
        <f>(Table267[[#This Row],[M2 Money Stock, Billions of Dollars, Weekly, Seasonally Adjusted]]-B528)/B528</f>
        <v>7.6817657241776277E-3</v>
      </c>
      <c r="D529" s="54">
        <f>((1+Table267[[#This Row],[Monthly change]])^12)-1</f>
        <v>9.6177287759676044E-2</v>
      </c>
      <c r="E529" s="53">
        <f>(Table267[[#This Row],[M2 Money Stock, Billions of Dollars, Weekly, Seasonally Adjusted]]-B517)/B517</f>
        <v>7.4158080885745076E-2</v>
      </c>
    </row>
    <row r="530" spans="1:5" x14ac:dyDescent="0.2">
      <c r="A530" s="50">
        <v>37469</v>
      </c>
      <c r="B530" s="51">
        <v>5630.6</v>
      </c>
      <c r="C530" s="53">
        <f>(Table267[[#This Row],[M2 Money Stock, Billions of Dollars, Weekly, Seasonally Adjusted]]-B529)/B529</f>
        <v>7.587416341576992E-3</v>
      </c>
      <c r="D530" s="54">
        <f>((1+Table267[[#This Row],[Monthly change]])^12)-1</f>
        <v>9.4946299039021076E-2</v>
      </c>
      <c r="E530" s="53">
        <f>(Table267[[#This Row],[M2 Money Stock, Billions of Dollars, Weekly, Seasonally Adjusted]]-B518)/B518</f>
        <v>7.5301262341729874E-2</v>
      </c>
    </row>
    <row r="531" spans="1:5" x14ac:dyDescent="0.2">
      <c r="A531" s="50">
        <v>37500</v>
      </c>
      <c r="B531" s="51">
        <v>5655</v>
      </c>
      <c r="C531" s="53">
        <f>(Table267[[#This Row],[M2 Money Stock, Billions of Dollars, Weekly, Seasonally Adjusted]]-B530)/B530</f>
        <v>4.3334635740417777E-3</v>
      </c>
      <c r="D531" s="54">
        <f>((1+Table267[[#This Row],[Monthly change]])^12)-1</f>
        <v>5.3259049593178398E-2</v>
      </c>
      <c r="E531" s="53">
        <f>(Table267[[#This Row],[M2 Money Stock, Billions of Dollars, Weekly, Seasonally Adjusted]]-B519)/B519</f>
        <v>5.7523282342820885E-2</v>
      </c>
    </row>
    <row r="532" spans="1:5" x14ac:dyDescent="0.2">
      <c r="A532" s="50">
        <v>37530</v>
      </c>
      <c r="B532" s="51">
        <v>5699.6</v>
      </c>
      <c r="C532" s="53">
        <f>(Table267[[#This Row],[M2 Money Stock, Billions of Dollars, Weekly, Seasonally Adjusted]]-B531)/B531</f>
        <v>7.8868258178603646E-3</v>
      </c>
      <c r="D532" s="54">
        <f>((1+Table267[[#This Row],[Monthly change]])^12)-1</f>
        <v>9.8857109655983599E-2</v>
      </c>
      <c r="E532" s="53">
        <f>(Table267[[#This Row],[M2 Money Stock, Billions of Dollars, Weekly, Seasonally Adjusted]]-B520)/B520</f>
        <v>6.8140929535232458E-2</v>
      </c>
    </row>
    <row r="533" spans="1:5" x14ac:dyDescent="0.2">
      <c r="A533" s="50">
        <v>37561</v>
      </c>
      <c r="B533" s="51">
        <v>5749.7</v>
      </c>
      <c r="C533" s="53">
        <f>(Table267[[#This Row],[M2 Money Stock, Billions of Dollars, Weekly, Seasonally Adjusted]]-B532)/B532</f>
        <v>8.7900905326688625E-3</v>
      </c>
      <c r="D533" s="54">
        <f>((1+Table267[[#This Row],[Monthly change]])^12)-1</f>
        <v>0.11073303710371518</v>
      </c>
      <c r="E533" s="53">
        <f>(Table267[[#This Row],[M2 Money Stock, Billions of Dollars, Weekly, Seasonally Adjusted]]-B521)/B521</f>
        <v>6.8796936575209952E-2</v>
      </c>
    </row>
    <row r="534" spans="1:5" x14ac:dyDescent="0.2">
      <c r="A534" s="50">
        <v>37591</v>
      </c>
      <c r="B534" s="51">
        <v>5770.9</v>
      </c>
      <c r="C534" s="53">
        <f>(Table267[[#This Row],[M2 Money Stock, Billions of Dollars, Weekly, Seasonally Adjusted]]-B533)/B533</f>
        <v>3.6871488947249108E-3</v>
      </c>
      <c r="D534" s="54">
        <f>((1+Table267[[#This Row],[Monthly change]])^12)-1</f>
        <v>4.5154181135653948E-2</v>
      </c>
      <c r="E534" s="53">
        <f>(Table267[[#This Row],[M2 Money Stock, Billions of Dollars, Weekly, Seasonally Adjusted]]-B522)/B522</f>
        <v>6.2252655217479309E-2</v>
      </c>
    </row>
    <row r="535" spans="1:5" x14ac:dyDescent="0.2">
      <c r="A535" s="50">
        <v>37622</v>
      </c>
      <c r="B535" s="51">
        <v>5803.5</v>
      </c>
      <c r="C535" s="53">
        <f>(Table267[[#This Row],[M2 Money Stock, Billions of Dollars, Weekly, Seasonally Adjusted]]-B534)/B534</f>
        <v>5.6490322133463354E-3</v>
      </c>
      <c r="D535" s="54">
        <f>((1+Table267[[#This Row],[Monthly change]])^12)-1</f>
        <v>6.99347177960703E-2</v>
      </c>
      <c r="E535" s="53">
        <f>(Table267[[#This Row],[M2 Money Stock, Billions of Dollars, Weekly, Seasonally Adjusted]]-B523)/B523</f>
        <v>6.4276545021089315E-2</v>
      </c>
    </row>
    <row r="536" spans="1:5" x14ac:dyDescent="0.2">
      <c r="A536" s="50">
        <v>37653</v>
      </c>
      <c r="B536" s="51">
        <v>5839.5</v>
      </c>
      <c r="C536" s="53">
        <f>(Table267[[#This Row],[M2 Money Stock, Billions of Dollars, Weekly, Seasonally Adjusted]]-B535)/B535</f>
        <v>6.2031532695787026E-3</v>
      </c>
      <c r="D536" s="54">
        <f>((1+Table267[[#This Row],[Monthly change]])^12)-1</f>
        <v>7.7030712972347093E-2</v>
      </c>
      <c r="E536" s="53">
        <f>(Table267[[#This Row],[M2 Money Stock, Billions of Dollars, Weekly, Seasonally Adjusted]]-B524)/B524</f>
        <v>6.513570698963965E-2</v>
      </c>
    </row>
    <row r="537" spans="1:5" x14ac:dyDescent="0.2">
      <c r="A537" s="50">
        <v>37681</v>
      </c>
      <c r="B537" s="51">
        <v>5860.3</v>
      </c>
      <c r="C537" s="53">
        <f>(Table267[[#This Row],[M2 Money Stock, Billions of Dollars, Weekly, Seasonally Adjusted]]-B536)/B536</f>
        <v>3.5619487969860745E-3</v>
      </c>
      <c r="D537" s="54">
        <f>((1+Table267[[#This Row],[Monthly change]])^12)-1</f>
        <v>4.3590781603682238E-2</v>
      </c>
      <c r="E537" s="53">
        <f>(Table267[[#This Row],[M2 Money Stock, Billions of Dollars, Weekly, Seasonally Adjusted]]-B525)/B525</f>
        <v>6.6633904845109462E-2</v>
      </c>
    </row>
    <row r="538" spans="1:5" x14ac:dyDescent="0.2">
      <c r="A538" s="50">
        <v>37712</v>
      </c>
      <c r="B538" s="51">
        <v>5897.7</v>
      </c>
      <c r="C538" s="53">
        <f>(Table267[[#This Row],[M2 Money Stock, Billions of Dollars, Weekly, Seasonally Adjusted]]-B537)/B537</f>
        <v>6.3819258399740002E-3</v>
      </c>
      <c r="D538" s="54">
        <f>((1+Table267[[#This Row],[Monthly change]])^12)-1</f>
        <v>7.9329236616785037E-2</v>
      </c>
      <c r="E538" s="53">
        <f>(Table267[[#This Row],[M2 Money Stock, Billions of Dollars, Weekly, Seasonally Adjusted]]-B526)/B526</f>
        <v>7.3402009318578959E-2</v>
      </c>
    </row>
    <row r="539" spans="1:5" x14ac:dyDescent="0.2">
      <c r="A539" s="50">
        <v>37742</v>
      </c>
      <c r="B539" s="51">
        <v>5958</v>
      </c>
      <c r="C539" s="53">
        <f>(Table267[[#This Row],[M2 Money Stock, Billions of Dollars, Weekly, Seasonally Adjusted]]-B538)/B538</f>
        <v>1.022432473676182E-2</v>
      </c>
      <c r="D539" s="54">
        <f>((1+Table267[[#This Row],[Monthly change]])^12)-1</f>
        <v>0.12983196564595345</v>
      </c>
      <c r="E539" s="53">
        <f>(Table267[[#This Row],[M2 Money Stock, Billions of Dollars, Weekly, Seasonally Adjusted]]-B527)/B527</f>
        <v>7.923051842191059E-2</v>
      </c>
    </row>
    <row r="540" spans="1:5" x14ac:dyDescent="0.2">
      <c r="A540" s="50">
        <v>37773</v>
      </c>
      <c r="B540" s="51">
        <v>5994.7</v>
      </c>
      <c r="C540" s="53">
        <f>(Table267[[#This Row],[M2 Money Stock, Billions of Dollars, Weekly, Seasonally Adjusted]]-B539)/B539</f>
        <v>6.1597851628062807E-3</v>
      </c>
      <c r="D540" s="54">
        <f>((1+Table267[[#This Row],[Monthly change]])^12)-1</f>
        <v>7.6473795074952333E-2</v>
      </c>
      <c r="E540" s="53">
        <f>(Table267[[#This Row],[M2 Money Stock, Billions of Dollars, Weekly, Seasonally Adjusted]]-B528)/B528</f>
        <v>8.0983121754183388E-2</v>
      </c>
    </row>
    <row r="541" spans="1:5" x14ac:dyDescent="0.2">
      <c r="A541" s="50">
        <v>37803</v>
      </c>
      <c r="B541" s="51">
        <v>6041.4</v>
      </c>
      <c r="C541" s="53">
        <f>(Table267[[#This Row],[M2 Money Stock, Billions of Dollars, Weekly, Seasonally Adjusted]]-B540)/B540</f>
        <v>7.7902146896424874E-3</v>
      </c>
      <c r="D541" s="54">
        <f>((1+Table267[[#This Row],[Monthly change]])^12)-1</f>
        <v>9.7593802648689554E-2</v>
      </c>
      <c r="E541" s="53">
        <f>(Table267[[#This Row],[M2 Money Stock, Billions of Dollars, Weekly, Seasonally Adjusted]]-B529)/B529</f>
        <v>8.1099459575534133E-2</v>
      </c>
    </row>
    <row r="542" spans="1:5" x14ac:dyDescent="0.2">
      <c r="A542" s="50">
        <v>37834</v>
      </c>
      <c r="B542" s="51">
        <v>6099.5</v>
      </c>
      <c r="C542" s="53">
        <f>(Table267[[#This Row],[M2 Money Stock, Billions of Dollars, Weekly, Seasonally Adjusted]]-B541)/B541</f>
        <v>9.6169761975701609E-3</v>
      </c>
      <c r="D542" s="54">
        <f>((1+Table267[[#This Row],[Monthly change]])^12)-1</f>
        <v>0.12170778193401</v>
      </c>
      <c r="E542" s="53">
        <f>(Table267[[#This Row],[M2 Money Stock, Billions of Dollars, Weekly, Seasonally Adjusted]]-B530)/B530</f>
        <v>8.3277093027385993E-2</v>
      </c>
    </row>
    <row r="543" spans="1:5" x14ac:dyDescent="0.2">
      <c r="A543" s="50">
        <v>37865</v>
      </c>
      <c r="B543" s="51">
        <v>6071.6</v>
      </c>
      <c r="C543" s="53">
        <f>(Table267[[#This Row],[M2 Money Stock, Billions of Dollars, Weekly, Seasonally Adjusted]]-B542)/B542</f>
        <v>-4.5741454217558221E-3</v>
      </c>
      <c r="D543" s="54">
        <f>((1+Table267[[#This Row],[Monthly change]])^12)-1</f>
        <v>-5.3529679597987156E-2</v>
      </c>
      <c r="E543" s="53">
        <f>(Table267[[#This Row],[M2 Money Stock, Billions of Dollars, Weekly, Seasonally Adjusted]]-B531)/B531</f>
        <v>7.3669319186560625E-2</v>
      </c>
    </row>
    <row r="544" spans="1:5" x14ac:dyDescent="0.2">
      <c r="A544" s="50">
        <v>37895</v>
      </c>
      <c r="B544" s="51">
        <v>6062.5</v>
      </c>
      <c r="C544" s="53">
        <f>(Table267[[#This Row],[M2 Money Stock, Billions of Dollars, Weekly, Seasonally Adjusted]]-B543)/B543</f>
        <v>-1.4987812108835173E-3</v>
      </c>
      <c r="D544" s="54">
        <f>((1+Table267[[#This Row],[Monthly change]])^12)-1</f>
        <v>-1.7837853952552774E-2</v>
      </c>
      <c r="E544" s="53">
        <f>(Table267[[#This Row],[M2 Money Stock, Billions of Dollars, Weekly, Seasonally Adjusted]]-B532)/B532</f>
        <v>6.3671134816478278E-2</v>
      </c>
    </row>
    <row r="545" spans="1:5" x14ac:dyDescent="0.2">
      <c r="A545" s="50">
        <v>37926</v>
      </c>
      <c r="B545" s="51">
        <v>6067.7</v>
      </c>
      <c r="C545" s="53">
        <f>(Table267[[#This Row],[M2 Money Stock, Billions of Dollars, Weekly, Seasonally Adjusted]]-B544)/B544</f>
        <v>8.5773195876285657E-4</v>
      </c>
      <c r="D545" s="54">
        <f>((1+Table267[[#This Row],[Monthly change]])^12)-1</f>
        <v>1.0341479073034288E-2</v>
      </c>
      <c r="E545" s="53">
        <f>(Table267[[#This Row],[M2 Money Stock, Billions of Dollars, Weekly, Seasonally Adjusted]]-B533)/B533</f>
        <v>5.5307233420874131E-2</v>
      </c>
    </row>
    <row r="546" spans="1:5" x14ac:dyDescent="0.2">
      <c r="A546" s="50">
        <v>37956</v>
      </c>
      <c r="B546" s="51">
        <v>6065.9</v>
      </c>
      <c r="C546" s="53">
        <f>(Table267[[#This Row],[M2 Money Stock, Billions of Dollars, Weekly, Seasonally Adjusted]]-B545)/B545</f>
        <v>-2.9665276793516192E-4</v>
      </c>
      <c r="D546" s="54">
        <f>((1+Table267[[#This Row],[Monthly change]])^12)-1</f>
        <v>-3.5540307657020431E-3</v>
      </c>
      <c r="E546" s="53">
        <f>(Table267[[#This Row],[M2 Money Stock, Billions of Dollars, Weekly, Seasonally Adjusted]]-B534)/B534</f>
        <v>5.1118543034881912E-2</v>
      </c>
    </row>
    <row r="547" spans="1:5" x14ac:dyDescent="0.2">
      <c r="A547" s="50">
        <v>37987</v>
      </c>
      <c r="B547" s="51">
        <v>6074.4</v>
      </c>
      <c r="C547" s="53">
        <f>(Table267[[#This Row],[M2 Money Stock, Billions of Dollars, Weekly, Seasonally Adjusted]]-B546)/B546</f>
        <v>1.4012759854267298E-3</v>
      </c>
      <c r="D547" s="54">
        <f>((1+Table267[[#This Row],[Monthly change]])^12)-1</f>
        <v>1.6945514979624487E-2</v>
      </c>
      <c r="E547" s="53">
        <f>(Table267[[#This Row],[M2 Money Stock, Billions of Dollars, Weekly, Seasonally Adjusted]]-B535)/B535</f>
        <v>4.6678728353579675E-2</v>
      </c>
    </row>
    <row r="548" spans="1:5" x14ac:dyDescent="0.2">
      <c r="A548" s="50">
        <v>38018</v>
      </c>
      <c r="B548" s="51">
        <v>6113.2</v>
      </c>
      <c r="C548" s="53">
        <f>(Table267[[#This Row],[M2 Money Stock, Billions of Dollars, Weekly, Seasonally Adjusted]]-B547)/B547</f>
        <v>6.3874621361780888E-3</v>
      </c>
      <c r="D548" s="54">
        <f>((1+Table267[[#This Row],[Monthly change]])^12)-1</f>
        <v>7.940048988956061E-2</v>
      </c>
      <c r="E548" s="53">
        <f>(Table267[[#This Row],[M2 Money Stock, Billions of Dollars, Weekly, Seasonally Adjusted]]-B536)/B536</f>
        <v>4.6870451237263432E-2</v>
      </c>
    </row>
    <row r="549" spans="1:5" x14ac:dyDescent="0.2">
      <c r="A549" s="50">
        <v>38047</v>
      </c>
      <c r="B549" s="51">
        <v>6149</v>
      </c>
      <c r="C549" s="53">
        <f>(Table267[[#This Row],[M2 Money Stock, Billions of Dollars, Weekly, Seasonally Adjusted]]-B548)/B548</f>
        <v>5.8561800693581407E-3</v>
      </c>
      <c r="D549" s="54">
        <f>((1+Table267[[#This Row],[Monthly change]])^12)-1</f>
        <v>7.258239237593167E-2</v>
      </c>
      <c r="E549" s="53">
        <f>(Table267[[#This Row],[M2 Money Stock, Billions of Dollars, Weekly, Seasonally Adjusted]]-B537)/B537</f>
        <v>4.9263689572206171E-2</v>
      </c>
    </row>
    <row r="550" spans="1:5" x14ac:dyDescent="0.2">
      <c r="A550" s="50">
        <v>38078</v>
      </c>
      <c r="B550" s="51">
        <v>6190.2</v>
      </c>
      <c r="C550" s="53">
        <f>(Table267[[#This Row],[M2 Money Stock, Billions of Dollars, Weekly, Seasonally Adjusted]]-B549)/B549</f>
        <v>6.7002764677182988E-3</v>
      </c>
      <c r="D550" s="54">
        <f>((1+Table267[[#This Row],[Monthly change]])^12)-1</f>
        <v>8.3433486601493856E-2</v>
      </c>
      <c r="E550" s="53">
        <f>(Table267[[#This Row],[M2 Money Stock, Billions of Dollars, Weekly, Seasonally Adjusted]]-B538)/B538</f>
        <v>4.9595605066381811E-2</v>
      </c>
    </row>
    <row r="551" spans="1:5" x14ac:dyDescent="0.2">
      <c r="A551" s="50">
        <v>38108</v>
      </c>
      <c r="B551" s="51">
        <v>6267</v>
      </c>
      <c r="C551" s="53">
        <f>(Table267[[#This Row],[M2 Money Stock, Billions of Dollars, Weekly, Seasonally Adjusted]]-B550)/B550</f>
        <v>1.2406707376175274E-2</v>
      </c>
      <c r="D551" s="54">
        <f>((1+Table267[[#This Row],[Monthly change]])^12)-1</f>
        <v>0.15947173285931915</v>
      </c>
      <c r="E551" s="53">
        <f>(Table267[[#This Row],[M2 Money Stock, Billions of Dollars, Weekly, Seasonally Adjusted]]-B539)/B539</f>
        <v>5.1863041289023165E-2</v>
      </c>
    </row>
    <row r="552" spans="1:5" x14ac:dyDescent="0.2">
      <c r="A552" s="50">
        <v>38139</v>
      </c>
      <c r="B552" s="51">
        <v>6269.4</v>
      </c>
      <c r="C552" s="53">
        <f>(Table267[[#This Row],[M2 Money Stock, Billions of Dollars, Weekly, Seasonally Adjusted]]-B551)/B551</f>
        <v>3.8295835327902287E-4</v>
      </c>
      <c r="D552" s="54">
        <f>((1+Table267[[#This Row],[Monthly change]])^12)-1</f>
        <v>4.6051919746079584E-3</v>
      </c>
      <c r="E552" s="53">
        <f>(Table267[[#This Row],[M2 Money Stock, Billions of Dollars, Weekly, Seasonally Adjusted]]-B540)/B540</f>
        <v>4.5823811033079191E-2</v>
      </c>
    </row>
    <row r="553" spans="1:5" x14ac:dyDescent="0.2">
      <c r="A553" s="50">
        <v>38169</v>
      </c>
      <c r="B553" s="51">
        <v>6283.1</v>
      </c>
      <c r="C553" s="53">
        <f>(Table267[[#This Row],[M2 Money Stock, Billions of Dollars, Weekly, Seasonally Adjusted]]-B552)/B552</f>
        <v>2.1852170861646615E-3</v>
      </c>
      <c r="D553" s="54">
        <f>((1+Table267[[#This Row],[Monthly change]])^12)-1</f>
        <v>2.6540073479834225E-2</v>
      </c>
      <c r="E553" s="53">
        <f>(Table267[[#This Row],[M2 Money Stock, Billions of Dollars, Weekly, Seasonally Adjusted]]-B541)/B541</f>
        <v>4.0007283080080898E-2</v>
      </c>
    </row>
    <row r="554" spans="1:5" x14ac:dyDescent="0.2">
      <c r="A554" s="50">
        <v>38200</v>
      </c>
      <c r="B554" s="51">
        <v>6309.2</v>
      </c>
      <c r="C554" s="53">
        <f>(Table267[[#This Row],[M2 Money Stock, Billions of Dollars, Weekly, Seasonally Adjusted]]-B553)/B553</f>
        <v>4.1540004138083831E-3</v>
      </c>
      <c r="D554" s="54">
        <f>((1+Table267[[#This Row],[Monthly change]])^12)-1</f>
        <v>5.1002800482566224E-2</v>
      </c>
      <c r="E554" s="53">
        <f>(Table267[[#This Row],[M2 Money Stock, Billions of Dollars, Weekly, Seasonally Adjusted]]-B542)/B542</f>
        <v>3.4379867202229658E-2</v>
      </c>
    </row>
    <row r="555" spans="1:5" x14ac:dyDescent="0.2">
      <c r="A555" s="50">
        <v>38231</v>
      </c>
      <c r="B555" s="51">
        <v>6343.9</v>
      </c>
      <c r="C555" s="53">
        <f>(Table267[[#This Row],[M2 Money Stock, Billions of Dollars, Weekly, Seasonally Adjusted]]-B554)/B554</f>
        <v>5.4999049007797849E-3</v>
      </c>
      <c r="D555" s="54">
        <f>((1+Table267[[#This Row],[Monthly change]])^12)-1</f>
        <v>6.8032347305271079E-2</v>
      </c>
      <c r="E555" s="53">
        <f>(Table267[[#This Row],[M2 Money Stock, Billions of Dollars, Weekly, Seasonally Adjusted]]-B543)/B543</f>
        <v>4.484814546412795E-2</v>
      </c>
    </row>
    <row r="556" spans="1:5" x14ac:dyDescent="0.2">
      <c r="A556" s="50">
        <v>38261</v>
      </c>
      <c r="B556" s="51">
        <v>6372.1</v>
      </c>
      <c r="C556" s="53">
        <f>(Table267[[#This Row],[M2 Money Stock, Billions of Dollars, Weekly, Seasonally Adjusted]]-B555)/B555</f>
        <v>4.4452150885103377E-3</v>
      </c>
      <c r="D556" s="54">
        <f>((1+Table267[[#This Row],[Monthly change]])^12)-1</f>
        <v>5.4666255750891235E-2</v>
      </c>
      <c r="E556" s="53">
        <f>(Table267[[#This Row],[M2 Money Stock, Billions of Dollars, Weekly, Seasonally Adjusted]]-B544)/B544</f>
        <v>5.1068041237113462E-2</v>
      </c>
    </row>
    <row r="557" spans="1:5" x14ac:dyDescent="0.2">
      <c r="A557" s="50">
        <v>38292</v>
      </c>
      <c r="B557" s="51">
        <v>6398.7</v>
      </c>
      <c r="C557" s="53">
        <f>(Table267[[#This Row],[M2 Money Stock, Billions of Dollars, Weekly, Seasonally Adjusted]]-B556)/B556</f>
        <v>4.1744479841809533E-3</v>
      </c>
      <c r="D557" s="54">
        <f>((1+Table267[[#This Row],[Monthly change]])^12)-1</f>
        <v>5.1259647867322844E-2</v>
      </c>
      <c r="E557" s="53">
        <f>(Table267[[#This Row],[M2 Money Stock, Billions of Dollars, Weekly, Seasonally Adjusted]]-B545)/B545</f>
        <v>5.4551147881404818E-2</v>
      </c>
    </row>
    <row r="558" spans="1:5" x14ac:dyDescent="0.2">
      <c r="A558" s="50">
        <v>38322</v>
      </c>
      <c r="B558" s="51">
        <v>6417.2</v>
      </c>
      <c r="C558" s="53">
        <f>(Table267[[#This Row],[M2 Money Stock, Billions of Dollars, Weekly, Seasonally Adjusted]]-B557)/B557</f>
        <v>2.8912122774938662E-3</v>
      </c>
      <c r="D558" s="54">
        <f>((1+Table267[[#This Row],[Monthly change]])^12)-1</f>
        <v>3.5251600185579379E-2</v>
      </c>
      <c r="E558" s="53">
        <f>(Table267[[#This Row],[M2 Money Stock, Billions of Dollars, Weekly, Seasonally Adjusted]]-B546)/B546</f>
        <v>5.7913912197695344E-2</v>
      </c>
    </row>
    <row r="559" spans="1:5" x14ac:dyDescent="0.2">
      <c r="A559" s="50">
        <v>38353</v>
      </c>
      <c r="B559" s="51">
        <v>6423.4</v>
      </c>
      <c r="C559" s="53">
        <f>(Table267[[#This Row],[M2 Money Stock, Billions of Dollars, Weekly, Seasonally Adjusted]]-B558)/B558</f>
        <v>9.6615346256931659E-4</v>
      </c>
      <c r="D559" s="54">
        <f>((1+Table267[[#This Row],[Monthly change]])^12)-1</f>
        <v>1.1655648257526297E-2</v>
      </c>
      <c r="E559" s="53">
        <f>(Table267[[#This Row],[M2 Money Stock, Billions of Dollars, Weekly, Seasonally Adjusted]]-B547)/B547</f>
        <v>5.7454234163044911E-2</v>
      </c>
    </row>
    <row r="560" spans="1:5" x14ac:dyDescent="0.2">
      <c r="A560" s="50">
        <v>38384</v>
      </c>
      <c r="B560" s="51">
        <v>6431.8</v>
      </c>
      <c r="C560" s="53">
        <f>(Table267[[#This Row],[M2 Money Stock, Billions of Dollars, Weekly, Seasonally Adjusted]]-B559)/B559</f>
        <v>1.3077186536725948E-3</v>
      </c>
      <c r="D560" s="54">
        <f>((1+Table267[[#This Row],[Monthly change]])^12)-1</f>
        <v>1.5805985748448048E-2</v>
      </c>
      <c r="E560" s="53">
        <f>(Table267[[#This Row],[M2 Money Stock, Billions of Dollars, Weekly, Seasonally Adjusted]]-B548)/B548</f>
        <v>5.2116731008309949E-2</v>
      </c>
    </row>
    <row r="561" spans="1:5" x14ac:dyDescent="0.2">
      <c r="A561" s="50">
        <v>38412</v>
      </c>
      <c r="B561" s="51">
        <v>6440.8</v>
      </c>
      <c r="C561" s="53">
        <f>(Table267[[#This Row],[M2 Money Stock, Billions of Dollars, Weekly, Seasonally Adjusted]]-B560)/B560</f>
        <v>1.3992972418296588E-3</v>
      </c>
      <c r="D561" s="54">
        <f>((1+Table267[[#This Row],[Monthly change]])^12)-1</f>
        <v>1.6921401738243524E-2</v>
      </c>
      <c r="E561" s="53">
        <f>(Table267[[#This Row],[M2 Money Stock, Billions of Dollars, Weekly, Seasonally Adjusted]]-B549)/B549</f>
        <v>4.7454870710684695E-2</v>
      </c>
    </row>
    <row r="562" spans="1:5" x14ac:dyDescent="0.2">
      <c r="A562" s="50">
        <v>38443</v>
      </c>
      <c r="B562" s="51">
        <v>6454.7</v>
      </c>
      <c r="C562" s="53">
        <f>(Table267[[#This Row],[M2 Money Stock, Billions of Dollars, Weekly, Seasonally Adjusted]]-B561)/B561</f>
        <v>2.1581170040988131E-3</v>
      </c>
      <c r="D562" s="54">
        <f>((1+Table267[[#This Row],[Monthly change]])^12)-1</f>
        <v>2.620701907799794E-2</v>
      </c>
      <c r="E562" s="53">
        <f>(Table267[[#This Row],[M2 Money Stock, Billions of Dollars, Weekly, Seasonally Adjusted]]-B550)/B550</f>
        <v>4.2728829440082709E-2</v>
      </c>
    </row>
    <row r="563" spans="1:5" x14ac:dyDescent="0.2">
      <c r="A563" s="50">
        <v>38473</v>
      </c>
      <c r="B563" s="51">
        <v>6472</v>
      </c>
      <c r="C563" s="53">
        <f>(Table267[[#This Row],[M2 Money Stock, Billions of Dollars, Weekly, Seasonally Adjusted]]-B562)/B562</f>
        <v>2.680217515918661E-3</v>
      </c>
      <c r="D563" s="54">
        <f>((1+Table267[[#This Row],[Monthly change]])^12)-1</f>
        <v>3.264098697048512E-2</v>
      </c>
      <c r="E563" s="53">
        <f>(Table267[[#This Row],[M2 Money Stock, Billions of Dollars, Weekly, Seasonally Adjusted]]-B551)/B551</f>
        <v>3.271102600925483E-2</v>
      </c>
    </row>
    <row r="564" spans="1:5" x14ac:dyDescent="0.2">
      <c r="A564" s="50">
        <v>38504</v>
      </c>
      <c r="B564" s="51">
        <v>6504.4</v>
      </c>
      <c r="C564" s="53">
        <f>(Table267[[#This Row],[M2 Money Stock, Billions of Dollars, Weekly, Seasonally Adjusted]]-B563)/B563</f>
        <v>5.0061804697156421E-3</v>
      </c>
      <c r="D564" s="54">
        <f>((1+Table267[[#This Row],[Monthly change]])^12)-1</f>
        <v>6.1756162783985546E-2</v>
      </c>
      <c r="E564" s="53">
        <f>(Table267[[#This Row],[M2 Money Stock, Billions of Dollars, Weekly, Seasonally Adjusted]]-B552)/B552</f>
        <v>3.7483650748077968E-2</v>
      </c>
    </row>
    <row r="565" spans="1:5" x14ac:dyDescent="0.2">
      <c r="A565" s="50">
        <v>38534</v>
      </c>
      <c r="B565" s="51">
        <v>6536</v>
      </c>
      <c r="C565" s="53">
        <f>(Table267[[#This Row],[M2 Money Stock, Billions of Dollars, Weekly, Seasonally Adjusted]]-B564)/B564</f>
        <v>4.8582498001353489E-3</v>
      </c>
      <c r="D565" s="54">
        <f>((1+Table267[[#This Row],[Monthly change]])^12)-1</f>
        <v>5.9882273329414426E-2</v>
      </c>
      <c r="E565" s="53">
        <f>(Table267[[#This Row],[M2 Money Stock, Billions of Dollars, Weekly, Seasonally Adjusted]]-B553)/B553</f>
        <v>4.0250831595868224E-2</v>
      </c>
    </row>
    <row r="566" spans="1:5" x14ac:dyDescent="0.2">
      <c r="A566" s="50">
        <v>38565</v>
      </c>
      <c r="B566" s="51">
        <v>6568.7</v>
      </c>
      <c r="C566" s="53">
        <f>(Table267[[#This Row],[M2 Money Stock, Billions of Dollars, Weekly, Seasonally Adjusted]]-B565)/B565</f>
        <v>5.0030599755201679E-3</v>
      </c>
      <c r="D566" s="54">
        <f>((1+Table267[[#This Row],[Monthly change]])^12)-1</f>
        <v>6.1716603058751041E-2</v>
      </c>
      <c r="E566" s="53">
        <f>(Table267[[#This Row],[M2 Money Stock, Billions of Dollars, Weekly, Seasonally Adjusted]]-B554)/B554</f>
        <v>4.1130412730615608E-2</v>
      </c>
    </row>
    <row r="567" spans="1:5" x14ac:dyDescent="0.2">
      <c r="A567" s="50">
        <v>38596</v>
      </c>
      <c r="B567" s="51">
        <v>6602.9</v>
      </c>
      <c r="C567" s="53">
        <f>(Table267[[#This Row],[M2 Money Stock, Billions of Dollars, Weekly, Seasonally Adjusted]]-B566)/B566</f>
        <v>5.2065096594455249E-3</v>
      </c>
      <c r="D567" s="54">
        <f>((1+Table267[[#This Row],[Monthly change]])^12)-1</f>
        <v>6.4298643809176603E-2</v>
      </c>
      <c r="E567" s="53">
        <f>(Table267[[#This Row],[M2 Money Stock, Billions of Dollars, Weekly, Seasonally Adjusted]]-B555)/B555</f>
        <v>4.0826620848374032E-2</v>
      </c>
    </row>
    <row r="568" spans="1:5" x14ac:dyDescent="0.2">
      <c r="A568" s="50">
        <v>38626</v>
      </c>
      <c r="B568" s="51">
        <v>6637</v>
      </c>
      <c r="C568" s="53">
        <f>(Table267[[#This Row],[M2 Money Stock, Billions of Dollars, Weekly, Seasonally Adjusted]]-B567)/B567</f>
        <v>5.16439746172142E-3</v>
      </c>
      <c r="D568" s="54">
        <f>((1+Table267[[#This Row],[Monthly change]])^12)-1</f>
        <v>6.3763713380787124E-2</v>
      </c>
      <c r="E568" s="53">
        <f>(Table267[[#This Row],[M2 Money Stock, Billions of Dollars, Weekly, Seasonally Adjusted]]-B556)/B556</f>
        <v>4.1571852293592317E-2</v>
      </c>
    </row>
    <row r="569" spans="1:5" x14ac:dyDescent="0.2">
      <c r="A569" s="50">
        <v>38657</v>
      </c>
      <c r="B569" s="51">
        <v>6653.4</v>
      </c>
      <c r="C569" s="53">
        <f>(Table267[[#This Row],[M2 Money Stock, Billions of Dollars, Weekly, Seasonally Adjusted]]-B568)/B568</f>
        <v>2.4709959318968866E-3</v>
      </c>
      <c r="D569" s="54">
        <f>((1+Table267[[#This Row],[Monthly change]])^12)-1</f>
        <v>3.0058273130044277E-2</v>
      </c>
      <c r="E569" s="53">
        <f>(Table267[[#This Row],[M2 Money Stock, Billions of Dollars, Weekly, Seasonally Adjusted]]-B557)/B557</f>
        <v>3.9804960382577685E-2</v>
      </c>
    </row>
    <row r="570" spans="1:5" x14ac:dyDescent="0.2">
      <c r="A570" s="50">
        <v>38687</v>
      </c>
      <c r="B570" s="51">
        <v>6680.1</v>
      </c>
      <c r="C570" s="53">
        <f>(Table267[[#This Row],[M2 Money Stock, Billions of Dollars, Weekly, Seasonally Adjusted]]-B569)/B569</f>
        <v>4.0129858418253414E-3</v>
      </c>
      <c r="D570" s="54">
        <f>((1+Table267[[#This Row],[Monthly change]])^12)-1</f>
        <v>4.9233044533994796E-2</v>
      </c>
      <c r="E570" s="53">
        <f>(Table267[[#This Row],[M2 Money Stock, Billions of Dollars, Weekly, Seasonally Adjusted]]-B558)/B558</f>
        <v>4.0968023437013112E-2</v>
      </c>
    </row>
    <row r="571" spans="1:5" x14ac:dyDescent="0.2">
      <c r="A571" s="50">
        <v>38718</v>
      </c>
      <c r="B571" s="51">
        <v>6722.5</v>
      </c>
      <c r="C571" s="53">
        <f>(Table267[[#This Row],[M2 Money Stock, Billions of Dollars, Weekly, Seasonally Adjusted]]-B570)/B570</f>
        <v>6.347210371102174E-3</v>
      </c>
      <c r="D571" s="54">
        <f>((1+Table267[[#This Row],[Monthly change]])^12)-1</f>
        <v>7.8882539653975625E-2</v>
      </c>
      <c r="E571" s="53">
        <f>(Table267[[#This Row],[M2 Money Stock, Billions of Dollars, Weekly, Seasonally Adjusted]]-B559)/B559</f>
        <v>4.6564124918267641E-2</v>
      </c>
    </row>
    <row r="572" spans="1:5" x14ac:dyDescent="0.2">
      <c r="A572" s="50">
        <v>38749</v>
      </c>
      <c r="B572" s="51">
        <v>6746.8</v>
      </c>
      <c r="C572" s="53">
        <f>(Table267[[#This Row],[M2 Money Stock, Billions of Dollars, Weekly, Seasonally Adjusted]]-B571)/B571</f>
        <v>3.6147266641874572E-3</v>
      </c>
      <c r="D572" s="54">
        <f>((1+Table267[[#This Row],[Monthly change]])^12)-1</f>
        <v>4.4249568197420652E-2</v>
      </c>
      <c r="E572" s="53">
        <f>(Table267[[#This Row],[M2 Money Stock, Billions of Dollars, Weekly, Seasonally Adjusted]]-B560)/B560</f>
        <v>4.8975403464038059E-2</v>
      </c>
    </row>
    <row r="573" spans="1:5" x14ac:dyDescent="0.2">
      <c r="A573" s="50">
        <v>38777</v>
      </c>
      <c r="B573" s="51">
        <v>6761.1</v>
      </c>
      <c r="C573" s="53">
        <f>(Table267[[#This Row],[M2 Money Stock, Billions of Dollars, Weekly, Seasonally Adjusted]]-B572)/B572</f>
        <v>2.1195233295784937E-3</v>
      </c>
      <c r="D573" s="54">
        <f>((1+Table267[[#This Row],[Monthly change]])^12)-1</f>
        <v>2.5732881776806549E-2</v>
      </c>
      <c r="E573" s="53">
        <f>(Table267[[#This Row],[M2 Money Stock, Billions of Dollars, Weekly, Seasonally Adjusted]]-B561)/B561</f>
        <v>4.9729847223947361E-2</v>
      </c>
    </row>
    <row r="574" spans="1:5" x14ac:dyDescent="0.2">
      <c r="A574" s="50">
        <v>38808</v>
      </c>
      <c r="B574" s="51">
        <v>6798.5</v>
      </c>
      <c r="C574" s="53">
        <f>(Table267[[#This Row],[M2 Money Stock, Billions of Dollars, Weekly, Seasonally Adjusted]]-B573)/B573</f>
        <v>5.5316442590702154E-3</v>
      </c>
      <c r="D574" s="54">
        <f>((1+Table267[[#This Row],[Monthly change]])^12)-1</f>
        <v>6.8436976449352871E-2</v>
      </c>
      <c r="E574" s="53">
        <f>(Table267[[#This Row],[M2 Money Stock, Billions of Dollars, Weekly, Seasonally Adjusted]]-B562)/B562</f>
        <v>5.3263513408833903E-2</v>
      </c>
    </row>
    <row r="575" spans="1:5" x14ac:dyDescent="0.2">
      <c r="A575" s="50">
        <v>38838</v>
      </c>
      <c r="B575" s="51">
        <v>6805.2</v>
      </c>
      <c r="C575" s="53">
        <f>(Table267[[#This Row],[M2 Money Stock, Billions of Dollars, Weekly, Seasonally Adjusted]]-B574)/B574</f>
        <v>9.8551150989186127E-4</v>
      </c>
      <c r="D575" s="54">
        <f>((1+Table267[[#This Row],[Monthly change]])^12)-1</f>
        <v>1.1890450535625208E-2</v>
      </c>
      <c r="E575" s="53">
        <f>(Table267[[#This Row],[M2 Money Stock, Billions of Dollars, Weekly, Seasonally Adjusted]]-B563)/B563</f>
        <v>5.1483312731767587E-2</v>
      </c>
    </row>
    <row r="576" spans="1:5" x14ac:dyDescent="0.2">
      <c r="A576" s="50">
        <v>38869</v>
      </c>
      <c r="B576" s="51">
        <v>6843.2</v>
      </c>
      <c r="C576" s="53">
        <f>(Table267[[#This Row],[M2 Money Stock, Billions of Dollars, Weekly, Seasonally Adjusted]]-B575)/B575</f>
        <v>5.5839652030799979E-3</v>
      </c>
      <c r="D576" s="54">
        <f>((1+Table267[[#This Row],[Monthly change]])^12)-1</f>
        <v>6.910429665591411E-2</v>
      </c>
      <c r="E576" s="53">
        <f>(Table267[[#This Row],[M2 Money Stock, Billions of Dollars, Weekly, Seasonally Adjusted]]-B564)/B564</f>
        <v>5.2087817477399947E-2</v>
      </c>
    </row>
    <row r="577" spans="1:5" x14ac:dyDescent="0.2">
      <c r="A577" s="50">
        <v>38899</v>
      </c>
      <c r="B577" s="51">
        <v>6884.6</v>
      </c>
      <c r="C577" s="53">
        <f>(Table267[[#This Row],[M2 Money Stock, Billions of Dollars, Weekly, Seasonally Adjusted]]-B576)/B576</f>
        <v>6.0498012625673E-3</v>
      </c>
      <c r="D577" s="54">
        <f>((1+Table267[[#This Row],[Monthly change]])^12)-1</f>
        <v>7.5062604117979381E-2</v>
      </c>
      <c r="E577" s="53">
        <f>(Table267[[#This Row],[M2 Money Stock, Billions of Dollars, Weekly, Seasonally Adjusted]]-B565)/B565</f>
        <v>5.3335373317013518E-2</v>
      </c>
    </row>
    <row r="578" spans="1:5" x14ac:dyDescent="0.2">
      <c r="A578" s="50">
        <v>38930</v>
      </c>
      <c r="B578" s="51">
        <v>6915.4</v>
      </c>
      <c r="C578" s="53">
        <f>(Table267[[#This Row],[M2 Money Stock, Billions of Dollars, Weekly, Seasonally Adjusted]]-B577)/B577</f>
        <v>4.4737530139731096E-3</v>
      </c>
      <c r="D578" s="54">
        <f>((1+Table267[[#This Row],[Monthly change]])^12)-1</f>
        <v>5.5025889390063032E-2</v>
      </c>
      <c r="E578" s="53">
        <f>(Table267[[#This Row],[M2 Money Stock, Billions of Dollars, Weekly, Seasonally Adjusted]]-B566)/B566</f>
        <v>5.27806110798179E-2</v>
      </c>
    </row>
    <row r="579" spans="1:5" x14ac:dyDescent="0.2">
      <c r="A579" s="50">
        <v>38961</v>
      </c>
      <c r="B579" s="51">
        <v>6942.6</v>
      </c>
      <c r="C579" s="53">
        <f>(Table267[[#This Row],[M2 Money Stock, Billions of Dollars, Weekly, Seasonally Adjusted]]-B578)/B578</f>
        <v>3.9332504265842507E-3</v>
      </c>
      <c r="D579" s="54">
        <f>((1+Table267[[#This Row],[Monthly change]])^12)-1</f>
        <v>4.8233561449092743E-2</v>
      </c>
      <c r="E579" s="53">
        <f>(Table267[[#This Row],[M2 Money Stock, Billions of Dollars, Weekly, Seasonally Adjusted]]-B567)/B567</f>
        <v>5.1447091429523507E-2</v>
      </c>
    </row>
    <row r="580" spans="1:5" x14ac:dyDescent="0.2">
      <c r="A580" s="50">
        <v>38991</v>
      </c>
      <c r="B580" s="51">
        <v>6991.6</v>
      </c>
      <c r="C580" s="53">
        <f>(Table267[[#This Row],[M2 Money Stock, Billions of Dollars, Weekly, Seasonally Adjusted]]-B579)/B579</f>
        <v>7.0578745714861861E-3</v>
      </c>
      <c r="D580" s="54">
        <f>((1+Table267[[#This Row],[Monthly change]])^12)-1</f>
        <v>8.8060781483037642E-2</v>
      </c>
      <c r="E580" s="53">
        <f>(Table267[[#This Row],[M2 Money Stock, Billions of Dollars, Weekly, Seasonally Adjusted]]-B568)/B568</f>
        <v>5.3427753503088801E-2</v>
      </c>
    </row>
    <row r="581" spans="1:5" x14ac:dyDescent="0.2">
      <c r="A581" s="50">
        <v>39022</v>
      </c>
      <c r="B581" s="51">
        <v>7026.5</v>
      </c>
      <c r="C581" s="53">
        <f>(Table267[[#This Row],[M2 Money Stock, Billions of Dollars, Weekly, Seasonally Adjusted]]-B580)/B580</f>
        <v>4.9917043309113274E-3</v>
      </c>
      <c r="D581" s="54">
        <f>((1+Table267[[#This Row],[Monthly change]])^12)-1</f>
        <v>6.1572654515585468E-2</v>
      </c>
      <c r="E581" s="53">
        <f>(Table267[[#This Row],[M2 Money Stock, Billions of Dollars, Weekly, Seasonally Adjusted]]-B569)/B569</f>
        <v>5.6076592418913697E-2</v>
      </c>
    </row>
    <row r="582" spans="1:5" x14ac:dyDescent="0.2">
      <c r="A582" s="50">
        <v>39052</v>
      </c>
      <c r="B582" s="51">
        <v>7069.5</v>
      </c>
      <c r="C582" s="53">
        <f>(Table267[[#This Row],[M2 Money Stock, Billions of Dollars, Weekly, Seasonally Adjusted]]-B581)/B581</f>
        <v>6.1196897459617162E-3</v>
      </c>
      <c r="D582" s="54">
        <f>((1+Table267[[#This Row],[Monthly change]])^12)-1</f>
        <v>7.5959138765098411E-2</v>
      </c>
      <c r="E582" s="53">
        <f>(Table267[[#This Row],[M2 Money Stock, Billions of Dollars, Weekly, Seasonally Adjusted]]-B570)/B570</f>
        <v>5.8292540530830321E-2</v>
      </c>
    </row>
    <row r="583" spans="1:5" x14ac:dyDescent="0.2">
      <c r="A583" s="50">
        <v>39083</v>
      </c>
      <c r="B583" s="51">
        <v>7107.4</v>
      </c>
      <c r="C583" s="53">
        <f>(Table267[[#This Row],[M2 Money Stock, Billions of Dollars, Weekly, Seasonally Adjusted]]-B582)/B582</f>
        <v>5.3610580663412738E-3</v>
      </c>
      <c r="D583" s="54">
        <f>((1+Table267[[#This Row],[Monthly change]])^12)-1</f>
        <v>6.626390950401051E-2</v>
      </c>
      <c r="E583" s="53">
        <f>(Table267[[#This Row],[M2 Money Stock, Billions of Dollars, Weekly, Seasonally Adjusted]]-B571)/B571</f>
        <v>5.7255485310524303E-2</v>
      </c>
    </row>
    <row r="584" spans="1:5" x14ac:dyDescent="0.2">
      <c r="A584" s="50">
        <v>39114</v>
      </c>
      <c r="B584" s="51">
        <v>7123.2</v>
      </c>
      <c r="C584" s="53">
        <f>(Table267[[#This Row],[M2 Money Stock, Billions of Dollars, Weekly, Seasonally Adjusted]]-B583)/B583</f>
        <v>2.2230351464670884E-3</v>
      </c>
      <c r="D584" s="54">
        <f>((1+Table267[[#This Row],[Monthly change]])^12)-1</f>
        <v>2.7005015233658503E-2</v>
      </c>
      <c r="E584" s="53">
        <f>(Table267[[#This Row],[M2 Money Stock, Billions of Dollars, Weekly, Seasonally Adjusted]]-B572)/B572</f>
        <v>5.5789411276456931E-2</v>
      </c>
    </row>
    <row r="585" spans="1:5" x14ac:dyDescent="0.2">
      <c r="A585" s="50">
        <v>39142</v>
      </c>
      <c r="B585" s="51">
        <v>7156.9</v>
      </c>
      <c r="C585" s="53">
        <f>(Table267[[#This Row],[M2 Money Stock, Billions of Dollars, Weekly, Seasonally Adjusted]]-B584)/B584</f>
        <v>4.7310197663970998E-3</v>
      </c>
      <c r="D585" s="54">
        <f>((1+Table267[[#This Row],[Monthly change]])^12)-1</f>
        <v>5.8273031539609832E-2</v>
      </c>
      <c r="E585" s="53">
        <f>(Table267[[#This Row],[M2 Money Stock, Billions of Dollars, Weekly, Seasonally Adjusted]]-B573)/B573</f>
        <v>5.8540769993048358E-2</v>
      </c>
    </row>
    <row r="586" spans="1:5" x14ac:dyDescent="0.2">
      <c r="A586" s="50">
        <v>39173</v>
      </c>
      <c r="B586" s="51">
        <v>7229.3</v>
      </c>
      <c r="C586" s="53">
        <f>(Table267[[#This Row],[M2 Money Stock, Billions of Dollars, Weekly, Seasonally Adjusted]]-B585)/B585</f>
        <v>1.0116111724350004E-2</v>
      </c>
      <c r="D586" s="54">
        <f>((1+Table267[[#This Row],[Monthly change]])^12)-1</f>
        <v>0.12838051951623464</v>
      </c>
      <c r="E586" s="53">
        <f>(Table267[[#This Row],[M2 Money Stock, Billions of Dollars, Weekly, Seasonally Adjusted]]-B574)/B574</f>
        <v>6.3366919173347094E-2</v>
      </c>
    </row>
    <row r="587" spans="1:5" x14ac:dyDescent="0.2">
      <c r="A587" s="50">
        <v>39203</v>
      </c>
      <c r="B587" s="51">
        <v>7243.2</v>
      </c>
      <c r="C587" s="53">
        <f>(Table267[[#This Row],[M2 Money Stock, Billions of Dollars, Weekly, Seasonally Adjusted]]-B586)/B586</f>
        <v>1.9227311081293674E-3</v>
      </c>
      <c r="D587" s="54">
        <f>((1+Table267[[#This Row],[Monthly change]])^12)-1</f>
        <v>2.3318338937595051E-2</v>
      </c>
      <c r="E587" s="53">
        <f>(Table267[[#This Row],[M2 Money Stock, Billions of Dollars, Weekly, Seasonally Adjusted]]-B575)/B575</f>
        <v>6.4362546288132608E-2</v>
      </c>
    </row>
    <row r="588" spans="1:5" x14ac:dyDescent="0.2">
      <c r="A588" s="50">
        <v>39234</v>
      </c>
      <c r="B588" s="51">
        <v>7276.3</v>
      </c>
      <c r="C588" s="53">
        <f>(Table267[[#This Row],[M2 Money Stock, Billions of Dollars, Weekly, Seasonally Adjusted]]-B587)/B587</f>
        <v>4.5698034018114043E-3</v>
      </c>
      <c r="D588" s="54">
        <f>((1+Table267[[#This Row],[Monthly change]])^12)-1</f>
        <v>5.6237138055367009E-2</v>
      </c>
      <c r="E588" s="53">
        <f>(Table267[[#This Row],[M2 Money Stock, Billions of Dollars, Weekly, Seasonally Adjusted]]-B576)/B576</f>
        <v>6.3289104512508826E-2</v>
      </c>
    </row>
    <row r="589" spans="1:5" x14ac:dyDescent="0.2">
      <c r="A589" s="50">
        <v>39264</v>
      </c>
      <c r="B589" s="51">
        <v>7306.6</v>
      </c>
      <c r="C589" s="53">
        <f>(Table267[[#This Row],[M2 Money Stock, Billions of Dollars, Weekly, Seasonally Adjusted]]-B588)/B588</f>
        <v>4.1642043346206423E-3</v>
      </c>
      <c r="D589" s="54">
        <f>((1+Table267[[#This Row],[Monthly change]])^12)-1</f>
        <v>5.1130967461848975E-2</v>
      </c>
      <c r="E589" s="53">
        <f>(Table267[[#This Row],[M2 Money Stock, Billions of Dollars, Weekly, Seasonally Adjusted]]-B577)/B577</f>
        <v>6.1296226360282369E-2</v>
      </c>
    </row>
    <row r="590" spans="1:5" x14ac:dyDescent="0.2">
      <c r="A590" s="50">
        <v>39295</v>
      </c>
      <c r="B590" s="51">
        <v>7382.8</v>
      </c>
      <c r="C590" s="53">
        <f>(Table267[[#This Row],[M2 Money Stock, Billions of Dollars, Weekly, Seasonally Adjusted]]-B589)/B589</f>
        <v>1.0428927271234201E-2</v>
      </c>
      <c r="D590" s="54">
        <f>((1+Table267[[#This Row],[Monthly change]])^12)-1</f>
        <v>0.13258094906321172</v>
      </c>
      <c r="E590" s="53">
        <f>(Table267[[#This Row],[M2 Money Stock, Billions of Dollars, Weekly, Seasonally Adjusted]]-B578)/B578</f>
        <v>6.7588281227405581E-2</v>
      </c>
    </row>
    <row r="591" spans="1:5" x14ac:dyDescent="0.2">
      <c r="A591" s="50">
        <v>39326</v>
      </c>
      <c r="B591" s="51">
        <v>7401.1</v>
      </c>
      <c r="C591" s="53">
        <f>(Table267[[#This Row],[M2 Money Stock, Billions of Dollars, Weekly, Seasonally Adjusted]]-B590)/B590</f>
        <v>2.4787343555290921E-3</v>
      </c>
      <c r="D591" s="54">
        <f>((1+Table267[[#This Row],[Monthly change]])^12)-1</f>
        <v>3.0153693734676912E-2</v>
      </c>
      <c r="E591" s="53">
        <f>(Table267[[#This Row],[M2 Money Stock, Billions of Dollars, Weekly, Seasonally Adjusted]]-B579)/B579</f>
        <v>6.6041540633192175E-2</v>
      </c>
    </row>
    <row r="592" spans="1:5" x14ac:dyDescent="0.2">
      <c r="A592" s="50">
        <v>39356</v>
      </c>
      <c r="B592" s="51">
        <v>7414.8</v>
      </c>
      <c r="C592" s="53">
        <f>(Table267[[#This Row],[M2 Money Stock, Billions of Dollars, Weekly, Seasonally Adjusted]]-B591)/B591</f>
        <v>1.8510761913769329E-3</v>
      </c>
      <c r="D592" s="54">
        <f>((1+Table267[[#This Row],[Monthly change]])^12)-1</f>
        <v>2.2440463397707999E-2</v>
      </c>
      <c r="E592" s="53">
        <f>(Table267[[#This Row],[M2 Money Stock, Billions of Dollars, Weekly, Seasonally Adjusted]]-B580)/B580</f>
        <v>6.0529778591452574E-2</v>
      </c>
    </row>
    <row r="593" spans="1:5" x14ac:dyDescent="0.2">
      <c r="A593" s="50">
        <v>39387</v>
      </c>
      <c r="B593" s="51">
        <v>7439.6</v>
      </c>
      <c r="C593" s="53">
        <f>(Table267[[#This Row],[M2 Money Stock, Billions of Dollars, Weekly, Seasonally Adjusted]]-B592)/B592</f>
        <v>3.3446620272967824E-3</v>
      </c>
      <c r="D593" s="54">
        <f>((1+Table267[[#This Row],[Monthly change]])^12)-1</f>
        <v>4.0882564543462729E-2</v>
      </c>
      <c r="E593" s="53">
        <f>(Table267[[#This Row],[M2 Money Stock, Billions of Dollars, Weekly, Seasonally Adjusted]]-B581)/B581</f>
        <v>5.8791717071088073E-2</v>
      </c>
    </row>
    <row r="594" spans="1:5" x14ac:dyDescent="0.2">
      <c r="A594" s="50">
        <v>39417</v>
      </c>
      <c r="B594" s="51">
        <v>7469.4</v>
      </c>
      <c r="C594" s="53">
        <f>(Table267[[#This Row],[M2 Money Stock, Billions of Dollars, Weekly, Seasonally Adjusted]]-B593)/B593</f>
        <v>4.0055916984783144E-3</v>
      </c>
      <c r="D594" s="54">
        <f>((1+Table267[[#This Row],[Monthly change]])^12)-1</f>
        <v>4.9140322243672596E-2</v>
      </c>
      <c r="E594" s="53">
        <f>(Table267[[#This Row],[M2 Money Stock, Billions of Dollars, Weekly, Seasonally Adjusted]]-B582)/B582</f>
        <v>5.6566942499469502E-2</v>
      </c>
    </row>
    <row r="595" spans="1:5" x14ac:dyDescent="0.2">
      <c r="A595" s="50">
        <v>39448</v>
      </c>
      <c r="B595" s="51">
        <v>7503.1</v>
      </c>
      <c r="C595" s="53">
        <f>(Table267[[#This Row],[M2 Money Stock, Billions of Dollars, Weekly, Seasonally Adjusted]]-B594)/B594</f>
        <v>4.5117412375827682E-3</v>
      </c>
      <c r="D595" s="54">
        <f>((1+Table267[[#This Row],[Monthly change]])^12)-1</f>
        <v>5.5504789672225163E-2</v>
      </c>
      <c r="E595" s="53">
        <f>(Table267[[#This Row],[M2 Money Stock, Billions of Dollars, Weekly, Seasonally Adjusted]]-B583)/B583</f>
        <v>5.567436756057078E-2</v>
      </c>
    </row>
    <row r="596" spans="1:5" x14ac:dyDescent="0.2">
      <c r="A596" s="50">
        <v>39479</v>
      </c>
      <c r="B596" s="51">
        <v>7587.6</v>
      </c>
      <c r="C596" s="53">
        <f>(Table267[[#This Row],[M2 Money Stock, Billions of Dollars, Weekly, Seasonally Adjusted]]-B595)/B595</f>
        <v>1.1262011701829909E-2</v>
      </c>
      <c r="D596" s="54">
        <f>((1+Table267[[#This Row],[Monthly change]])^12)-1</f>
        <v>0.14383746718173818</v>
      </c>
      <c r="E596" s="53">
        <f>(Table267[[#This Row],[M2 Money Stock, Billions of Dollars, Weekly, Seasonally Adjusted]]-B584)/B584</f>
        <v>6.5195417789757487E-2</v>
      </c>
    </row>
    <row r="597" spans="1:5" x14ac:dyDescent="0.2">
      <c r="A597" s="50">
        <v>39508</v>
      </c>
      <c r="B597" s="51">
        <v>7653.3</v>
      </c>
      <c r="C597" s="53">
        <f>(Table267[[#This Row],[M2 Money Stock, Billions of Dollars, Weekly, Seasonally Adjusted]]-B596)/B596</f>
        <v>8.6588644630713023E-3</v>
      </c>
      <c r="D597" s="54">
        <f>((1+Table267[[#This Row],[Monthly change]])^12)-1</f>
        <v>0.10900043213689892</v>
      </c>
      <c r="E597" s="53">
        <f>(Table267[[#This Row],[M2 Money Stock, Billions of Dollars, Weekly, Seasonally Adjusted]]-B585)/B585</f>
        <v>6.935963894982472E-2</v>
      </c>
    </row>
    <row r="598" spans="1:5" x14ac:dyDescent="0.2">
      <c r="A598" s="50">
        <v>39539</v>
      </c>
      <c r="B598" s="51">
        <v>7696.1</v>
      </c>
      <c r="C598" s="53">
        <f>(Table267[[#This Row],[M2 Money Stock, Billions of Dollars, Weekly, Seasonally Adjusted]]-B597)/B597</f>
        <v>5.5923588517371829E-3</v>
      </c>
      <c r="D598" s="54">
        <f>((1+Table267[[#This Row],[Monthly change]])^12)-1</f>
        <v>6.9211387836399796E-2</v>
      </c>
      <c r="E598" s="53">
        <f>(Table267[[#This Row],[M2 Money Stock, Billions of Dollars, Weekly, Seasonally Adjusted]]-B586)/B586</f>
        <v>6.4570566998187959E-2</v>
      </c>
    </row>
    <row r="599" spans="1:5" x14ac:dyDescent="0.2">
      <c r="A599" s="50">
        <v>39569</v>
      </c>
      <c r="B599" s="51">
        <v>7708.3</v>
      </c>
      <c r="C599" s="53">
        <f>(Table267[[#This Row],[M2 Money Stock, Billions of Dollars, Weekly, Seasonally Adjusted]]-B598)/B598</f>
        <v>1.5852184872857443E-3</v>
      </c>
      <c r="D599" s="54">
        <f>((1+Table267[[#This Row],[Monthly change]])^12)-1</f>
        <v>1.9189353921410746E-2</v>
      </c>
      <c r="E599" s="53">
        <f>(Table267[[#This Row],[M2 Money Stock, Billions of Dollars, Weekly, Seasonally Adjusted]]-B587)/B587</f>
        <v>6.4211950519107622E-2</v>
      </c>
    </row>
    <row r="600" spans="1:5" x14ac:dyDescent="0.2">
      <c r="A600" s="50">
        <v>39600</v>
      </c>
      <c r="B600" s="51">
        <v>7725.8</v>
      </c>
      <c r="C600" s="53">
        <f>(Table267[[#This Row],[M2 Money Stock, Billions of Dollars, Weekly, Seasonally Adjusted]]-B599)/B599</f>
        <v>2.2702800876976763E-3</v>
      </c>
      <c r="D600" s="54">
        <f>((1+Table267[[#This Row],[Monthly change]])^12)-1</f>
        <v>2.7586123891768066E-2</v>
      </c>
      <c r="E600" s="53">
        <f>(Table267[[#This Row],[M2 Money Stock, Billions of Dollars, Weekly, Seasonally Adjusted]]-B588)/B588</f>
        <v>6.1775902587853718E-2</v>
      </c>
    </row>
    <row r="601" spans="1:5" x14ac:dyDescent="0.2">
      <c r="A601" s="50">
        <v>39630</v>
      </c>
      <c r="B601" s="51">
        <v>7772.1</v>
      </c>
      <c r="C601" s="53">
        <f>(Table267[[#This Row],[M2 Money Stock, Billions of Dollars, Weekly, Seasonally Adjusted]]-B600)/B600</f>
        <v>5.9929068834295709E-3</v>
      </c>
      <c r="D601" s="54">
        <f>((1+Table267[[#This Row],[Monthly change]])^12)-1</f>
        <v>7.4333264497241869E-2</v>
      </c>
      <c r="E601" s="53">
        <f>(Table267[[#This Row],[M2 Money Stock, Billions of Dollars, Weekly, Seasonally Adjusted]]-B589)/B589</f>
        <v>6.3709522897106727E-2</v>
      </c>
    </row>
    <row r="602" spans="1:5" x14ac:dyDescent="0.2">
      <c r="A602" s="50">
        <v>39661</v>
      </c>
      <c r="B602" s="51">
        <v>7787</v>
      </c>
      <c r="C602" s="53">
        <f>(Table267[[#This Row],[M2 Money Stock, Billions of Dollars, Weekly, Seasonally Adjusted]]-B601)/B601</f>
        <v>1.9171137787727429E-3</v>
      </c>
      <c r="D602" s="54">
        <f>((1+Table267[[#This Row],[Monthly change]])^12)-1</f>
        <v>2.3249493641853247E-2</v>
      </c>
      <c r="E602" s="53">
        <f>(Table267[[#This Row],[M2 Money Stock, Billions of Dollars, Weekly, Seasonally Adjusted]]-B590)/B590</f>
        <v>5.4748875765292276E-2</v>
      </c>
    </row>
    <row r="603" spans="1:5" x14ac:dyDescent="0.2">
      <c r="A603" s="50">
        <v>39692</v>
      </c>
      <c r="B603" s="51">
        <v>7856.5</v>
      </c>
      <c r="C603" s="53">
        <f>(Table267[[#This Row],[M2 Money Stock, Billions of Dollars, Weekly, Seasonally Adjusted]]-B602)/B602</f>
        <v>8.9251316296391423E-3</v>
      </c>
      <c r="D603" s="54">
        <f>((1+Table267[[#This Row],[Monthly change]])^12)-1</f>
        <v>0.11251860291344551</v>
      </c>
      <c r="E603" s="53">
        <f>(Table267[[#This Row],[M2 Money Stock, Billions of Dollars, Weekly, Seasonally Adjusted]]-B591)/B591</f>
        <v>6.1531393981975602E-2</v>
      </c>
    </row>
    <row r="604" spans="1:5" x14ac:dyDescent="0.2">
      <c r="A604" s="50">
        <v>39722</v>
      </c>
      <c r="B604" s="51">
        <v>7963.1</v>
      </c>
      <c r="C604" s="53">
        <f>(Table267[[#This Row],[M2 Money Stock, Billions of Dollars, Weekly, Seasonally Adjusted]]-B603)/B603</f>
        <v>1.3568382867689221E-2</v>
      </c>
      <c r="D604" s="54">
        <f>((1+Table267[[#This Row],[Monthly change]])^12)-1</f>
        <v>0.17553795816187967</v>
      </c>
      <c r="E604" s="53">
        <f>(Table267[[#This Row],[M2 Money Stock, Billions of Dollars, Weekly, Seasonally Adjusted]]-B592)/B592</f>
        <v>7.3946701192210196E-2</v>
      </c>
    </row>
    <row r="605" spans="1:5" x14ac:dyDescent="0.2">
      <c r="A605" s="50">
        <v>39753</v>
      </c>
      <c r="B605" s="51">
        <v>8013.5</v>
      </c>
      <c r="C605" s="53">
        <f>(Table267[[#This Row],[M2 Money Stock, Billions of Dollars, Weekly, Seasonally Adjusted]]-B604)/B604</f>
        <v>6.3291934045785732E-3</v>
      </c>
      <c r="D605" s="54">
        <f>((1+Table267[[#This Row],[Monthly change]])^12)-1</f>
        <v>7.8650775390493255E-2</v>
      </c>
      <c r="E605" s="53">
        <f>(Table267[[#This Row],[M2 Money Stock, Billions of Dollars, Weekly, Seasonally Adjusted]]-B593)/B593</f>
        <v>7.714124415291139E-2</v>
      </c>
    </row>
    <row r="606" spans="1:5" x14ac:dyDescent="0.2">
      <c r="A606" s="50">
        <v>39783</v>
      </c>
      <c r="B606" s="51">
        <v>8189.7</v>
      </c>
      <c r="C606" s="53">
        <f>(Table267[[#This Row],[M2 Money Stock, Billions of Dollars, Weekly, Seasonally Adjusted]]-B605)/B605</f>
        <v>2.1987895426467813E-2</v>
      </c>
      <c r="D606" s="54">
        <f>((1+Table267[[#This Row],[Monthly change]])^12)-1</f>
        <v>0.2982221771508442</v>
      </c>
      <c r="E606" s="53">
        <f>(Table267[[#This Row],[M2 Money Stock, Billions of Dollars, Weekly, Seasonally Adjusted]]-B594)/B594</f>
        <v>9.6433448469756641E-2</v>
      </c>
    </row>
    <row r="607" spans="1:5" x14ac:dyDescent="0.2">
      <c r="A607" s="50">
        <v>39814</v>
      </c>
      <c r="B607" s="51">
        <v>8271.2000000000007</v>
      </c>
      <c r="C607" s="53">
        <f>(Table267[[#This Row],[M2 Money Stock, Billions of Dollars, Weekly, Seasonally Adjusted]]-B606)/B606</f>
        <v>9.9515244758661379E-3</v>
      </c>
      <c r="D607" s="54">
        <f>((1+Table267[[#This Row],[Monthly change]])^12)-1</f>
        <v>0.12617621012807745</v>
      </c>
      <c r="E607" s="53">
        <f>(Table267[[#This Row],[M2 Money Stock, Billions of Dollars, Weekly, Seasonally Adjusted]]-B595)/B595</f>
        <v>0.10237101997840897</v>
      </c>
    </row>
    <row r="608" spans="1:5" x14ac:dyDescent="0.2">
      <c r="A608" s="50">
        <v>39845</v>
      </c>
      <c r="B608" s="51">
        <v>8300.5</v>
      </c>
      <c r="C608" s="53">
        <f>(Table267[[#This Row],[M2 Money Stock, Billions of Dollars, Weekly, Seasonally Adjusted]]-B607)/B607</f>
        <v>3.5424122255536404E-3</v>
      </c>
      <c r="D608" s="54">
        <f>((1+Table267[[#This Row],[Monthly change]])^12)-1</f>
        <v>4.3347017841310453E-2</v>
      </c>
      <c r="E608" s="53">
        <f>(Table267[[#This Row],[M2 Money Stock, Billions of Dollars, Weekly, Seasonally Adjusted]]-B596)/B596</f>
        <v>9.3955928093204646E-2</v>
      </c>
    </row>
    <row r="609" spans="1:5" x14ac:dyDescent="0.2">
      <c r="A609" s="50">
        <v>39873</v>
      </c>
      <c r="B609" s="51">
        <v>8366.5</v>
      </c>
      <c r="C609" s="53">
        <f>(Table267[[#This Row],[M2 Money Stock, Billions of Dollars, Weekly, Seasonally Adjusted]]-B608)/B608</f>
        <v>7.9513282332389617E-3</v>
      </c>
      <c r="D609" s="54">
        <f>((1+Table267[[#This Row],[Monthly change]])^12)-1</f>
        <v>9.9701298384905268E-2</v>
      </c>
      <c r="E609" s="53">
        <f>(Table267[[#This Row],[M2 Money Stock, Billions of Dollars, Weekly, Seasonally Adjusted]]-B597)/B597</f>
        <v>9.3188559183620109E-2</v>
      </c>
    </row>
    <row r="610" spans="1:5" x14ac:dyDescent="0.2">
      <c r="A610" s="50">
        <v>39904</v>
      </c>
      <c r="B610" s="51">
        <v>8369.9</v>
      </c>
      <c r="C610" s="53">
        <f>(Table267[[#This Row],[M2 Money Stock, Billions of Dollars, Weekly, Seasonally Adjusted]]-B609)/B609</f>
        <v>4.0638259726285018E-4</v>
      </c>
      <c r="D610" s="54">
        <f>((1+Table267[[#This Row],[Monthly change]])^12)-1</f>
        <v>4.8875056352917223E-3</v>
      </c>
      <c r="E610" s="53">
        <f>(Table267[[#This Row],[M2 Money Stock, Billions of Dollars, Weekly, Seasonally Adjusted]]-B598)/B598</f>
        <v>8.7550837437143383E-2</v>
      </c>
    </row>
    <row r="611" spans="1:5" x14ac:dyDescent="0.2">
      <c r="A611" s="50">
        <v>39934</v>
      </c>
      <c r="B611" s="51">
        <v>8427.6</v>
      </c>
      <c r="C611" s="53">
        <f>(Table267[[#This Row],[M2 Money Stock, Billions of Dollars, Weekly, Seasonally Adjusted]]-B610)/B610</f>
        <v>6.8937502240171006E-3</v>
      </c>
      <c r="D611" s="54">
        <f>((1+Table267[[#This Row],[Monthly change]])^12)-1</f>
        <v>8.5934779137545547E-2</v>
      </c>
      <c r="E611" s="53">
        <f>(Table267[[#This Row],[M2 Money Stock, Billions of Dollars, Weekly, Seasonally Adjusted]]-B599)/B599</f>
        <v>9.3314998118910808E-2</v>
      </c>
    </row>
    <row r="612" spans="1:5" x14ac:dyDescent="0.2">
      <c r="A612" s="50">
        <v>39965</v>
      </c>
      <c r="B612" s="51">
        <v>8437.2000000000007</v>
      </c>
      <c r="C612" s="53">
        <f>(Table267[[#This Row],[M2 Money Stock, Billions of Dollars, Weekly, Seasonally Adjusted]]-B611)/B611</f>
        <v>1.1391143386017802E-3</v>
      </c>
      <c r="D612" s="54">
        <f>((1+Table267[[#This Row],[Monthly change]])^12)-1</f>
        <v>1.3755338456231669E-2</v>
      </c>
      <c r="E612" s="53">
        <f>(Table267[[#This Row],[M2 Money Stock, Billions of Dollars, Weekly, Seasonally Adjusted]]-B600)/B600</f>
        <v>9.2081078982111958E-2</v>
      </c>
    </row>
    <row r="613" spans="1:5" x14ac:dyDescent="0.2">
      <c r="A613" s="50">
        <v>39995</v>
      </c>
      <c r="B613" s="51">
        <v>8442</v>
      </c>
      <c r="C613" s="53">
        <f>(Table267[[#This Row],[M2 Money Stock, Billions of Dollars, Weekly, Seasonally Adjusted]]-B612)/B612</f>
        <v>5.6890911676850994E-4</v>
      </c>
      <c r="D613" s="54">
        <f>((1+Table267[[#This Row],[Monthly change]])^12)-1</f>
        <v>6.8483113625943393E-3</v>
      </c>
      <c r="E613" s="53">
        <f>(Table267[[#This Row],[M2 Money Stock, Billions of Dollars, Weekly, Seasonally Adjusted]]-B601)/B601</f>
        <v>8.6192920832207462E-2</v>
      </c>
    </row>
    <row r="614" spans="1:5" x14ac:dyDescent="0.2">
      <c r="A614" s="50">
        <v>40026</v>
      </c>
      <c r="B614" s="51">
        <v>8441.7999999999993</v>
      </c>
      <c r="C614" s="53">
        <f>(Table267[[#This Row],[M2 Money Stock, Billions of Dollars, Weekly, Seasonally Adjusted]]-B613)/B613</f>
        <v>-2.3691068467274057E-5</v>
      </c>
      <c r="D614" s="54">
        <f>((1+Table267[[#This Row],[Monthly change]])^12)-1</f>
        <v>-2.842557809281665E-4</v>
      </c>
      <c r="E614" s="53">
        <f>(Table267[[#This Row],[M2 Money Stock, Billions of Dollars, Weekly, Seasonally Adjusted]]-B602)/B602</f>
        <v>8.4088866058815881E-2</v>
      </c>
    </row>
    <row r="615" spans="1:5" x14ac:dyDescent="0.2">
      <c r="A615" s="50">
        <v>40057</v>
      </c>
      <c r="B615" s="51">
        <v>8441.1</v>
      </c>
      <c r="C615" s="53">
        <f>(Table267[[#This Row],[M2 Money Stock, Billions of Dollars, Weekly, Seasonally Adjusted]]-B614)/B614</f>
        <v>-8.2920704115106809E-5</v>
      </c>
      <c r="D615" s="54">
        <f>((1+Table267[[#This Row],[Monthly change]])^12)-1</f>
        <v>-9.9459476914143252E-4</v>
      </c>
      <c r="E615" s="53">
        <f>(Table267[[#This Row],[M2 Money Stock, Billions of Dollars, Weekly, Seasonally Adjusted]]-B603)/B603</f>
        <v>7.440972443199903E-2</v>
      </c>
    </row>
    <row r="616" spans="1:5" x14ac:dyDescent="0.2">
      <c r="A616" s="50">
        <v>40087</v>
      </c>
      <c r="B616" s="51">
        <v>8468.1</v>
      </c>
      <c r="C616" s="53">
        <f>(Table267[[#This Row],[M2 Money Stock, Billions of Dollars, Weekly, Seasonally Adjusted]]-B615)/B615</f>
        <v>3.1986352489604434E-3</v>
      </c>
      <c r="D616" s="54">
        <f>((1+Table267[[#This Row],[Monthly change]])^12)-1</f>
        <v>3.9066138462212852E-2</v>
      </c>
      <c r="E616" s="53">
        <f>(Table267[[#This Row],[M2 Money Stock, Billions of Dollars, Weekly, Seasonally Adjusted]]-B604)/B604</f>
        <v>6.3417513280004015E-2</v>
      </c>
    </row>
    <row r="617" spans="1:5" x14ac:dyDescent="0.2">
      <c r="A617" s="50">
        <v>40118</v>
      </c>
      <c r="B617" s="51">
        <v>8498.2000000000007</v>
      </c>
      <c r="C617" s="53">
        <f>(Table267[[#This Row],[M2 Money Stock, Billions of Dollars, Weekly, Seasonally Adjusted]]-B616)/B616</f>
        <v>3.5545163614034273E-3</v>
      </c>
      <c r="D617" s="54">
        <f>((1+Table267[[#This Row],[Monthly change]])^12)-1</f>
        <v>4.3498038685344964E-2</v>
      </c>
      <c r="E617" s="53">
        <f>(Table267[[#This Row],[M2 Money Stock, Billions of Dollars, Weekly, Seasonally Adjusted]]-B605)/B605</f>
        <v>6.0485430835465245E-2</v>
      </c>
    </row>
    <row r="618" spans="1:5" x14ac:dyDescent="0.2">
      <c r="A618" s="50">
        <v>40148</v>
      </c>
      <c r="B618" s="51">
        <v>8493.1</v>
      </c>
      <c r="C618" s="53">
        <f>(Table267[[#This Row],[M2 Money Stock, Billions of Dollars, Weekly, Seasonally Adjusted]]-B617)/B617</f>
        <v>-6.0012708573584561E-4</v>
      </c>
      <c r="D618" s="54">
        <f>((1+Table267[[#This Row],[Monthly change]])^12)-1</f>
        <v>-7.1778024486315317E-3</v>
      </c>
      <c r="E618" s="53">
        <f>(Table267[[#This Row],[M2 Money Stock, Billions of Dollars, Weekly, Seasonally Adjusted]]-B606)/B606</f>
        <v>3.7046534061076788E-2</v>
      </c>
    </row>
    <row r="619" spans="1:5" x14ac:dyDescent="0.2">
      <c r="A619" s="50">
        <v>40179</v>
      </c>
      <c r="B619" s="51">
        <v>8455.4</v>
      </c>
      <c r="C619" s="53">
        <f>(Table267[[#This Row],[M2 Money Stock, Billions of Dollars, Weekly, Seasonally Adjusted]]-B618)/B618</f>
        <v>-4.4388974579365279E-3</v>
      </c>
      <c r="D619" s="54">
        <f>((1+Table267[[#This Row],[Monthly change]])^12)-1</f>
        <v>-5.1985369074737275E-2</v>
      </c>
      <c r="E619" s="53">
        <f>(Table267[[#This Row],[M2 Money Stock, Billions of Dollars, Weekly, Seasonally Adjusted]]-B607)/B607</f>
        <v>2.2270045458941738E-2</v>
      </c>
    </row>
    <row r="620" spans="1:5" x14ac:dyDescent="0.2">
      <c r="A620" s="50">
        <v>40210</v>
      </c>
      <c r="B620" s="51">
        <v>8505.1</v>
      </c>
      <c r="C620" s="53">
        <f>(Table267[[#This Row],[M2 Money Stock, Billions of Dollars, Weekly, Seasonally Adjusted]]-B619)/B619</f>
        <v>5.8779005132815398E-3</v>
      </c>
      <c r="D620" s="54">
        <f>((1+Table267[[#This Row],[Monthly change]])^12)-1</f>
        <v>7.2860361333442425E-2</v>
      </c>
      <c r="E620" s="53">
        <f>(Table267[[#This Row],[M2 Money Stock, Billions of Dollars, Weekly, Seasonally Adjusted]]-B608)/B608</f>
        <v>2.4649117523040824E-2</v>
      </c>
    </row>
    <row r="621" spans="1:5" x14ac:dyDescent="0.2">
      <c r="A621" s="50">
        <v>40238</v>
      </c>
      <c r="B621" s="51">
        <v>8502.2000000000007</v>
      </c>
      <c r="C621" s="53">
        <f>(Table267[[#This Row],[M2 Money Stock, Billions of Dollars, Weekly, Seasonally Adjusted]]-B620)/B620</f>
        <v>-3.4097188745571907E-4</v>
      </c>
      <c r="D621" s="54">
        <f>((1+Table267[[#This Row],[Monthly change]])^12)-1</f>
        <v>-4.0839980833745626E-3</v>
      </c>
      <c r="E621" s="53">
        <f>(Table267[[#This Row],[M2 Money Stock, Billions of Dollars, Weekly, Seasonally Adjusted]]-B609)/B609</f>
        <v>1.6219446602522048E-2</v>
      </c>
    </row>
    <row r="622" spans="1:5" x14ac:dyDescent="0.2">
      <c r="A622" s="50">
        <v>40269</v>
      </c>
      <c r="B622" s="51">
        <v>8532.7999999999993</v>
      </c>
      <c r="C622" s="53">
        <f>(Table267[[#This Row],[M2 Money Stock, Billions of Dollars, Weekly, Seasonally Adjusted]]-B621)/B621</f>
        <v>3.5990684763941736E-3</v>
      </c>
      <c r="D622" s="54">
        <f>((1+Table267[[#This Row],[Monthly change]])^12)-1</f>
        <v>4.4054079003424507E-2</v>
      </c>
      <c r="E622" s="53">
        <f>(Table267[[#This Row],[M2 Money Stock, Billions of Dollars, Weekly, Seasonally Adjusted]]-B610)/B610</f>
        <v>1.9462598119451804E-2</v>
      </c>
    </row>
    <row r="623" spans="1:5" x14ac:dyDescent="0.2">
      <c r="A623" s="50">
        <v>40299</v>
      </c>
      <c r="B623" s="51">
        <v>8587.7000000000007</v>
      </c>
      <c r="C623" s="53">
        <f>(Table267[[#This Row],[M2 Money Stock, Billions of Dollars, Weekly, Seasonally Adjusted]]-B622)/B622</f>
        <v>6.4339958747423424E-3</v>
      </c>
      <c r="D623" s="54">
        <f>((1+Table267[[#This Row],[Monthly change]])^12)-1</f>
        <v>7.999955914755752E-2</v>
      </c>
      <c r="E623" s="53">
        <f>(Table267[[#This Row],[M2 Money Stock, Billions of Dollars, Weekly, Seasonally Adjusted]]-B611)/B611</f>
        <v>1.8997104751056097E-2</v>
      </c>
    </row>
    <row r="624" spans="1:5" x14ac:dyDescent="0.2">
      <c r="A624" s="50">
        <v>40330</v>
      </c>
      <c r="B624" s="51">
        <v>8606.7000000000007</v>
      </c>
      <c r="C624" s="53">
        <f>(Table267[[#This Row],[M2 Money Stock, Billions of Dollars, Weekly, Seasonally Adjusted]]-B623)/B623</f>
        <v>2.2124666674429704E-3</v>
      </c>
      <c r="D624" s="54">
        <f>((1+Table267[[#This Row],[Monthly change]])^12)-1</f>
        <v>2.6875065099576156E-2</v>
      </c>
      <c r="E624" s="53">
        <f>(Table267[[#This Row],[M2 Money Stock, Billions of Dollars, Weekly, Seasonally Adjusted]]-B612)/B612</f>
        <v>2.0089603185891054E-2</v>
      </c>
    </row>
    <row r="625" spans="1:5" x14ac:dyDescent="0.2">
      <c r="A625" s="50">
        <v>40360</v>
      </c>
      <c r="B625" s="51">
        <v>8616.2999999999993</v>
      </c>
      <c r="C625" s="53">
        <f>(Table267[[#This Row],[M2 Money Stock, Billions of Dollars, Weekly, Seasonally Adjusted]]-B624)/B624</f>
        <v>1.1154100874898095E-3</v>
      </c>
      <c r="D625" s="54">
        <f>((1+Table267[[#This Row],[Monthly change]])^12)-1</f>
        <v>1.3467340334929467E-2</v>
      </c>
      <c r="E625" s="53">
        <f>(Table267[[#This Row],[M2 Money Stock, Billions of Dollars, Weekly, Seasonally Adjusted]]-B613)/B613</f>
        <v>2.0646766169154143E-2</v>
      </c>
    </row>
    <row r="626" spans="1:5" x14ac:dyDescent="0.2">
      <c r="A626" s="50">
        <v>40391</v>
      </c>
      <c r="B626" s="51">
        <v>8666.7000000000007</v>
      </c>
      <c r="C626" s="53">
        <f>(Table267[[#This Row],[M2 Money Stock, Billions of Dollars, Weekly, Seasonally Adjusted]]-B625)/B625</f>
        <v>5.8493785035341689E-3</v>
      </c>
      <c r="D626" s="54">
        <f>((1+Table267[[#This Row],[Monthly change]])^12)-1</f>
        <v>7.2495362417833276E-2</v>
      </c>
      <c r="E626" s="53">
        <f>(Table267[[#This Row],[M2 Money Stock, Billions of Dollars, Weekly, Seasonally Adjusted]]-B614)/B614</f>
        <v>2.664123765073817E-2</v>
      </c>
    </row>
    <row r="627" spans="1:5" x14ac:dyDescent="0.2">
      <c r="A627" s="50">
        <v>40422</v>
      </c>
      <c r="B627" s="51">
        <v>8697.7999999999993</v>
      </c>
      <c r="C627" s="53">
        <f>(Table267[[#This Row],[M2 Money Stock, Billions of Dollars, Weekly, Seasonally Adjusted]]-B626)/B626</f>
        <v>3.5884477367393057E-3</v>
      </c>
      <c r="D627" s="54">
        <f>((1+Table267[[#This Row],[Monthly change]])^12)-1</f>
        <v>4.3921500388866441E-2</v>
      </c>
      <c r="E627" s="53">
        <f>(Table267[[#This Row],[M2 Money Stock, Billions of Dollars, Weekly, Seasonally Adjusted]]-B615)/B615</f>
        <v>3.0410728459560828E-2</v>
      </c>
    </row>
    <row r="628" spans="1:5" x14ac:dyDescent="0.2">
      <c r="A628" s="50">
        <v>40452</v>
      </c>
      <c r="B628" s="51">
        <v>8746.9</v>
      </c>
      <c r="C628" s="53">
        <f>(Table267[[#This Row],[M2 Money Stock, Billions of Dollars, Weekly, Seasonally Adjusted]]-B627)/B627</f>
        <v>5.6451056589022931E-3</v>
      </c>
      <c r="D628" s="54">
        <f>((1+Table267[[#This Row],[Monthly change]])^12)-1</f>
        <v>6.9884588179448759E-2</v>
      </c>
      <c r="E628" s="53">
        <f>(Table267[[#This Row],[M2 Money Stock, Billions of Dollars, Weekly, Seasonally Adjusted]]-B616)/B616</f>
        <v>3.2923560184693057E-2</v>
      </c>
    </row>
    <row r="629" spans="1:5" x14ac:dyDescent="0.2">
      <c r="A629" s="50">
        <v>40483</v>
      </c>
      <c r="B629" s="51">
        <v>8767.7000000000007</v>
      </c>
      <c r="C629" s="53">
        <f>(Table267[[#This Row],[M2 Money Stock, Billions of Dollars, Weekly, Seasonally Adjusted]]-B628)/B628</f>
        <v>2.3779853433789221E-3</v>
      </c>
      <c r="D629" s="54">
        <f>((1+Table267[[#This Row],[Monthly change]])^12)-1</f>
        <v>2.8912016107287775E-2</v>
      </c>
      <c r="E629" s="53">
        <f>(Table267[[#This Row],[M2 Money Stock, Billions of Dollars, Weekly, Seasonally Adjusted]]-B617)/B617</f>
        <v>3.1712597961921343E-2</v>
      </c>
    </row>
    <row r="630" spans="1:5" x14ac:dyDescent="0.2">
      <c r="A630" s="50">
        <v>40513</v>
      </c>
      <c r="B630" s="51">
        <v>8799.4</v>
      </c>
      <c r="C630" s="53">
        <f>(Table267[[#This Row],[M2 Money Stock, Billions of Dollars, Weekly, Seasonally Adjusted]]-B629)/B629</f>
        <v>3.6155434150346049E-3</v>
      </c>
      <c r="D630" s="54">
        <f>((1+Table267[[#This Row],[Monthly change]])^12)-1</f>
        <v>4.4259766081301333E-2</v>
      </c>
      <c r="E630" s="53">
        <f>(Table267[[#This Row],[M2 Money Stock, Billions of Dollars, Weekly, Seasonally Adjusted]]-B618)/B618</f>
        <v>3.6064570062756741E-2</v>
      </c>
    </row>
    <row r="631" spans="1:5" x14ac:dyDescent="0.2">
      <c r="A631" s="50">
        <v>40544</v>
      </c>
      <c r="B631" s="51">
        <v>8820.4</v>
      </c>
      <c r="C631" s="53">
        <f>(Table267[[#This Row],[M2 Money Stock, Billions of Dollars, Weekly, Seasonally Adjusted]]-B630)/B630</f>
        <v>2.3865263540695956E-3</v>
      </c>
      <c r="D631" s="54">
        <f>((1+Table267[[#This Row],[Monthly change]])^12)-1</f>
        <v>2.9017226243692518E-2</v>
      </c>
      <c r="E631" s="53">
        <f>(Table267[[#This Row],[M2 Money Stock, Billions of Dollars, Weekly, Seasonally Adjusted]]-B619)/B619</f>
        <v>4.316767982591007E-2</v>
      </c>
    </row>
    <row r="632" spans="1:5" x14ac:dyDescent="0.2">
      <c r="A632" s="50">
        <v>40575</v>
      </c>
      <c r="B632" s="51">
        <v>8884.2000000000007</v>
      </c>
      <c r="C632" s="53">
        <f>(Table267[[#This Row],[M2 Money Stock, Billions of Dollars, Weekly, Seasonally Adjusted]]-B631)/B631</f>
        <v>7.2332320529682435E-3</v>
      </c>
      <c r="D632" s="54">
        <f>((1+Table267[[#This Row],[Monthly change]])^12)-1</f>
        <v>9.0336508898516188E-2</v>
      </c>
      <c r="E632" s="53">
        <f>(Table267[[#This Row],[M2 Money Stock, Billions of Dollars, Weekly, Seasonally Adjusted]]-B620)/B620</f>
        <v>4.4573256046372217E-2</v>
      </c>
    </row>
    <row r="633" spans="1:5" x14ac:dyDescent="0.2">
      <c r="A633" s="50">
        <v>40603</v>
      </c>
      <c r="B633" s="51">
        <v>8940.6</v>
      </c>
      <c r="C633" s="53">
        <f>(Table267[[#This Row],[M2 Money Stock, Billions of Dollars, Weekly, Seasonally Adjusted]]-B632)/B632</f>
        <v>6.3483487539676767E-3</v>
      </c>
      <c r="D633" s="54">
        <f>((1+Table267[[#This Row],[Monthly change]])^12)-1</f>
        <v>7.8897184965561529E-2</v>
      </c>
      <c r="E633" s="53">
        <f>(Table267[[#This Row],[M2 Money Stock, Billions of Dollars, Weekly, Seasonally Adjusted]]-B621)/B621</f>
        <v>5.1563124838277102E-2</v>
      </c>
    </row>
    <row r="634" spans="1:5" x14ac:dyDescent="0.2">
      <c r="A634" s="50">
        <v>40634</v>
      </c>
      <c r="B634" s="51">
        <v>9002.1</v>
      </c>
      <c r="C634" s="53">
        <f>(Table267[[#This Row],[M2 Money Stock, Billions of Dollars, Weekly, Seasonally Adjusted]]-B633)/B633</f>
        <v>6.878732970941547E-3</v>
      </c>
      <c r="D634" s="54">
        <f>((1+Table267[[#This Row],[Monthly change]])^12)-1</f>
        <v>8.5740441813480617E-2</v>
      </c>
      <c r="E634" s="53">
        <f>(Table267[[#This Row],[M2 Money Stock, Billions of Dollars, Weekly, Seasonally Adjusted]]-B622)/B622</f>
        <v>5.4999531220701427E-2</v>
      </c>
    </row>
    <row r="635" spans="1:5" x14ac:dyDescent="0.2">
      <c r="A635" s="50">
        <v>40664</v>
      </c>
      <c r="B635" s="51">
        <v>9072.7000000000007</v>
      </c>
      <c r="C635" s="53">
        <f>(Table267[[#This Row],[M2 Money Stock, Billions of Dollars, Weekly, Seasonally Adjusted]]-B634)/B634</f>
        <v>7.8426145010609041E-3</v>
      </c>
      <c r="D635" s="54">
        <f>((1+Table267[[#This Row],[Monthly change]])^12)-1</f>
        <v>9.8278828054355394E-2</v>
      </c>
      <c r="E635" s="53">
        <f>(Table267[[#This Row],[M2 Money Stock, Billions of Dollars, Weekly, Seasonally Adjusted]]-B623)/B623</f>
        <v>5.6476122826833723E-2</v>
      </c>
    </row>
    <row r="636" spans="1:5" x14ac:dyDescent="0.2">
      <c r="A636" s="50">
        <v>40695</v>
      </c>
      <c r="B636" s="51">
        <v>9148.4</v>
      </c>
      <c r="C636" s="53">
        <f>(Table267[[#This Row],[M2 Money Stock, Billions of Dollars, Weekly, Seasonally Adjusted]]-B635)/B635</f>
        <v>8.3437124560493455E-3</v>
      </c>
      <c r="D636" s="54">
        <f>((1+Table267[[#This Row],[Monthly change]])^12)-1</f>
        <v>0.10484952947736281</v>
      </c>
      <c r="E636" s="53">
        <f>(Table267[[#This Row],[M2 Money Stock, Billions of Dollars, Weekly, Seasonally Adjusted]]-B624)/B624</f>
        <v>6.2939337957637523E-2</v>
      </c>
    </row>
    <row r="637" spans="1:5" x14ac:dyDescent="0.2">
      <c r="A637" s="50">
        <v>40725</v>
      </c>
      <c r="B637" s="51">
        <v>9313.7999999999993</v>
      </c>
      <c r="C637" s="53">
        <f>(Table267[[#This Row],[M2 Money Stock, Billions of Dollars, Weekly, Seasonally Adjusted]]-B636)/B636</f>
        <v>1.8079664203576543E-2</v>
      </c>
      <c r="D637" s="54">
        <f>((1+Table267[[#This Row],[Monthly change]])^12)-1</f>
        <v>0.23988427423392356</v>
      </c>
      <c r="E637" s="53">
        <f>(Table267[[#This Row],[M2 Money Stock, Billions of Dollars, Weekly, Seasonally Adjusted]]-B625)/B625</f>
        <v>8.0951220361408033E-2</v>
      </c>
    </row>
    <row r="638" spans="1:5" x14ac:dyDescent="0.2">
      <c r="A638" s="50">
        <v>40756</v>
      </c>
      <c r="B638" s="51">
        <v>9505</v>
      </c>
      <c r="C638" s="53">
        <f>(Table267[[#This Row],[M2 Money Stock, Billions of Dollars, Weekly, Seasonally Adjusted]]-B637)/B637</f>
        <v>2.0528677875840232E-2</v>
      </c>
      <c r="D638" s="54">
        <f>((1+Table267[[#This Row],[Monthly change]])^12)-1</f>
        <v>0.2761524541312308</v>
      </c>
      <c r="E638" s="53">
        <f>(Table267[[#This Row],[M2 Money Stock, Billions of Dollars, Weekly, Seasonally Adjusted]]-B626)/B626</f>
        <v>9.6726551051726631E-2</v>
      </c>
    </row>
    <row r="639" spans="1:5" x14ac:dyDescent="0.2">
      <c r="A639" s="50">
        <v>40787</v>
      </c>
      <c r="B639" s="51">
        <v>9525.7999999999993</v>
      </c>
      <c r="C639" s="53">
        <f>(Table267[[#This Row],[M2 Money Stock, Billions of Dollars, Weekly, Seasonally Adjusted]]-B638)/B638</f>
        <v>2.1883219358231742E-3</v>
      </c>
      <c r="D639" s="54">
        <f>((1+Table267[[#This Row],[Monthly change]])^12)-1</f>
        <v>2.65782377654602E-2</v>
      </c>
      <c r="E639" s="53">
        <f>(Table267[[#This Row],[M2 Money Stock, Billions of Dollars, Weekly, Seasonally Adjusted]]-B627)/B627</f>
        <v>9.5196486467842456E-2</v>
      </c>
    </row>
    <row r="640" spans="1:5" x14ac:dyDescent="0.2">
      <c r="A640" s="50">
        <v>40817</v>
      </c>
      <c r="B640" s="51">
        <v>9559.5</v>
      </c>
      <c r="C640" s="53">
        <f>(Table267[[#This Row],[M2 Money Stock, Billions of Dollars, Weekly, Seasonally Adjusted]]-B639)/B639</f>
        <v>3.5377606080329977E-3</v>
      </c>
      <c r="D640" s="54">
        <f>((1+Table267[[#This Row],[Monthly change]])^12)-1</f>
        <v>4.3288985883904063E-2</v>
      </c>
      <c r="E640" s="53">
        <f>(Table267[[#This Row],[M2 Money Stock, Billions of Dollars, Weekly, Seasonally Adjusted]]-B628)/B628</f>
        <v>9.290148509757748E-2</v>
      </c>
    </row>
    <row r="641" spans="1:5" x14ac:dyDescent="0.2">
      <c r="A641" s="50">
        <v>40848</v>
      </c>
      <c r="B641" s="51">
        <v>9610.1</v>
      </c>
      <c r="C641" s="53">
        <f>(Table267[[#This Row],[M2 Money Stock, Billions of Dollars, Weekly, Seasonally Adjusted]]-B640)/B640</f>
        <v>5.2931638684031975E-3</v>
      </c>
      <c r="D641" s="54">
        <f>((1+Table267[[#This Row],[Monthly change]])^12)-1</f>
        <v>6.5400145191946368E-2</v>
      </c>
      <c r="E641" s="53">
        <f>(Table267[[#This Row],[M2 Money Stock, Billions of Dollars, Weekly, Seasonally Adjusted]]-B629)/B629</f>
        <v>9.6079929742121595E-2</v>
      </c>
    </row>
    <row r="642" spans="1:5" x14ac:dyDescent="0.2">
      <c r="A642" s="50">
        <v>40878</v>
      </c>
      <c r="B642" s="51">
        <v>9657.7000000000007</v>
      </c>
      <c r="C642" s="53">
        <f>(Table267[[#This Row],[M2 Money Stock, Billions of Dollars, Weekly, Seasonally Adjusted]]-B641)/B641</f>
        <v>4.9531222359809326E-3</v>
      </c>
      <c r="D642" s="54">
        <f>((1+Table267[[#This Row],[Monthly change]])^12)-1</f>
        <v>6.1083706599951215E-2</v>
      </c>
      <c r="E642" s="53">
        <f>(Table267[[#This Row],[M2 Money Stock, Billions of Dollars, Weekly, Seasonally Adjusted]]-B630)/B630</f>
        <v>9.7540741414187462E-2</v>
      </c>
    </row>
    <row r="643" spans="1:5" x14ac:dyDescent="0.2">
      <c r="A643" s="50">
        <v>40909</v>
      </c>
      <c r="B643" s="51">
        <v>9731.5</v>
      </c>
      <c r="C643" s="53">
        <f>(Table267[[#This Row],[M2 Money Stock, Billions of Dollars, Weekly, Seasonally Adjusted]]-B642)/B642</f>
        <v>7.64157097445554E-3</v>
      </c>
      <c r="D643" s="54">
        <f>((1+Table267[[#This Row],[Monthly change]])^12)-1</f>
        <v>9.5652706588318148E-2</v>
      </c>
      <c r="E643" s="53">
        <f>(Table267[[#This Row],[M2 Money Stock, Billions of Dollars, Weekly, Seasonally Adjusted]]-B631)/B631</f>
        <v>0.10329463516393819</v>
      </c>
    </row>
    <row r="644" spans="1:5" x14ac:dyDescent="0.2">
      <c r="A644" s="50">
        <v>40940</v>
      </c>
      <c r="B644" s="51">
        <v>9789.2999999999993</v>
      </c>
      <c r="C644" s="53">
        <f>(Table267[[#This Row],[M2 Money Stock, Billions of Dollars, Weekly, Seasonally Adjusted]]-B643)/B643</f>
        <v>5.9394749010943096E-3</v>
      </c>
      <c r="D644" s="54">
        <f>((1+Table267[[#This Row],[Monthly change]])^12)-1</f>
        <v>7.3648723011891848E-2</v>
      </c>
      <c r="E644" s="53">
        <f>(Table267[[#This Row],[M2 Money Stock, Billions of Dollars, Weekly, Seasonally Adjusted]]-B632)/B632</f>
        <v>0.10187749037617326</v>
      </c>
    </row>
    <row r="645" spans="1:5" x14ac:dyDescent="0.2">
      <c r="A645" s="50">
        <v>40969</v>
      </c>
      <c r="B645" s="51">
        <v>9837.1</v>
      </c>
      <c r="C645" s="53">
        <f>(Table267[[#This Row],[M2 Money Stock, Billions of Dollars, Weekly, Seasonally Adjusted]]-B644)/B644</f>
        <v>4.88288233070813E-3</v>
      </c>
      <c r="D645" s="54">
        <f>((1+Table267[[#This Row],[Monthly change]])^12)-1</f>
        <v>6.019409167060541E-2</v>
      </c>
      <c r="E645" s="53">
        <f>(Table267[[#This Row],[M2 Money Stock, Billions of Dollars, Weekly, Seasonally Adjusted]]-B633)/B633</f>
        <v>0.10027291233250564</v>
      </c>
    </row>
    <row r="646" spans="1:5" x14ac:dyDescent="0.2">
      <c r="A646" s="50">
        <v>41000</v>
      </c>
      <c r="B646" s="51">
        <v>9889.9</v>
      </c>
      <c r="C646" s="53">
        <f>(Table267[[#This Row],[M2 Money Stock, Billions of Dollars, Weekly, Seasonally Adjusted]]-B645)/B645</f>
        <v>5.3674355246972451E-3</v>
      </c>
      <c r="D646" s="54">
        <f>((1+Table267[[#This Row],[Monthly change]])^12)-1</f>
        <v>6.6345077846988509E-2</v>
      </c>
      <c r="E646" s="53">
        <f>(Table267[[#This Row],[M2 Money Stock, Billions of Dollars, Weekly, Seasonally Adjusted]]-B634)/B634</f>
        <v>9.8621432776796442E-2</v>
      </c>
    </row>
    <row r="647" spans="1:5" x14ac:dyDescent="0.2">
      <c r="A647" s="50">
        <v>41030</v>
      </c>
      <c r="B647" s="51">
        <v>9934.6</v>
      </c>
      <c r="C647" s="53">
        <f>(Table267[[#This Row],[M2 Money Stock, Billions of Dollars, Weekly, Seasonally Adjusted]]-B646)/B646</f>
        <v>4.5197625860727338E-3</v>
      </c>
      <c r="D647" s="54">
        <f>((1+Table267[[#This Row],[Monthly change]])^12)-1</f>
        <v>5.5605936646525356E-2</v>
      </c>
      <c r="E647" s="53">
        <f>(Table267[[#This Row],[M2 Money Stock, Billions of Dollars, Weekly, Seasonally Adjusted]]-B635)/B635</f>
        <v>9.4999283564980608E-2</v>
      </c>
    </row>
    <row r="648" spans="1:5" x14ac:dyDescent="0.2">
      <c r="A648" s="50">
        <v>41061</v>
      </c>
      <c r="B648" s="51">
        <v>9998.1</v>
      </c>
      <c r="C648" s="53">
        <f>(Table267[[#This Row],[M2 Money Stock, Billions of Dollars, Weekly, Seasonally Adjusted]]-B647)/B647</f>
        <v>6.391802387615002E-3</v>
      </c>
      <c r="D648" s="54">
        <f>((1+Table267[[#This Row],[Monthly change]])^12)-1</f>
        <v>7.9456352834953448E-2</v>
      </c>
      <c r="E648" s="53">
        <f>(Table267[[#This Row],[M2 Money Stock, Billions of Dollars, Weekly, Seasonally Adjusted]]-B636)/B636</f>
        <v>9.2879629224782559E-2</v>
      </c>
    </row>
    <row r="649" spans="1:5" x14ac:dyDescent="0.2">
      <c r="A649" s="50">
        <v>41091</v>
      </c>
      <c r="B649" s="51">
        <v>10055.299999999999</v>
      </c>
      <c r="C649" s="53">
        <f>(Table267[[#This Row],[M2 Money Stock, Billions of Dollars, Weekly, Seasonally Adjusted]]-B648)/B648</f>
        <v>5.7210870065311312E-3</v>
      </c>
      <c r="D649" s="54">
        <f>((1+Table267[[#This Row],[Monthly change]])^12)-1</f>
        <v>7.0855010785819905E-2</v>
      </c>
      <c r="E649" s="53">
        <f>(Table267[[#This Row],[M2 Money Stock, Billions of Dollars, Weekly, Seasonally Adjusted]]-B637)/B637</f>
        <v>7.9613047306147877E-2</v>
      </c>
    </row>
    <row r="650" spans="1:5" x14ac:dyDescent="0.2">
      <c r="A650" s="50">
        <v>41122</v>
      </c>
      <c r="B650" s="51">
        <v>10115.200000000001</v>
      </c>
      <c r="C650" s="53">
        <f>(Table267[[#This Row],[M2 Money Stock, Billions of Dollars, Weekly, Seasonally Adjusted]]-B649)/B649</f>
        <v>5.9570574721789964E-3</v>
      </c>
      <c r="D650" s="54">
        <f>((1+Table267[[#This Row],[Monthly change]])^12)-1</f>
        <v>7.3873937196125006E-2</v>
      </c>
      <c r="E650" s="53">
        <f>(Table267[[#This Row],[M2 Money Stock, Billions of Dollars, Weekly, Seasonally Adjusted]]-B638)/B638</f>
        <v>6.4197790636507185E-2</v>
      </c>
    </row>
    <row r="651" spans="1:5" x14ac:dyDescent="0.2">
      <c r="A651" s="50">
        <v>41153</v>
      </c>
      <c r="B651" s="51">
        <v>10193.1</v>
      </c>
      <c r="C651" s="53">
        <f>(Table267[[#This Row],[M2 Money Stock, Billions of Dollars, Weekly, Seasonally Adjusted]]-B650)/B650</f>
        <v>7.7012812401138515E-3</v>
      </c>
      <c r="D651" s="54">
        <f>((1+Table267[[#This Row],[Monthly change]])^12)-1</f>
        <v>9.6432067530826115E-2</v>
      </c>
      <c r="E651" s="53">
        <f>(Table267[[#This Row],[M2 Money Stock, Billions of Dollars, Weekly, Seasonally Adjusted]]-B639)/B639</f>
        <v>7.0051859161435373E-2</v>
      </c>
    </row>
    <row r="652" spans="1:5" x14ac:dyDescent="0.2">
      <c r="A652" s="50">
        <v>41183</v>
      </c>
      <c r="B652" s="51">
        <v>10256.5</v>
      </c>
      <c r="C652" s="53">
        <f>(Table267[[#This Row],[M2 Money Stock, Billions of Dollars, Weekly, Seasonally Adjusted]]-B651)/B651</f>
        <v>6.2198938497610773E-3</v>
      </c>
      <c r="D652" s="54">
        <f>((1+Table267[[#This Row],[Monthly change]])^12)-1</f>
        <v>7.7245760228741078E-2</v>
      </c>
      <c r="E652" s="53">
        <f>(Table267[[#This Row],[M2 Money Stock, Billions of Dollars, Weekly, Seasonally Adjusted]]-B640)/B640</f>
        <v>7.2911763167529689E-2</v>
      </c>
    </row>
    <row r="653" spans="1:5" x14ac:dyDescent="0.2">
      <c r="A653" s="50">
        <v>41214</v>
      </c>
      <c r="B653" s="51">
        <v>10319.799999999999</v>
      </c>
      <c r="C653" s="53">
        <f>(Table267[[#This Row],[M2 Money Stock, Billions of Dollars, Weekly, Seasonally Adjusted]]-B652)/B652</f>
        <v>6.1716959976599499E-3</v>
      </c>
      <c r="D653" s="54">
        <f>((1+Table267[[#This Row],[Monthly change]])^12)-1</f>
        <v>7.6626723505862415E-2</v>
      </c>
      <c r="E653" s="53">
        <f>(Table267[[#This Row],[M2 Money Stock, Billions of Dollars, Weekly, Seasonally Adjusted]]-B641)/B641</f>
        <v>7.3849387623437721E-2</v>
      </c>
    </row>
    <row r="654" spans="1:5" x14ac:dyDescent="0.2">
      <c r="A654" s="50">
        <v>41244</v>
      </c>
      <c r="B654" s="51">
        <v>10451.5</v>
      </c>
      <c r="C654" s="53">
        <f>(Table267[[#This Row],[M2 Money Stock, Billions of Dollars, Weekly, Seasonally Adjusted]]-B653)/B653</f>
        <v>1.2761875230140191E-2</v>
      </c>
      <c r="D654" s="54">
        <f>((1+Table267[[#This Row],[Monthly change]])^12)-1</f>
        <v>0.16436228827863109</v>
      </c>
      <c r="E654" s="53">
        <f>(Table267[[#This Row],[M2 Money Stock, Billions of Dollars, Weekly, Seasonally Adjusted]]-B642)/B642</f>
        <v>8.2193482920363978E-2</v>
      </c>
    </row>
    <row r="655" spans="1:5" x14ac:dyDescent="0.2">
      <c r="A655" s="50">
        <v>41275</v>
      </c>
      <c r="B655" s="51">
        <v>10477</v>
      </c>
      <c r="C655" s="53">
        <f>(Table267[[#This Row],[M2 Money Stock, Billions of Dollars, Weekly, Seasonally Adjusted]]-B654)/B654</f>
        <v>2.4398411711237622E-3</v>
      </c>
      <c r="D655" s="54">
        <f>((1+Table267[[#This Row],[Monthly change]])^12)-1</f>
        <v>2.9674193377519531E-2</v>
      </c>
      <c r="E655" s="53">
        <f>(Table267[[#This Row],[M2 Money Stock, Billions of Dollars, Weekly, Seasonally Adjusted]]-B643)/B643</f>
        <v>7.6606895134357506E-2</v>
      </c>
    </row>
    <row r="656" spans="1:5" x14ac:dyDescent="0.2">
      <c r="A656" s="50">
        <v>41306</v>
      </c>
      <c r="B656" s="51">
        <v>10489.1</v>
      </c>
      <c r="C656" s="53">
        <f>(Table267[[#This Row],[M2 Money Stock, Billions of Dollars, Weekly, Seasonally Adjusted]]-B655)/B655</f>
        <v>1.1549107568960928E-3</v>
      </c>
      <c r="D656" s="54">
        <f>((1+Table267[[#This Row],[Monthly change]])^12)-1</f>
        <v>1.3947300906728799E-2</v>
      </c>
      <c r="E656" s="53">
        <f>(Table267[[#This Row],[M2 Money Stock, Billions of Dollars, Weekly, Seasonally Adjusted]]-B644)/B644</f>
        <v>7.148621454036562E-2</v>
      </c>
    </row>
    <row r="657" spans="1:5" x14ac:dyDescent="0.2">
      <c r="A657" s="50">
        <v>41334</v>
      </c>
      <c r="B657" s="51">
        <v>10555.8</v>
      </c>
      <c r="C657" s="53">
        <f>(Table267[[#This Row],[M2 Money Stock, Billions of Dollars, Weekly, Seasonally Adjusted]]-B656)/B656</f>
        <v>6.3589821815025985E-3</v>
      </c>
      <c r="D657" s="54">
        <f>((1+Table267[[#This Row],[Monthly change]])^12)-1</f>
        <v>7.9033992961971222E-2</v>
      </c>
      <c r="E657" s="53">
        <f>(Table267[[#This Row],[M2 Money Stock, Billions of Dollars, Weekly, Seasonally Adjusted]]-B645)/B645</f>
        <v>7.3060149840908278E-2</v>
      </c>
    </row>
    <row r="658" spans="1:5" x14ac:dyDescent="0.2">
      <c r="A658" s="50">
        <v>41365</v>
      </c>
      <c r="B658" s="51">
        <v>10590.3</v>
      </c>
      <c r="C658" s="53">
        <f>(Table267[[#This Row],[M2 Money Stock, Billions of Dollars, Weekly, Seasonally Adjusted]]-B657)/B657</f>
        <v>3.2683453646336611E-3</v>
      </c>
      <c r="D658" s="54">
        <f>((1+Table267[[#This Row],[Monthly change]])^12)-1</f>
        <v>3.9932899329771843E-2</v>
      </c>
      <c r="E658" s="53">
        <f>(Table267[[#This Row],[M2 Money Stock, Billions of Dollars, Weekly, Seasonally Adjusted]]-B646)/B646</f>
        <v>7.0819725174167555E-2</v>
      </c>
    </row>
    <row r="659" spans="1:5" x14ac:dyDescent="0.2">
      <c r="A659" s="50">
        <v>41395</v>
      </c>
      <c r="B659" s="51">
        <v>10630.1</v>
      </c>
      <c r="C659" s="53">
        <f>(Table267[[#This Row],[M2 Money Stock, Billions of Dollars, Weekly, Seasonally Adjusted]]-B658)/B658</f>
        <v>3.7581560484595427E-3</v>
      </c>
      <c r="D659" s="54">
        <f>((1+Table267[[#This Row],[Monthly change]])^12)-1</f>
        <v>4.6041815980409018E-2</v>
      </c>
      <c r="E659" s="53">
        <f>(Table267[[#This Row],[M2 Money Stock, Billions of Dollars, Weekly, Seasonally Adjusted]]-B647)/B647</f>
        <v>7.0007851347814704E-2</v>
      </c>
    </row>
    <row r="660" spans="1:5" x14ac:dyDescent="0.2">
      <c r="A660" s="50">
        <v>41426</v>
      </c>
      <c r="B660" s="51">
        <v>10682.5</v>
      </c>
      <c r="C660" s="53">
        <f>(Table267[[#This Row],[M2 Money Stock, Billions of Dollars, Weekly, Seasonally Adjusted]]-B659)/B659</f>
        <v>4.9293985945569312E-3</v>
      </c>
      <c r="D660" s="54">
        <f>((1+Table267[[#This Row],[Monthly change]])^12)-1</f>
        <v>6.0783161222602411E-2</v>
      </c>
      <c r="E660" s="53">
        <f>(Table267[[#This Row],[M2 Money Stock, Billions of Dollars, Weekly, Seasonally Adjusted]]-B648)/B648</f>
        <v>6.8453006071153483E-2</v>
      </c>
    </row>
    <row r="661" spans="1:5" x14ac:dyDescent="0.2">
      <c r="A661" s="50">
        <v>41456</v>
      </c>
      <c r="B661" s="51">
        <v>10728.9</v>
      </c>
      <c r="C661" s="53">
        <f>(Table267[[#This Row],[M2 Money Stock, Billions of Dollars, Weekly, Seasonally Adjusted]]-B660)/B660</f>
        <v>4.3435525391995917E-3</v>
      </c>
      <c r="D661" s="54">
        <f>((1+Table267[[#This Row],[Monthly change]])^12)-1</f>
        <v>5.3386021934856753E-2</v>
      </c>
      <c r="E661" s="53">
        <f>(Table267[[#This Row],[M2 Money Stock, Billions of Dollars, Weekly, Seasonally Adjusted]]-B649)/B649</f>
        <v>6.698954780066238E-2</v>
      </c>
    </row>
    <row r="662" spans="1:5" x14ac:dyDescent="0.2">
      <c r="A662" s="50">
        <v>41487</v>
      </c>
      <c r="B662" s="51">
        <v>10783.5</v>
      </c>
      <c r="C662" s="53">
        <f>(Table267[[#This Row],[M2 Money Stock, Billions of Dollars, Weekly, Seasonally Adjusted]]-B661)/B661</f>
        <v>5.0890585241730622E-3</v>
      </c>
      <c r="D662" s="54">
        <f>((1+Table267[[#This Row],[Monthly change]])^12)-1</f>
        <v>6.2807334916984425E-2</v>
      </c>
      <c r="E662" s="53">
        <f>(Table267[[#This Row],[M2 Money Stock, Billions of Dollars, Weekly, Seasonally Adjusted]]-B650)/B650</f>
        <v>6.606888642834538E-2</v>
      </c>
    </row>
    <row r="663" spans="1:5" x14ac:dyDescent="0.2">
      <c r="A663" s="50">
        <v>41518</v>
      </c>
      <c r="B663" s="51">
        <v>10835.3</v>
      </c>
      <c r="C663" s="53">
        <f>(Table267[[#This Row],[M2 Money Stock, Billions of Dollars, Weekly, Seasonally Adjusted]]-B662)/B662</f>
        <v>4.8036351833819517E-3</v>
      </c>
      <c r="D663" s="54">
        <f>((1+Table267[[#This Row],[Monthly change]])^12)-1</f>
        <v>5.9191217485463854E-2</v>
      </c>
      <c r="E663" s="53">
        <f>(Table267[[#This Row],[M2 Money Stock, Billions of Dollars, Weekly, Seasonally Adjusted]]-B651)/B651</f>
        <v>6.3003404263668447E-2</v>
      </c>
    </row>
    <row r="664" spans="1:5" x14ac:dyDescent="0.2">
      <c r="A664" s="50">
        <v>41548</v>
      </c>
      <c r="B664" s="51">
        <v>10948.7</v>
      </c>
      <c r="C664" s="53">
        <f>(Table267[[#This Row],[M2 Money Stock, Billions of Dollars, Weekly, Seasonally Adjusted]]-B663)/B663</f>
        <v>1.0465792363847929E-2</v>
      </c>
      <c r="D664" s="54">
        <f>((1+Table267[[#This Row],[Monthly change]])^12)-1</f>
        <v>0.13307690969683517</v>
      </c>
      <c r="E664" s="53">
        <f>(Table267[[#This Row],[M2 Money Stock, Billions of Dollars, Weekly, Seasonally Adjusted]]-B652)/B652</f>
        <v>6.7488909472042197E-2</v>
      </c>
    </row>
    <row r="665" spans="1:5" x14ac:dyDescent="0.2">
      <c r="A665" s="50">
        <v>41579</v>
      </c>
      <c r="B665" s="51">
        <v>10954.1</v>
      </c>
      <c r="C665" s="53">
        <f>(Table267[[#This Row],[M2 Money Stock, Billions of Dollars, Weekly, Seasonally Adjusted]]-B664)/B664</f>
        <v>4.9320923945305253E-4</v>
      </c>
      <c r="D665" s="54">
        <f>((1+Table267[[#This Row],[Monthly change]])^12)-1</f>
        <v>5.9345921507789612E-3</v>
      </c>
      <c r="E665" s="53">
        <f>(Table267[[#This Row],[M2 Money Stock, Billions of Dollars, Weekly, Seasonally Adjusted]]-B653)/B653</f>
        <v>6.1464369464524618E-2</v>
      </c>
    </row>
    <row r="666" spans="1:5" x14ac:dyDescent="0.2">
      <c r="A666" s="50">
        <v>41609</v>
      </c>
      <c r="B666" s="51">
        <v>11020.3</v>
      </c>
      <c r="C666" s="53">
        <f>(Table267[[#This Row],[M2 Money Stock, Billions of Dollars, Weekly, Seasonally Adjusted]]-B665)/B665</f>
        <v>6.0433992751571476E-3</v>
      </c>
      <c r="D666" s="54">
        <f>((1+Table267[[#This Row],[Monthly change]])^12)-1</f>
        <v>7.4980513195204823E-2</v>
      </c>
      <c r="E666" s="53">
        <f>(Table267[[#This Row],[M2 Money Stock, Billions of Dollars, Weekly, Seasonally Adjusted]]-B654)/B654</f>
        <v>5.4422810122948792E-2</v>
      </c>
    </row>
    <row r="667" spans="1:5" x14ac:dyDescent="0.2">
      <c r="A667" s="50">
        <v>41640</v>
      </c>
      <c r="B667" s="51">
        <v>11076.6</v>
      </c>
      <c r="C667" s="53">
        <f>(Table267[[#This Row],[M2 Money Stock, Billions of Dollars, Weekly, Seasonally Adjusted]]-B666)/B666</f>
        <v>5.1087538451767278E-3</v>
      </c>
      <c r="D667" s="54">
        <f>((1+Table267[[#This Row],[Monthly change]])^12)-1</f>
        <v>6.305727799529981E-2</v>
      </c>
      <c r="E667" s="53">
        <f>(Table267[[#This Row],[M2 Money Stock, Billions of Dollars, Weekly, Seasonally Adjusted]]-B655)/B655</f>
        <v>5.7230123126849324E-2</v>
      </c>
    </row>
    <row r="668" spans="1:5" x14ac:dyDescent="0.2">
      <c r="A668" s="50">
        <v>41671</v>
      </c>
      <c r="B668" s="51">
        <v>11169.3</v>
      </c>
      <c r="C668" s="53">
        <f>(Table267[[#This Row],[M2 Money Stock, Billions of Dollars, Weekly, Seasonally Adjusted]]-B667)/B667</f>
        <v>8.3689940956610254E-3</v>
      </c>
      <c r="D668" s="54">
        <f>((1+Table267[[#This Row],[Monthly change]])^12)-1</f>
        <v>0.10518199063450462</v>
      </c>
      <c r="E668" s="53">
        <f>(Table267[[#This Row],[M2 Money Stock, Billions of Dollars, Weekly, Seasonally Adjusted]]-B656)/B656</f>
        <v>6.4848271062340798E-2</v>
      </c>
    </row>
    <row r="669" spans="1:5" x14ac:dyDescent="0.2">
      <c r="A669" s="50">
        <v>41699</v>
      </c>
      <c r="B669" s="51">
        <v>11207.6</v>
      </c>
      <c r="C669" s="53">
        <f>(Table267[[#This Row],[M2 Money Stock, Billions of Dollars, Weekly, Seasonally Adjusted]]-B668)/B668</f>
        <v>3.4290421064884185E-3</v>
      </c>
      <c r="D669" s="54">
        <f>((1+Table267[[#This Row],[Monthly change]])^12)-1</f>
        <v>4.1933494215143252E-2</v>
      </c>
      <c r="E669" s="53">
        <f>(Table267[[#This Row],[M2 Money Stock, Billions of Dollars, Weekly, Seasonally Adjusted]]-B657)/B657</f>
        <v>6.1748043729513737E-2</v>
      </c>
    </row>
    <row r="670" spans="1:5" x14ac:dyDescent="0.2">
      <c r="A670" s="50">
        <v>41730</v>
      </c>
      <c r="B670" s="51">
        <v>11259.8</v>
      </c>
      <c r="C670" s="53">
        <f>(Table267[[#This Row],[M2 Money Stock, Billions of Dollars, Weekly, Seasonally Adjusted]]-B669)/B669</f>
        <v>4.65755380277659E-3</v>
      </c>
      <c r="D670" s="54">
        <f>((1+Table267[[#This Row],[Monthly change]])^12)-1</f>
        <v>5.7344833396705042E-2</v>
      </c>
      <c r="E670" s="53">
        <f>(Table267[[#This Row],[M2 Money Stock, Billions of Dollars, Weekly, Seasonally Adjusted]]-B658)/B658</f>
        <v>6.3218228001095347E-2</v>
      </c>
    </row>
    <row r="671" spans="1:5" x14ac:dyDescent="0.2">
      <c r="A671" s="50">
        <v>41760</v>
      </c>
      <c r="B671" s="51">
        <v>11326.3</v>
      </c>
      <c r="C671" s="53">
        <f>(Table267[[#This Row],[M2 Money Stock, Billions of Dollars, Weekly, Seasonally Adjusted]]-B670)/B670</f>
        <v>5.9059663581946401E-3</v>
      </c>
      <c r="D671" s="54">
        <f>((1+Table267[[#This Row],[Monthly change]])^12)-1</f>
        <v>7.3219633810457374E-2</v>
      </c>
      <c r="E671" s="53">
        <f>(Table267[[#This Row],[M2 Money Stock, Billions of Dollars, Weekly, Seasonally Adjusted]]-B659)/B659</f>
        <v>6.5493269113178515E-2</v>
      </c>
    </row>
    <row r="672" spans="1:5" x14ac:dyDescent="0.2">
      <c r="A672" s="50">
        <v>41791</v>
      </c>
      <c r="B672" s="51">
        <v>11377.2</v>
      </c>
      <c r="C672" s="53">
        <f>(Table267[[#This Row],[M2 Money Stock, Billions of Dollars, Weekly, Seasonally Adjusted]]-B671)/B671</f>
        <v>4.4939653726284367E-3</v>
      </c>
      <c r="D672" s="54">
        <f>((1+Table267[[#This Row],[Monthly change]])^12)-1</f>
        <v>5.528067261534253E-2</v>
      </c>
      <c r="E672" s="53">
        <f>(Table267[[#This Row],[M2 Money Stock, Billions of Dollars, Weekly, Seasonally Adjusted]]-B660)/B660</f>
        <v>6.5031593728059986E-2</v>
      </c>
    </row>
    <row r="673" spans="1:5" x14ac:dyDescent="0.2">
      <c r="A673" s="50">
        <v>41821</v>
      </c>
      <c r="B673" s="51">
        <v>11434</v>
      </c>
      <c r="C673" s="53">
        <f>(Table267[[#This Row],[M2 Money Stock, Billions of Dollars, Weekly, Seasonally Adjusted]]-B672)/B672</f>
        <v>4.9924410223956038E-3</v>
      </c>
      <c r="D673" s="54">
        <f>((1+Table267[[#This Row],[Monthly change]])^12)-1</f>
        <v>6.1581992559083032E-2</v>
      </c>
      <c r="E673" s="53">
        <f>(Table267[[#This Row],[M2 Money Stock, Billions of Dollars, Weekly, Seasonally Adjusted]]-B661)/B661</f>
        <v>6.5719691673890177E-2</v>
      </c>
    </row>
    <row r="674" spans="1:5" x14ac:dyDescent="0.2">
      <c r="A674" s="50">
        <v>41852</v>
      </c>
      <c r="B674" s="51">
        <v>11462.9</v>
      </c>
      <c r="C674" s="53">
        <f>(Table267[[#This Row],[M2 Money Stock, Billions of Dollars, Weekly, Seasonally Adjusted]]-B673)/B673</f>
        <v>2.5275494140283047E-3</v>
      </c>
      <c r="D674" s="54">
        <f>((1+Table267[[#This Row],[Monthly change]])^12)-1</f>
        <v>3.0755807049617445E-2</v>
      </c>
      <c r="E674" s="53">
        <f>(Table267[[#This Row],[M2 Money Stock, Billions of Dollars, Weekly, Seasonally Adjusted]]-B662)/B662</f>
        <v>6.3003663003662974E-2</v>
      </c>
    </row>
    <row r="675" spans="1:5" x14ac:dyDescent="0.2">
      <c r="A675" s="50">
        <v>41883</v>
      </c>
      <c r="B675" s="51">
        <v>11496.7</v>
      </c>
      <c r="C675" s="53">
        <f>(Table267[[#This Row],[M2 Money Stock, Billions of Dollars, Weekly, Seasonally Adjusted]]-B674)/B674</f>
        <v>2.9486430135481504E-3</v>
      </c>
      <c r="D675" s="54">
        <f>((1+Table267[[#This Row],[Monthly change]])^12)-1</f>
        <v>3.5963230601917084E-2</v>
      </c>
      <c r="E675" s="53">
        <f>(Table267[[#This Row],[M2 Money Stock, Billions of Dollars, Weekly, Seasonally Adjusted]]-B663)/B663</f>
        <v>6.1041226361983655E-2</v>
      </c>
    </row>
    <row r="676" spans="1:5" x14ac:dyDescent="0.2">
      <c r="A676" s="50">
        <v>41913</v>
      </c>
      <c r="B676" s="51">
        <v>11558.6</v>
      </c>
      <c r="C676" s="53">
        <f>(Table267[[#This Row],[M2 Money Stock, Billions of Dollars, Weekly, Seasonally Adjusted]]-B675)/B675</f>
        <v>5.3841537136743271E-3</v>
      </c>
      <c r="D676" s="54">
        <f>((1+Table267[[#This Row],[Monthly change]])^12)-1</f>
        <v>6.6557883495485859E-2</v>
      </c>
      <c r="E676" s="53">
        <f>(Table267[[#This Row],[M2 Money Stock, Billions of Dollars, Weekly, Seasonally Adjusted]]-B664)/B664</f>
        <v>5.5705243544895706E-2</v>
      </c>
    </row>
    <row r="677" spans="1:5" x14ac:dyDescent="0.2">
      <c r="A677" s="50">
        <v>41944</v>
      </c>
      <c r="B677" s="51">
        <v>11594.7</v>
      </c>
      <c r="C677" s="53">
        <f>(Table267[[#This Row],[M2 Money Stock, Billions of Dollars, Weekly, Seasonally Adjusted]]-B676)/B676</f>
        <v>3.1232156143477896E-3</v>
      </c>
      <c r="D677" s="54">
        <f>((1+Table267[[#This Row],[Monthly change]])^12)-1</f>
        <v>3.8129132481438344E-2</v>
      </c>
      <c r="E677" s="53">
        <f>(Table267[[#This Row],[M2 Money Stock, Billions of Dollars, Weekly, Seasonally Adjusted]]-B665)/B665</f>
        <v>5.8480386339361548E-2</v>
      </c>
    </row>
    <row r="678" spans="1:5" x14ac:dyDescent="0.2">
      <c r="A678" s="50">
        <v>41974</v>
      </c>
      <c r="B678" s="51">
        <v>11674</v>
      </c>
      <c r="C678" s="53">
        <f>(Table267[[#This Row],[M2 Money Stock, Billions of Dollars, Weekly, Seasonally Adjusted]]-B677)/B677</f>
        <v>6.8393317636505704E-3</v>
      </c>
      <c r="D678" s="54">
        <f>((1+Table267[[#This Row],[Monthly change]])^12)-1</f>
        <v>8.5230704820356218E-2</v>
      </c>
      <c r="E678" s="53">
        <f>(Table267[[#This Row],[M2 Money Stock, Billions of Dollars, Weekly, Seasonally Adjusted]]-B666)/B666</f>
        <v>5.9317804415487854E-2</v>
      </c>
    </row>
    <row r="679" spans="1:5" x14ac:dyDescent="0.2">
      <c r="A679" s="50">
        <v>42005</v>
      </c>
      <c r="B679" s="51">
        <v>11743.9</v>
      </c>
      <c r="C679" s="53">
        <f>(Table267[[#This Row],[M2 Money Stock, Billions of Dollars, Weekly, Seasonally Adjusted]]-B678)/B678</f>
        <v>5.987664896350834E-3</v>
      </c>
      <c r="D679" s="54">
        <f>((1+Table267[[#This Row],[Monthly change]])^12)-1</f>
        <v>7.4266089315507822E-2</v>
      </c>
      <c r="E679" s="53">
        <f>(Table267[[#This Row],[M2 Money Stock, Billions of Dollars, Weekly, Seasonally Adjusted]]-B667)/B667</f>
        <v>6.0244118231226121E-2</v>
      </c>
    </row>
    <row r="680" spans="1:5" x14ac:dyDescent="0.2">
      <c r="A680" s="50">
        <v>42036</v>
      </c>
      <c r="B680" s="51">
        <v>11871.7</v>
      </c>
      <c r="C680" s="53">
        <f>(Table267[[#This Row],[M2 Money Stock, Billions of Dollars, Weekly, Seasonally Adjusted]]-B679)/B679</f>
        <v>1.0882245250726001E-2</v>
      </c>
      <c r="D680" s="54">
        <f>((1+Table267[[#This Row],[Monthly change]])^12)-1</f>
        <v>0.13869345902854735</v>
      </c>
      <c r="E680" s="53">
        <f>(Table267[[#This Row],[M2 Money Stock, Billions of Dollars, Weekly, Seasonally Adjusted]]-B668)/B668</f>
        <v>6.2886662548235023E-2</v>
      </c>
    </row>
    <row r="681" spans="1:5" x14ac:dyDescent="0.2">
      <c r="A681" s="50">
        <v>42064</v>
      </c>
      <c r="B681" s="51">
        <v>11888.1</v>
      </c>
      <c r="C681" s="53">
        <f>(Table267[[#This Row],[M2 Money Stock, Billions of Dollars, Weekly, Seasonally Adjusted]]-B680)/B680</f>
        <v>1.3814365255186397E-3</v>
      </c>
      <c r="D681" s="54">
        <f>((1+Table267[[#This Row],[Monthly change]])^12)-1</f>
        <v>1.6703772309919707E-2</v>
      </c>
      <c r="E681" s="53">
        <f>(Table267[[#This Row],[M2 Money Stock, Billions of Dollars, Weekly, Seasonally Adjusted]]-B669)/B669</f>
        <v>6.0717727256504511E-2</v>
      </c>
    </row>
    <row r="682" spans="1:5" x14ac:dyDescent="0.2">
      <c r="A682" s="50">
        <v>42095</v>
      </c>
      <c r="B682" s="51">
        <v>11927.6</v>
      </c>
      <c r="C682" s="53">
        <f>(Table267[[#This Row],[M2 Money Stock, Billions of Dollars, Weekly, Seasonally Adjusted]]-B681)/B681</f>
        <v>3.322650381473911E-3</v>
      </c>
      <c r="D682" s="54">
        <f>((1+Table267[[#This Row],[Monthly change]])^12)-1</f>
        <v>4.0608575655226797E-2</v>
      </c>
      <c r="E682" s="53">
        <f>(Table267[[#This Row],[M2 Money Stock, Billions of Dollars, Weekly, Seasonally Adjusted]]-B670)/B670</f>
        <v>5.930833584965995E-2</v>
      </c>
    </row>
    <row r="683" spans="1:5" x14ac:dyDescent="0.2">
      <c r="A683" s="50">
        <v>42125</v>
      </c>
      <c r="B683" s="51">
        <v>11957.9</v>
      </c>
      <c r="C683" s="53">
        <f>(Table267[[#This Row],[M2 Money Stock, Billions of Dollars, Weekly, Seasonally Adjusted]]-B682)/B682</f>
        <v>2.5403266373787915E-3</v>
      </c>
      <c r="D683" s="54">
        <f>((1+Table267[[#This Row],[Monthly change]])^12)-1</f>
        <v>3.0913462013756776E-2</v>
      </c>
      <c r="E683" s="53">
        <f>(Table267[[#This Row],[M2 Money Stock, Billions of Dollars, Weekly, Seasonally Adjusted]]-B671)/B671</f>
        <v>5.5764018258389801E-2</v>
      </c>
    </row>
    <row r="684" spans="1:5" x14ac:dyDescent="0.2">
      <c r="A684" s="50">
        <v>42156</v>
      </c>
      <c r="B684" s="51">
        <v>12002.9</v>
      </c>
      <c r="C684" s="53">
        <f>(Table267[[#This Row],[M2 Money Stock, Billions of Dollars, Weekly, Seasonally Adjusted]]-B683)/B683</f>
        <v>3.7632025690129537E-3</v>
      </c>
      <c r="D684" s="54">
        <f>((1+Table267[[#This Row],[Monthly change]])^12)-1</f>
        <v>4.6104927009282592E-2</v>
      </c>
      <c r="E684" s="53">
        <f>(Table267[[#This Row],[M2 Money Stock, Billions of Dollars, Weekly, Seasonally Adjusted]]-B672)/B672</f>
        <v>5.4995956825932467E-2</v>
      </c>
    </row>
    <row r="685" spans="1:5" x14ac:dyDescent="0.2">
      <c r="A685" s="50">
        <v>42186</v>
      </c>
      <c r="B685" s="51">
        <v>12052</v>
      </c>
      <c r="C685" s="53">
        <f>(Table267[[#This Row],[M2 Money Stock, Billions of Dollars, Weekly, Seasonally Adjusted]]-B684)/B684</f>
        <v>4.0906780861292161E-3</v>
      </c>
      <c r="D685" s="54">
        <f>((1+Table267[[#This Row],[Monthly change]])^12)-1</f>
        <v>5.0207756700040296E-2</v>
      </c>
      <c r="E685" s="53">
        <f>(Table267[[#This Row],[M2 Money Stock, Billions of Dollars, Weekly, Seasonally Adjusted]]-B673)/B673</f>
        <v>5.4049326569879305E-2</v>
      </c>
    </row>
    <row r="686" spans="1:5" x14ac:dyDescent="0.2">
      <c r="A686" s="50">
        <v>42217</v>
      </c>
      <c r="B686" s="51">
        <v>12100.6</v>
      </c>
      <c r="C686" s="53">
        <f>(Table267[[#This Row],[M2 Money Stock, Billions of Dollars, Weekly, Seasonally Adjusted]]-B685)/B685</f>
        <v>4.0325257218719185E-3</v>
      </c>
      <c r="D686" s="54">
        <f>((1+Table267[[#This Row],[Monthly change]])^12)-1</f>
        <v>4.9478110079323567E-2</v>
      </c>
      <c r="E686" s="53">
        <f>(Table267[[#This Row],[M2 Money Stock, Billions of Dollars, Weekly, Seasonally Adjusted]]-B674)/B674</f>
        <v>5.5631646441999909E-2</v>
      </c>
    </row>
    <row r="687" spans="1:5" x14ac:dyDescent="0.2">
      <c r="A687" s="50">
        <v>42248</v>
      </c>
      <c r="B687" s="51">
        <v>12154.6</v>
      </c>
      <c r="C687" s="53">
        <f>(Table267[[#This Row],[M2 Money Stock, Billions of Dollars, Weekly, Seasonally Adjusted]]-B686)/B686</f>
        <v>4.4625886319686623E-3</v>
      </c>
      <c r="D687" s="54">
        <f>((1+Table267[[#This Row],[Monthly change]])^12)-1</f>
        <v>5.4885182971341706E-2</v>
      </c>
      <c r="E687" s="53">
        <f>(Table267[[#This Row],[M2 Money Stock, Billions of Dollars, Weekly, Seasonally Adjusted]]-B675)/B675</f>
        <v>5.722511677263907E-2</v>
      </c>
    </row>
    <row r="688" spans="1:5" x14ac:dyDescent="0.2">
      <c r="A688" s="50">
        <v>42278</v>
      </c>
      <c r="B688" s="51">
        <v>12192.5</v>
      </c>
      <c r="C688" s="53">
        <f>(Table267[[#This Row],[M2 Money Stock, Billions of Dollars, Weekly, Seasonally Adjusted]]-B687)/B687</f>
        <v>3.118161025455353E-3</v>
      </c>
      <c r="D688" s="54">
        <f>((1+Table267[[#This Row],[Monthly change]])^12)-1</f>
        <v>3.8066362478947458E-2</v>
      </c>
      <c r="E688" s="53">
        <f>(Table267[[#This Row],[M2 Money Stock, Billions of Dollars, Weekly, Seasonally Adjusted]]-B676)/B676</f>
        <v>5.4842281937258805E-2</v>
      </c>
    </row>
    <row r="689" spans="1:5" x14ac:dyDescent="0.2">
      <c r="A689" s="50">
        <v>42309</v>
      </c>
      <c r="B689" s="51">
        <v>12277</v>
      </c>
      <c r="C689" s="53">
        <f>(Table267[[#This Row],[M2 Money Stock, Billions of Dollars, Weekly, Seasonally Adjusted]]-B688)/B688</f>
        <v>6.9304900553619027E-3</v>
      </c>
      <c r="D689" s="54">
        <f>((1+Table267[[#This Row],[Monthly change]])^12)-1</f>
        <v>8.6410361412644798E-2</v>
      </c>
      <c r="E689" s="53">
        <f>(Table267[[#This Row],[M2 Money Stock, Billions of Dollars, Weekly, Seasonally Adjusted]]-B677)/B677</f>
        <v>5.8845851984096115E-2</v>
      </c>
    </row>
    <row r="690" spans="1:5" x14ac:dyDescent="0.2">
      <c r="A690" s="50">
        <v>42339</v>
      </c>
      <c r="B690" s="51">
        <v>12340.1</v>
      </c>
      <c r="C690" s="53">
        <f>(Table267[[#This Row],[M2 Money Stock, Billions of Dollars, Weekly, Seasonally Adjusted]]-B689)/B689</f>
        <v>5.1396921071923405E-3</v>
      </c>
      <c r="D690" s="54">
        <f>((1+Table267[[#This Row],[Monthly change]])^12)-1</f>
        <v>6.3450008191338947E-2</v>
      </c>
      <c r="E690" s="53">
        <f>(Table267[[#This Row],[M2 Money Stock, Billions of Dollars, Weekly, Seasonally Adjusted]]-B678)/B678</f>
        <v>5.7058420421449409E-2</v>
      </c>
    </row>
    <row r="691" spans="1:5" x14ac:dyDescent="0.2">
      <c r="A691" s="50">
        <v>42370</v>
      </c>
      <c r="B691" s="51">
        <v>12471.4</v>
      </c>
      <c r="C691" s="53">
        <f>(Table267[[#This Row],[M2 Money Stock, Billions of Dollars, Weekly, Seasonally Adjusted]]-B690)/B690</f>
        <v>1.064010826492486E-2</v>
      </c>
      <c r="D691" s="54">
        <f>((1+Table267[[#This Row],[Monthly change]])^12)-1</f>
        <v>0.13542474770078017</v>
      </c>
      <c r="E691" s="53">
        <f>(Table267[[#This Row],[M2 Money Stock, Billions of Dollars, Weekly, Seasonally Adjusted]]-B679)/B679</f>
        <v>6.1947053363874016E-2</v>
      </c>
    </row>
    <row r="692" spans="1:5" x14ac:dyDescent="0.2">
      <c r="A692" s="50">
        <v>42401</v>
      </c>
      <c r="B692" s="51">
        <v>12552.3</v>
      </c>
      <c r="C692" s="53">
        <f>(Table267[[#This Row],[M2 Money Stock, Billions of Dollars, Weekly, Seasonally Adjusted]]-B691)/B691</f>
        <v>6.4868418942540243E-3</v>
      </c>
      <c r="D692" s="54">
        <f>((1+Table267[[#This Row],[Monthly change]])^12)-1</f>
        <v>8.0680261470660097E-2</v>
      </c>
      <c r="E692" s="53">
        <f>(Table267[[#This Row],[M2 Money Stock, Billions of Dollars, Weekly, Seasonally Adjusted]]-B680)/B680</f>
        <v>5.7329615809024695E-2</v>
      </c>
    </row>
    <row r="693" spans="1:5" x14ac:dyDescent="0.2">
      <c r="A693" s="50">
        <v>42430</v>
      </c>
      <c r="B693" s="51">
        <v>12616.6</v>
      </c>
      <c r="C693" s="53">
        <f>(Table267[[#This Row],[M2 Money Stock, Billions of Dollars, Weekly, Seasonally Adjusted]]-B692)/B692</f>
        <v>5.1225671789234721E-3</v>
      </c>
      <c r="D693" s="54">
        <f>((1+Table267[[#This Row],[Monthly change]])^12)-1</f>
        <v>6.3232607977260713E-2</v>
      </c>
      <c r="E693" s="53">
        <f>(Table267[[#This Row],[M2 Money Stock, Billions of Dollars, Weekly, Seasonally Adjusted]]-B681)/B681</f>
        <v>6.1279767162120101E-2</v>
      </c>
    </row>
    <row r="694" spans="1:5" x14ac:dyDescent="0.2">
      <c r="A694" s="50">
        <v>42461</v>
      </c>
      <c r="B694" s="51">
        <v>12697</v>
      </c>
      <c r="C694" s="53">
        <f>(Table267[[#This Row],[M2 Money Stock, Billions of Dollars, Weekly, Seasonally Adjusted]]-B693)/B693</f>
        <v>6.3725567902604219E-3</v>
      </c>
      <c r="D694" s="54">
        <f>((1+Table267[[#This Row],[Monthly change]])^12)-1</f>
        <v>7.9208664838789966E-2</v>
      </c>
      <c r="E694" s="53">
        <f>(Table267[[#This Row],[M2 Money Stock, Billions of Dollars, Weekly, Seasonally Adjusted]]-B682)/B682</f>
        <v>6.4505851973573863E-2</v>
      </c>
    </row>
    <row r="695" spans="1:5" x14ac:dyDescent="0.2">
      <c r="A695" s="50">
        <v>42491</v>
      </c>
      <c r="B695" s="51">
        <v>12763.7</v>
      </c>
      <c r="C695" s="53">
        <f>(Table267[[#This Row],[M2 Money Stock, Billions of Dollars, Weekly, Seasonally Adjusted]]-B694)/B694</f>
        <v>5.2532094195479823E-3</v>
      </c>
      <c r="D695" s="54">
        <f>((1+Table267[[#This Row],[Monthly change]])^12)-1</f>
        <v>6.4892136104294451E-2</v>
      </c>
      <c r="E695" s="53">
        <f>(Table267[[#This Row],[M2 Money Stock, Billions of Dollars, Weekly, Seasonally Adjusted]]-B683)/B683</f>
        <v>6.7386414002458719E-2</v>
      </c>
    </row>
    <row r="696" spans="1:5" x14ac:dyDescent="0.2">
      <c r="A696" s="50">
        <v>42522</v>
      </c>
      <c r="B696" s="51">
        <v>12830.6</v>
      </c>
      <c r="C696" s="53">
        <f>(Table267[[#This Row],[M2 Money Stock, Billions of Dollars, Weekly, Seasonally Adjusted]]-B695)/B695</f>
        <v>5.2414268589828679E-3</v>
      </c>
      <c r="D696" s="54">
        <f>((1+Table267[[#This Row],[Monthly change]])^12)-1</f>
        <v>6.4742366707151611E-2</v>
      </c>
      <c r="E696" s="53">
        <f>(Table267[[#This Row],[M2 Money Stock, Billions of Dollars, Weekly, Seasonally Adjusted]]-B684)/B684</f>
        <v>6.8958335069025045E-2</v>
      </c>
    </row>
    <row r="697" spans="1:5" x14ac:dyDescent="0.2">
      <c r="A697" s="50">
        <v>42552</v>
      </c>
      <c r="B697" s="51">
        <v>12889.1</v>
      </c>
      <c r="C697" s="53">
        <f>(Table267[[#This Row],[M2 Money Stock, Billions of Dollars, Weekly, Seasonally Adjusted]]-B696)/B696</f>
        <v>4.5594126541237357E-3</v>
      </c>
      <c r="D697" s="54">
        <f>((1+Table267[[#This Row],[Monthly change]])^12)-1</f>
        <v>5.6106043500617098E-2</v>
      </c>
      <c r="E697" s="53">
        <f>(Table267[[#This Row],[M2 Money Stock, Billions of Dollars, Weekly, Seasonally Adjusted]]-B685)/B685</f>
        <v>6.9457351476933313E-2</v>
      </c>
    </row>
    <row r="698" spans="1:5" x14ac:dyDescent="0.2">
      <c r="A698" s="50">
        <v>42583</v>
      </c>
      <c r="B698" s="51">
        <v>12968.2</v>
      </c>
      <c r="C698" s="53">
        <f>(Table267[[#This Row],[M2 Money Stock, Billions of Dollars, Weekly, Seasonally Adjusted]]-B697)/B697</f>
        <v>6.1369684462065123E-3</v>
      </c>
      <c r="D698" s="54">
        <f>((1+Table267[[#This Row],[Monthly change]])^12)-1</f>
        <v>7.6180896853132563E-2</v>
      </c>
      <c r="E698" s="53">
        <f>(Table267[[#This Row],[M2 Money Stock, Billions of Dollars, Weekly, Seasonally Adjusted]]-B686)/B686</f>
        <v>7.1698924020296539E-2</v>
      </c>
    </row>
    <row r="699" spans="1:5" x14ac:dyDescent="0.2">
      <c r="A699" s="50">
        <v>42614</v>
      </c>
      <c r="B699" s="51">
        <v>13027.4</v>
      </c>
      <c r="C699" s="53">
        <f>(Table267[[#This Row],[M2 Money Stock, Billions of Dollars, Weekly, Seasonally Adjusted]]-B698)/B698</f>
        <v>4.5650128776544858E-3</v>
      </c>
      <c r="D699" s="54">
        <f>((1+Table267[[#This Row],[Monthly change]])^12)-1</f>
        <v>5.6176696698698514E-2</v>
      </c>
      <c r="E699" s="53">
        <f>(Table267[[#This Row],[M2 Money Stock, Billions of Dollars, Weekly, Seasonally Adjusted]]-B687)/B687</f>
        <v>7.1808204301252135E-2</v>
      </c>
    </row>
    <row r="700" spans="1:5" x14ac:dyDescent="0.2">
      <c r="A700" s="50">
        <v>42644</v>
      </c>
      <c r="B700" s="51">
        <v>13099.7</v>
      </c>
      <c r="C700" s="53">
        <f>(Table267[[#This Row],[M2 Money Stock, Billions of Dollars, Weekly, Seasonally Adjusted]]-B699)/B699</f>
        <v>5.5498411041344465E-3</v>
      </c>
      <c r="D700" s="54">
        <f>((1+Table267[[#This Row],[Monthly change]])^12)-1</f>
        <v>6.8669022262763502E-2</v>
      </c>
      <c r="E700" s="53">
        <f>(Table267[[#This Row],[M2 Money Stock, Billions of Dollars, Weekly, Seasonally Adjusted]]-B688)/B688</f>
        <v>7.4406397375435779E-2</v>
      </c>
    </row>
    <row r="701" spans="1:5" x14ac:dyDescent="0.2">
      <c r="A701" s="50">
        <v>42675</v>
      </c>
      <c r="B701" s="51">
        <v>13174.1</v>
      </c>
      <c r="C701" s="53">
        <f>(Table267[[#This Row],[M2 Money Stock, Billions of Dollars, Weekly, Seasonally Adjusted]]-B700)/B700</f>
        <v>5.6795193783063455E-3</v>
      </c>
      <c r="D701" s="54">
        <f>((1+Table267[[#This Row],[Monthly change]])^12)-1</f>
        <v>7.0324015230056824E-2</v>
      </c>
      <c r="E701" s="53">
        <f>(Table267[[#This Row],[M2 Money Stock, Billions of Dollars, Weekly, Seasonally Adjusted]]-B689)/B689</f>
        <v>7.3071597295756324E-2</v>
      </c>
    </row>
    <row r="702" spans="1:5" x14ac:dyDescent="0.2">
      <c r="A702" s="50">
        <v>42705</v>
      </c>
      <c r="B702" s="51">
        <v>13214.2</v>
      </c>
      <c r="C702" s="53">
        <f>(Table267[[#This Row],[M2 Money Stock, Billions of Dollars, Weekly, Seasonally Adjusted]]-B701)/B701</f>
        <v>3.0438511928708879E-3</v>
      </c>
      <c r="D702" s="54">
        <f>((1+Table267[[#This Row],[Monthly change]])^12)-1</f>
        <v>3.7143953300913468E-2</v>
      </c>
      <c r="E702" s="53">
        <f>(Table267[[#This Row],[M2 Money Stock, Billions of Dollars, Weekly, Seasonally Adjusted]]-B690)/B690</f>
        <v>7.0834109934279327E-2</v>
      </c>
    </row>
    <row r="703" spans="1:5" x14ac:dyDescent="0.2">
      <c r="A703" s="50">
        <v>42736</v>
      </c>
      <c r="B703" s="51">
        <v>13288.7</v>
      </c>
      <c r="C703" s="53">
        <f>(Table267[[#This Row],[M2 Money Stock, Billions of Dollars, Weekly, Seasonally Adjusted]]-B702)/B702</f>
        <v>5.6378744078339968E-3</v>
      </c>
      <c r="D703" s="54">
        <f>((1+Table267[[#This Row],[Monthly change]])^12)-1</f>
        <v>6.9792273727009357E-2</v>
      </c>
      <c r="E703" s="53">
        <f>(Table267[[#This Row],[M2 Money Stock, Billions of Dollars, Weekly, Seasonally Adjusted]]-B691)/B691</f>
        <v>6.5533941658514769E-2</v>
      </c>
    </row>
    <row r="704" spans="1:5" x14ac:dyDescent="0.2">
      <c r="A704" s="50">
        <v>42767</v>
      </c>
      <c r="B704" s="51">
        <v>13359.2</v>
      </c>
      <c r="C704" s="53">
        <f>(Table267[[#This Row],[M2 Money Stock, Billions of Dollars, Weekly, Seasonally Adjusted]]-B703)/B703</f>
        <v>5.3052593556931829E-3</v>
      </c>
      <c r="D704" s="54">
        <f>((1+Table267[[#This Row],[Monthly change]])^12)-1</f>
        <v>6.5553979561988829E-2</v>
      </c>
      <c r="E704" s="53">
        <f>(Table267[[#This Row],[M2 Money Stock, Billions of Dollars, Weekly, Seasonally Adjusted]]-B692)/B692</f>
        <v>6.4283039761637434E-2</v>
      </c>
    </row>
    <row r="705" spans="1:5" x14ac:dyDescent="0.2">
      <c r="A705" s="50">
        <v>42795</v>
      </c>
      <c r="B705" s="51">
        <v>13428.6</v>
      </c>
      <c r="C705" s="53">
        <f>(Table267[[#This Row],[M2 Money Stock, Billions of Dollars, Weekly, Seasonally Adjusted]]-B704)/B704</f>
        <v>5.1949218516078536E-3</v>
      </c>
      <c r="D705" s="54">
        <f>((1+Table267[[#This Row],[Monthly change]])^12)-1</f>
        <v>6.4151425030094522E-2</v>
      </c>
      <c r="E705" s="53">
        <f>(Table267[[#This Row],[M2 Money Stock, Billions of Dollars, Weekly, Seasonally Adjusted]]-B693)/B693</f>
        <v>6.4359653155366736E-2</v>
      </c>
    </row>
    <row r="706" spans="1:5" x14ac:dyDescent="0.2">
      <c r="A706" s="50">
        <v>42826</v>
      </c>
      <c r="B706" s="51">
        <v>13486.6</v>
      </c>
      <c r="C706" s="53">
        <f>(Table267[[#This Row],[M2 Money Stock, Billions of Dollars, Weekly, Seasonally Adjusted]]-B705)/B705</f>
        <v>4.3191397465111771E-3</v>
      </c>
      <c r="D706" s="54">
        <f>((1+Table267[[#This Row],[Monthly change]])^12)-1</f>
        <v>5.3078804467546981E-2</v>
      </c>
      <c r="E706" s="53">
        <f>(Table267[[#This Row],[M2 Money Stock, Billions of Dollars, Weekly, Seasonally Adjusted]]-B694)/B694</f>
        <v>6.2187918405922686E-2</v>
      </c>
    </row>
    <row r="707" spans="1:5" x14ac:dyDescent="0.2">
      <c r="A707" s="50">
        <v>42856</v>
      </c>
      <c r="B707" s="51">
        <v>13537.3</v>
      </c>
      <c r="C707" s="53">
        <f>(Table267[[#This Row],[M2 Money Stock, Billions of Dollars, Weekly, Seasonally Adjusted]]-B706)/B706</f>
        <v>3.759286995981115E-3</v>
      </c>
      <c r="D707" s="54">
        <f>((1+Table267[[#This Row],[Monthly change]])^12)-1</f>
        <v>4.6055959136982239E-2</v>
      </c>
      <c r="E707" s="53">
        <f>(Table267[[#This Row],[M2 Money Stock, Billions of Dollars, Weekly, Seasonally Adjusted]]-B695)/B695</f>
        <v>6.0609384426145906E-2</v>
      </c>
    </row>
    <row r="708" spans="1:5" x14ac:dyDescent="0.2">
      <c r="A708" s="50">
        <v>42887</v>
      </c>
      <c r="B708" s="51">
        <v>13564.7</v>
      </c>
      <c r="C708" s="53">
        <f>(Table267[[#This Row],[M2 Money Stock, Billions of Dollars, Weekly, Seasonally Adjusted]]-B707)/B707</f>
        <v>2.0240372895630188E-3</v>
      </c>
      <c r="D708" s="54">
        <f>((1+Table267[[#This Row],[Monthly change]])^12)-1</f>
        <v>2.4560664012247768E-2</v>
      </c>
      <c r="E708" s="53">
        <f>(Table267[[#This Row],[M2 Money Stock, Billions of Dollars, Weekly, Seasonally Adjusted]]-B696)/B696</f>
        <v>5.7214783408414287E-2</v>
      </c>
    </row>
    <row r="709" spans="1:5" x14ac:dyDescent="0.2">
      <c r="A709" s="50">
        <v>42917</v>
      </c>
      <c r="B709" s="51">
        <v>13621.8</v>
      </c>
      <c r="C709" s="53">
        <f>(Table267[[#This Row],[M2 Money Stock, Billions of Dollars, Weekly, Seasonally Adjusted]]-B708)/B708</f>
        <v>4.209455424742054E-3</v>
      </c>
      <c r="D709" s="54">
        <f>((1+Table267[[#This Row],[Monthly change]])^12)-1</f>
        <v>5.1699519249605697E-2</v>
      </c>
      <c r="E709" s="53">
        <f>(Table267[[#This Row],[M2 Money Stock, Billions of Dollars, Weekly, Seasonally Adjusted]]-B697)/B697</f>
        <v>5.6846482686921419E-2</v>
      </c>
    </row>
    <row r="710" spans="1:5" x14ac:dyDescent="0.2">
      <c r="A710" s="50">
        <v>42948</v>
      </c>
      <c r="B710" s="51">
        <v>13671.4</v>
      </c>
      <c r="C710" s="53">
        <f>(Table267[[#This Row],[M2 Money Stock, Billions of Dollars, Weekly, Seasonally Adjusted]]-B709)/B709</f>
        <v>3.6412221585987435E-3</v>
      </c>
      <c r="D710" s="54">
        <f>((1+Table267[[#This Row],[Monthly change]])^12)-1</f>
        <v>4.4580435319313771E-2</v>
      </c>
      <c r="E710" s="53">
        <f>(Table267[[#This Row],[M2 Money Stock, Billions of Dollars, Weekly, Seasonally Adjusted]]-B698)/B698</f>
        <v>5.4224950262950822E-2</v>
      </c>
    </row>
    <row r="711" spans="1:5" x14ac:dyDescent="0.2">
      <c r="A711" s="50">
        <v>42979</v>
      </c>
      <c r="B711" s="51">
        <v>13714.4</v>
      </c>
      <c r="C711" s="53">
        <f>(Table267[[#This Row],[M2 Money Stock, Billions of Dollars, Weekly, Seasonally Adjusted]]-B710)/B710</f>
        <v>3.1452521321883643E-3</v>
      </c>
      <c r="D711" s="54">
        <f>((1+Table267[[#This Row],[Monthly change]])^12)-1</f>
        <v>3.8402831844118079E-2</v>
      </c>
      <c r="E711" s="53">
        <f>(Table267[[#This Row],[M2 Money Stock, Billions of Dollars, Weekly, Seasonally Adjusted]]-B699)/B699</f>
        <v>5.2735004682438552E-2</v>
      </c>
    </row>
    <row r="712" spans="1:5" x14ac:dyDescent="0.2">
      <c r="A712" s="50">
        <v>43009</v>
      </c>
      <c r="B712" s="51">
        <v>13767.6</v>
      </c>
      <c r="C712" s="53">
        <f>(Table267[[#This Row],[M2 Money Stock, Billions of Dollars, Weekly, Seasonally Adjusted]]-B711)/B711</f>
        <v>3.8791343405472152E-3</v>
      </c>
      <c r="D712" s="54">
        <f>((1+Table267[[#This Row],[Monthly change]])^12)-1</f>
        <v>4.7555713799573684E-2</v>
      </c>
      <c r="E712" s="53">
        <f>(Table267[[#This Row],[M2 Money Stock, Billions of Dollars, Weekly, Seasonally Adjusted]]-B700)/B700</f>
        <v>5.0985900440468072E-2</v>
      </c>
    </row>
    <row r="713" spans="1:5" x14ac:dyDescent="0.2">
      <c r="A713" s="50">
        <v>43040</v>
      </c>
      <c r="B713" s="51">
        <v>13802.4</v>
      </c>
      <c r="C713" s="53">
        <f>(Table267[[#This Row],[M2 Money Stock, Billions of Dollars, Weekly, Seasonally Adjusted]]-B712)/B712</f>
        <v>2.5276736686132132E-3</v>
      </c>
      <c r="D713" s="54">
        <f>((1+Table267[[#This Row],[Monthly change]])^12)-1</f>
        <v>3.0757340089452301E-2</v>
      </c>
      <c r="E713" s="53">
        <f>(Table267[[#This Row],[M2 Money Stock, Billions of Dollars, Weekly, Seasonally Adjusted]]-B701)/B701</f>
        <v>4.7692062455879279E-2</v>
      </c>
    </row>
    <row r="714" spans="1:5" x14ac:dyDescent="0.2">
      <c r="A714" s="50">
        <v>43070</v>
      </c>
      <c r="B714" s="51">
        <v>13854.8</v>
      </c>
      <c r="C714" s="53">
        <f>(Table267[[#This Row],[M2 Money Stock, Billions of Dollars, Weekly, Seasonally Adjusted]]-B713)/B713</f>
        <v>3.7964411986320958E-3</v>
      </c>
      <c r="D714" s="54">
        <f>((1+Table267[[#This Row],[Monthly change]])^12)-1</f>
        <v>4.6520691535176573E-2</v>
      </c>
      <c r="E714" s="53">
        <f>(Table267[[#This Row],[M2 Money Stock, Billions of Dollars, Weekly, Seasonally Adjusted]]-B702)/B702</f>
        <v>4.8478152290717447E-2</v>
      </c>
    </row>
    <row r="715" spans="1:5" x14ac:dyDescent="0.2">
      <c r="A715" s="50">
        <v>43101</v>
      </c>
      <c r="B715" s="51">
        <v>13872</v>
      </c>
      <c r="C715" s="53">
        <f>(Table267[[#This Row],[M2 Money Stock, Billions of Dollars, Weekly, Seasonally Adjusted]]-B714)/B714</f>
        <v>1.2414470075353473E-3</v>
      </c>
      <c r="D715" s="54">
        <f>((1+Table267[[#This Row],[Monthly change]])^12)-1</f>
        <v>1.4999504780346395E-2</v>
      </c>
      <c r="E715" s="53">
        <f>(Table267[[#This Row],[M2 Money Stock, Billions of Dollars, Weekly, Seasonally Adjusted]]-B703)/B703</f>
        <v>4.3894436626607511E-2</v>
      </c>
    </row>
    <row r="716" spans="1:5" x14ac:dyDescent="0.2">
      <c r="A716" s="50">
        <v>43132</v>
      </c>
      <c r="B716" s="51">
        <v>13914.6</v>
      </c>
      <c r="C716" s="53">
        <f>(Table267[[#This Row],[M2 Money Stock, Billions of Dollars, Weekly, Seasonally Adjusted]]-B715)/B715</f>
        <v>3.0709342560553896E-3</v>
      </c>
      <c r="D716" s="54">
        <f>((1+Table267[[#This Row],[Monthly change]])^12)-1</f>
        <v>3.7480048759763074E-2</v>
      </c>
      <c r="E716" s="53">
        <f>(Table267[[#This Row],[M2 Money Stock, Billions of Dollars, Weekly, Seasonally Adjusted]]-B704)/B704</f>
        <v>4.157434576920771E-2</v>
      </c>
    </row>
    <row r="717" spans="1:5" x14ac:dyDescent="0.2">
      <c r="A717" s="50">
        <v>43160</v>
      </c>
      <c r="B717" s="51">
        <v>13971.2</v>
      </c>
      <c r="C717" s="53">
        <f>(Table267[[#This Row],[M2 Money Stock, Billions of Dollars, Weekly, Seasonally Adjusted]]-B716)/B716</f>
        <v>4.0676699294266714E-3</v>
      </c>
      <c r="D717" s="54">
        <f>((1+Table267[[#This Row],[Monthly change]])^12)-1</f>
        <v>4.9919014257472583E-2</v>
      </c>
      <c r="E717" s="53">
        <f>(Table267[[#This Row],[M2 Money Stock, Billions of Dollars, Weekly, Seasonally Adjusted]]-B705)/B705</f>
        <v>4.0406297007878733E-2</v>
      </c>
    </row>
    <row r="718" spans="1:5" x14ac:dyDescent="0.2">
      <c r="A718" s="50">
        <v>43191</v>
      </c>
      <c r="B718" s="51">
        <v>14001.3</v>
      </c>
      <c r="C718" s="53">
        <f>(Table267[[#This Row],[M2 Money Stock, Billions of Dollars, Weekly, Seasonally Adjusted]]-B717)/B717</f>
        <v>2.1544319743471243E-3</v>
      </c>
      <c r="D718" s="54">
        <f>((1+Table267[[#This Row],[Monthly change]])^12)-1</f>
        <v>2.6161738475815266E-2</v>
      </c>
      <c r="E718" s="53">
        <f>(Table267[[#This Row],[M2 Money Stock, Billions of Dollars, Weekly, Seasonally Adjusted]]-B706)/B706</f>
        <v>3.8163807038096992E-2</v>
      </c>
    </row>
    <row r="719" spans="1:5" x14ac:dyDescent="0.2">
      <c r="A719" s="50">
        <v>43221</v>
      </c>
      <c r="B719" s="51">
        <v>14066</v>
      </c>
      <c r="C719" s="53">
        <f>(Table267[[#This Row],[M2 Money Stock, Billions of Dollars, Weekly, Seasonally Adjusted]]-B718)/B718</f>
        <v>4.6209994786198944E-3</v>
      </c>
      <c r="D719" s="54">
        <f>((1+Table267[[#This Row],[Monthly change]])^12)-1</f>
        <v>5.6883269649412815E-2</v>
      </c>
      <c r="E719" s="53">
        <f>(Table267[[#This Row],[M2 Money Stock, Billions of Dollars, Weekly, Seasonally Adjusted]]-B707)/B707</f>
        <v>3.9055055291675647E-2</v>
      </c>
    </row>
    <row r="720" spans="1:5" x14ac:dyDescent="0.2">
      <c r="A720" s="50">
        <v>43252</v>
      </c>
      <c r="B720" s="51">
        <v>14125.8</v>
      </c>
      <c r="C720" s="53">
        <f>(Table267[[#This Row],[M2 Money Stock, Billions of Dollars, Weekly, Seasonally Adjusted]]-B719)/B719</f>
        <v>4.2513863216265659E-3</v>
      </c>
      <c r="D720" s="54">
        <f>((1+Table267[[#This Row],[Monthly change]])^12)-1</f>
        <v>5.2226606494313099E-2</v>
      </c>
      <c r="E720" s="53">
        <f>(Table267[[#This Row],[M2 Money Stock, Billions of Dollars, Weekly, Seasonally Adjusted]]-B708)/B708</f>
        <v>4.1364718718438193E-2</v>
      </c>
    </row>
    <row r="721" spans="1:5" x14ac:dyDescent="0.2">
      <c r="A721" s="50">
        <v>43282</v>
      </c>
      <c r="B721" s="51">
        <v>14155.2</v>
      </c>
      <c r="C721" s="53">
        <f>(Table267[[#This Row],[M2 Money Stock, Billions of Dollars, Weekly, Seasonally Adjusted]]-B720)/B720</f>
        <v>2.0812980503760112E-3</v>
      </c>
      <c r="D721" s="54">
        <f>((1+Table267[[#This Row],[Monthly change]])^12)-1</f>
        <v>2.5263468297302749E-2</v>
      </c>
      <c r="E721" s="53">
        <f>(Table267[[#This Row],[M2 Money Stock, Billions of Dollars, Weekly, Seasonally Adjusted]]-B709)/B709</f>
        <v>3.9157820552350016E-2</v>
      </c>
    </row>
    <row r="722" spans="1:5" x14ac:dyDescent="0.2">
      <c r="A722" s="50">
        <v>43313</v>
      </c>
      <c r="B722" s="51">
        <v>14197.7</v>
      </c>
      <c r="C722" s="53">
        <f>(Table267[[#This Row],[M2 Money Stock, Billions of Dollars, Weekly, Seasonally Adjusted]]-B721)/B721</f>
        <v>3.0024302023284729E-3</v>
      </c>
      <c r="D722" s="54">
        <f>((1+Table267[[#This Row],[Monthly change]])^12)-1</f>
        <v>3.6630120043941616E-2</v>
      </c>
      <c r="E722" s="53">
        <f>(Table267[[#This Row],[M2 Money Stock, Billions of Dollars, Weekly, Seasonally Adjusted]]-B710)/B710</f>
        <v>3.8496423190017198E-2</v>
      </c>
    </row>
    <row r="723" spans="1:5" x14ac:dyDescent="0.2">
      <c r="A723" s="50">
        <v>43344</v>
      </c>
      <c r="B723" s="51">
        <v>14228.4</v>
      </c>
      <c r="C723" s="53">
        <f>(Table267[[#This Row],[M2 Money Stock, Billions of Dollars, Weekly, Seasonally Adjusted]]-B722)/B722</f>
        <v>2.1623220662500904E-3</v>
      </c>
      <c r="D723" s="54">
        <f>((1+Table267[[#This Row],[Monthly change]])^12)-1</f>
        <v>2.6258691928556344E-2</v>
      </c>
      <c r="E723" s="53">
        <f>(Table267[[#This Row],[M2 Money Stock, Billions of Dollars, Weekly, Seasonally Adjusted]]-B711)/B711</f>
        <v>3.747885434288048E-2</v>
      </c>
    </row>
    <row r="724" spans="1:5" x14ac:dyDescent="0.2">
      <c r="A724" s="50">
        <v>43374</v>
      </c>
      <c r="B724" s="51">
        <v>14235.8</v>
      </c>
      <c r="C724" s="53">
        <f>(Table267[[#This Row],[M2 Money Stock, Billions of Dollars, Weekly, Seasonally Adjusted]]-B723)/B723</f>
        <v>5.2008658738857756E-4</v>
      </c>
      <c r="D724" s="54">
        <f>((1+Table267[[#This Row],[Monthly change]])^12)-1</f>
        <v>6.2589223779789815E-3</v>
      </c>
      <c r="E724" s="53">
        <f>(Table267[[#This Row],[M2 Money Stock, Billions of Dollars, Weekly, Seasonally Adjusted]]-B712)/B712</f>
        <v>3.4007379644963455E-2</v>
      </c>
    </row>
    <row r="725" spans="1:5" x14ac:dyDescent="0.2">
      <c r="A725" s="50">
        <v>43405</v>
      </c>
      <c r="B725" s="51">
        <v>14254.9</v>
      </c>
      <c r="C725" s="53">
        <f>(Table267[[#This Row],[M2 Money Stock, Billions of Dollars, Weekly, Seasonally Adjusted]]-B724)/B724</f>
        <v>1.3416878573736892E-3</v>
      </c>
      <c r="D725" s="54">
        <f>((1+Table267[[#This Row],[Monthly change]])^12)-1</f>
        <v>1.6219595577870116E-2</v>
      </c>
      <c r="E725" s="53">
        <f>(Table267[[#This Row],[M2 Money Stock, Billions of Dollars, Weekly, Seasonally Adjusted]]-B713)/B713</f>
        <v>3.2784153480554107E-2</v>
      </c>
    </row>
    <row r="726" spans="1:5" x14ac:dyDescent="0.2">
      <c r="A726" s="50">
        <v>43435</v>
      </c>
      <c r="B726" s="51">
        <v>14373.9</v>
      </c>
      <c r="C726" s="53">
        <f>(Table267[[#This Row],[M2 Money Stock, Billions of Dollars, Weekly, Seasonally Adjusted]]-B725)/B725</f>
        <v>8.3480066503447935E-3</v>
      </c>
      <c r="D726" s="54">
        <f>((1+Table267[[#This Row],[Monthly change]])^12)-1</f>
        <v>0.10490599295842151</v>
      </c>
      <c r="E726" s="53">
        <f>(Table267[[#This Row],[M2 Money Stock, Billions of Dollars, Weekly, Seasonally Adjusted]]-B714)/B714</f>
        <v>3.7467159396021625E-2</v>
      </c>
    </row>
    <row r="727" spans="1:5" x14ac:dyDescent="0.2">
      <c r="A727" s="50">
        <v>43466</v>
      </c>
      <c r="B727" s="51">
        <v>14443.3</v>
      </c>
      <c r="C727" s="53">
        <f>(Table267[[#This Row],[M2 Money Stock, Billions of Dollars, Weekly, Seasonally Adjusted]]-B726)/B726</f>
        <v>4.8281955488767587E-3</v>
      </c>
      <c r="D727" s="54">
        <f>((1+Table267[[#This Row],[Monthly change]])^12)-1</f>
        <v>5.9501936356829654E-2</v>
      </c>
      <c r="E727" s="53">
        <f>(Table267[[#This Row],[M2 Money Stock, Billions of Dollars, Weekly, Seasonally Adjusted]]-B715)/B715</f>
        <v>4.1183679354094525E-2</v>
      </c>
    </row>
    <row r="728" spans="1:5" x14ac:dyDescent="0.2">
      <c r="A728" s="50">
        <v>43497</v>
      </c>
      <c r="B728" s="51">
        <v>14486.2</v>
      </c>
      <c r="C728" s="53">
        <f>(Table267[[#This Row],[M2 Money Stock, Billions of Dollars, Weekly, Seasonally Adjusted]]-B727)/B727</f>
        <v>2.9702353340304126E-3</v>
      </c>
      <c r="D728" s="54">
        <f>((1+Table267[[#This Row],[Monthly change]])^12)-1</f>
        <v>3.6230899329645849E-2</v>
      </c>
      <c r="E728" s="53">
        <f>(Table267[[#This Row],[M2 Money Stock, Billions of Dollars, Weekly, Seasonally Adjusted]]-B716)/B716</f>
        <v>4.1079154269616114E-2</v>
      </c>
    </row>
    <row r="729" spans="1:5" x14ac:dyDescent="0.2">
      <c r="A729" s="50">
        <v>43525</v>
      </c>
      <c r="B729" s="51">
        <v>14533.5</v>
      </c>
      <c r="C729" s="53">
        <f>(Table267[[#This Row],[M2 Money Stock, Billions of Dollars, Weekly, Seasonally Adjusted]]-B728)/B728</f>
        <v>3.2651765128190466E-3</v>
      </c>
      <c r="D729" s="54">
        <f>((1+Table267[[#This Row],[Monthly change]])^12)-1</f>
        <v>3.9893484120189227E-2</v>
      </c>
      <c r="E729" s="53">
        <f>(Table267[[#This Row],[M2 Money Stock, Billions of Dollars, Weekly, Seasonally Adjusted]]-B717)/B717</f>
        <v>4.0247079706825416E-2</v>
      </c>
    </row>
    <row r="730" spans="1:5" x14ac:dyDescent="0.2">
      <c r="A730" s="50">
        <v>43556</v>
      </c>
      <c r="B730" s="51">
        <v>14568.9</v>
      </c>
      <c r="C730" s="53">
        <f>(Table267[[#This Row],[M2 Money Stock, Billions of Dollars, Weekly, Seasonally Adjusted]]-B729)/B729</f>
        <v>2.4357518835792917E-3</v>
      </c>
      <c r="D730" s="54">
        <f>((1+Table267[[#This Row],[Monthly change]])^12)-1</f>
        <v>2.9623789881439322E-2</v>
      </c>
      <c r="E730" s="53">
        <f>(Table267[[#This Row],[M2 Money Stock, Billions of Dollars, Weekly, Seasonally Adjusted]]-B718)/B718</f>
        <v>4.0539092798525876E-2</v>
      </c>
    </row>
    <row r="731" spans="1:5" x14ac:dyDescent="0.2">
      <c r="A731" s="50">
        <v>43586</v>
      </c>
      <c r="B731" s="51">
        <v>14668.4</v>
      </c>
      <c r="C731" s="53">
        <f>(Table267[[#This Row],[M2 Money Stock, Billions of Dollars, Weekly, Seasonally Adjusted]]-B730)/B730</f>
        <v>6.8296165118849053E-3</v>
      </c>
      <c r="D731" s="54">
        <f>((1+Table267[[#This Row],[Monthly change]])^12)-1</f>
        <v>8.5105051445508062E-2</v>
      </c>
      <c r="E731" s="53">
        <f>(Table267[[#This Row],[M2 Money Stock, Billions of Dollars, Weekly, Seasonally Adjusted]]-B719)/B719</f>
        <v>4.2826674249964426E-2</v>
      </c>
    </row>
    <row r="732" spans="1:5" x14ac:dyDescent="0.2">
      <c r="A732" s="50">
        <v>43617</v>
      </c>
      <c r="B732" s="51">
        <v>14787</v>
      </c>
      <c r="C732" s="53">
        <f>(Table267[[#This Row],[M2 Money Stock, Billions of Dollars, Weekly, Seasonally Adjusted]]-B731)/B731</f>
        <v>8.085408088135064E-3</v>
      </c>
      <c r="D732" s="54">
        <f>((1+Table267[[#This Row],[Monthly change]])^12)-1</f>
        <v>0.10145799885550155</v>
      </c>
      <c r="E732" s="53">
        <f>(Table267[[#This Row],[M2 Money Stock, Billions of Dollars, Weekly, Seasonally Adjusted]]-B720)/B720</f>
        <v>4.6807968398250063E-2</v>
      </c>
    </row>
    <row r="733" spans="1:5" x14ac:dyDescent="0.2">
      <c r="A733" s="50">
        <v>43647</v>
      </c>
      <c r="B733" s="51">
        <v>14857.9</v>
      </c>
      <c r="C733" s="53">
        <f>(Table267[[#This Row],[M2 Money Stock, Billions of Dollars, Weekly, Seasonally Adjusted]]-B732)/B732</f>
        <v>4.7947521471562614E-3</v>
      </c>
      <c r="D733" s="54">
        <f>((1+Table267[[#This Row],[Monthly change]])^12)-1</f>
        <v>5.9078856707871719E-2</v>
      </c>
      <c r="E733" s="53">
        <f>(Table267[[#This Row],[M2 Money Stock, Billions of Dollars, Weekly, Seasonally Adjusted]]-B721)/B721</f>
        <v>4.9642534192381516E-2</v>
      </c>
    </row>
    <row r="734" spans="1:5" x14ac:dyDescent="0.2">
      <c r="A734" s="50">
        <v>43678</v>
      </c>
      <c r="B734" s="51">
        <v>14935.2</v>
      </c>
      <c r="C734" s="53">
        <f>(Table267[[#This Row],[M2 Money Stock, Billions of Dollars, Weekly, Seasonally Adjusted]]-B733)/B733</f>
        <v>5.2026194818918618E-3</v>
      </c>
      <c r="D734" s="54">
        <f>((1+Table267[[#This Row],[Monthly change]])^12)-1</f>
        <v>6.4249218471849723E-2</v>
      </c>
      <c r="E734" s="53">
        <f>(Table267[[#This Row],[M2 Money Stock, Billions of Dollars, Weekly, Seasonally Adjusted]]-B722)/B722</f>
        <v>5.1945033350472257E-2</v>
      </c>
    </row>
    <row r="735" spans="1:5" x14ac:dyDescent="0.2">
      <c r="A735" s="50">
        <v>43709</v>
      </c>
      <c r="B735" s="51">
        <v>15026.6</v>
      </c>
      <c r="C735" s="53">
        <f>(Table267[[#This Row],[M2 Money Stock, Billions of Dollars, Weekly, Seasonally Adjusted]]-B734)/B734</f>
        <v>6.1197707429428219E-3</v>
      </c>
      <c r="D735" s="54">
        <f>((1+Table267[[#This Row],[Monthly change]])^12)-1</f>
        <v>7.5960178197858719E-2</v>
      </c>
      <c r="E735" s="53">
        <f>(Table267[[#This Row],[M2 Money Stock, Billions of Dollars, Weekly, Seasonally Adjusted]]-B723)/B723</f>
        <v>5.6099069466700457E-2</v>
      </c>
    </row>
    <row r="736" spans="1:5" x14ac:dyDescent="0.2">
      <c r="A736" s="50">
        <v>43739</v>
      </c>
      <c r="B736" s="51">
        <v>15153.1</v>
      </c>
      <c r="C736" s="53">
        <f>(Table267[[#This Row],[M2 Money Stock, Billions of Dollars, Weekly, Seasonally Adjusted]]-B735)/B735</f>
        <v>8.4184046956730062E-3</v>
      </c>
      <c r="D736" s="54">
        <f>((1+Table267[[#This Row],[Monthly change]])^12)-1</f>
        <v>0.10583201964096767</v>
      </c>
      <c r="E736" s="53">
        <f>(Table267[[#This Row],[M2 Money Stock, Billions of Dollars, Weekly, Seasonally Adjusted]]-B724)/B724</f>
        <v>6.4436139872715348E-2</v>
      </c>
    </row>
    <row r="737" spans="1:5" x14ac:dyDescent="0.2">
      <c r="A737" s="50">
        <v>43770</v>
      </c>
      <c r="B737" s="51">
        <v>15251.3</v>
      </c>
      <c r="C737" s="53">
        <f>(Table267[[#This Row],[M2 Money Stock, Billions of Dollars, Weekly, Seasonally Adjusted]]-B736)/B736</f>
        <v>6.4805221373843572E-3</v>
      </c>
      <c r="D737" s="54">
        <f>((1+Table267[[#This Row],[Monthly change]])^12)-1</f>
        <v>8.0598836851462741E-2</v>
      </c>
      <c r="E737" s="53">
        <f>(Table267[[#This Row],[M2 Money Stock, Billions of Dollars, Weekly, Seasonally Adjusted]]-B725)/B725</f>
        <v>6.9898771650449998E-2</v>
      </c>
    </row>
    <row r="738" spans="1:5" x14ac:dyDescent="0.2">
      <c r="A738" s="50">
        <v>43800</v>
      </c>
      <c r="B738" s="51">
        <v>15325.8</v>
      </c>
      <c r="C738" s="53">
        <f>(Table267[[#This Row],[M2 Money Stock, Billions of Dollars, Weekly, Seasonally Adjusted]]-B737)/B737</f>
        <v>4.8848294899451195E-3</v>
      </c>
      <c r="D738" s="54">
        <f>((1+Table267[[#This Row],[Monthly change]])^12)-1</f>
        <v>6.0218743961005128E-2</v>
      </c>
      <c r="E738" s="53">
        <f>(Table267[[#This Row],[M2 Money Stock, Billions of Dollars, Weekly, Seasonally Adjusted]]-B726)/B726</f>
        <v>6.6224198025588016E-2</v>
      </c>
    </row>
    <row r="739" spans="1:5" x14ac:dyDescent="0.2">
      <c r="A739" s="50">
        <v>43831</v>
      </c>
      <c r="B739" s="51">
        <v>15406.8</v>
      </c>
      <c r="C739" s="53">
        <f>(Table267[[#This Row],[M2 Money Stock, Billions of Dollars, Weekly, Seasonally Adjusted]]-B738)/B738</f>
        <v>5.2852053400148768E-3</v>
      </c>
      <c r="D739" s="54">
        <f>((1+Table267[[#This Row],[Monthly change]])^12)-1</f>
        <v>6.5298937125368051E-2</v>
      </c>
      <c r="E739" s="53">
        <f>(Table267[[#This Row],[M2 Money Stock, Billions of Dollars, Weekly, Seasonally Adjusted]]-B727)/B727</f>
        <v>6.6709131569655133E-2</v>
      </c>
    </row>
    <row r="740" spans="1:5" x14ac:dyDescent="0.2">
      <c r="A740" s="50">
        <v>43862</v>
      </c>
      <c r="B740" s="51">
        <v>15470.4</v>
      </c>
      <c r="C740" s="53">
        <f>(Table267[[#This Row],[M2 Money Stock, Billions of Dollars, Weekly, Seasonally Adjusted]]-B739)/B739</f>
        <v>4.1280473557130859E-3</v>
      </c>
      <c r="D740" s="54">
        <f>((1+Table267[[#This Row],[Monthly change]])^12)-1</f>
        <v>5.0676880040429806E-2</v>
      </c>
      <c r="E740" s="53">
        <f>(Table267[[#This Row],[M2 Money Stock, Billions of Dollars, Weekly, Seasonally Adjusted]]-B728)/B728</f>
        <v>6.7940522704366832E-2</v>
      </c>
    </row>
    <row r="741" spans="1:5" x14ac:dyDescent="0.2">
      <c r="A741" s="50">
        <v>43891</v>
      </c>
      <c r="B741" s="51">
        <v>16011.4</v>
      </c>
      <c r="C741" s="53">
        <f>(Table267[[#This Row],[M2 Money Stock, Billions of Dollars, Weekly, Seasonally Adjusted]]-B740)/B740</f>
        <v>3.4970007239631812E-2</v>
      </c>
      <c r="D741" s="54">
        <f>((1+Table267[[#This Row],[Monthly change]])^12)-1</f>
        <v>0.51054327882491224</v>
      </c>
      <c r="E741" s="53">
        <f>(Table267[[#This Row],[M2 Money Stock, Billions of Dollars, Weekly, Seasonally Adjusted]]-B729)/B729</f>
        <v>0.10168920081191726</v>
      </c>
    </row>
    <row r="742" spans="1:5" x14ac:dyDescent="0.2">
      <c r="A742" s="50">
        <v>43922</v>
      </c>
      <c r="B742" s="51">
        <v>17039.099999999999</v>
      </c>
      <c r="C742" s="53">
        <f>(Table267[[#This Row],[M2 Money Stock, Billions of Dollars, Weekly, Seasonally Adjusted]]-B741)/B741</f>
        <v>6.4185517818554208E-2</v>
      </c>
      <c r="D742" s="54">
        <f>((1+Table267[[#This Row],[Monthly change]])^12)-1</f>
        <v>1.1096389410774896</v>
      </c>
      <c r="E742" s="53">
        <f>(Table267[[#This Row],[M2 Money Stock, Billions of Dollars, Weekly, Seasonally Adjusted]]-B730)/B730</f>
        <v>0.16955295183575966</v>
      </c>
    </row>
    <row r="743" spans="1:5" x14ac:dyDescent="0.2">
      <c r="A743" s="50">
        <v>43952</v>
      </c>
      <c r="B743" s="51">
        <v>17889.2</v>
      </c>
      <c r="C743" s="53">
        <f>(Table267[[#This Row],[M2 Money Stock, Billions of Dollars, Weekly, Seasonally Adjusted]]-B742)/B742</f>
        <v>4.9891132747621782E-2</v>
      </c>
      <c r="D743" s="54">
        <f>((1+Table267[[#This Row],[Monthly change]])^12)-1</f>
        <v>0.79362320040518619</v>
      </c>
      <c r="E743" s="53">
        <f>(Table267[[#This Row],[M2 Money Stock, Billions of Dollars, Weekly, Seasonally Adjusted]]-B731)/B731</f>
        <v>0.21957405033950542</v>
      </c>
    </row>
    <row r="744" spans="1:5" x14ac:dyDescent="0.2">
      <c r="A744" s="50">
        <v>43983</v>
      </c>
      <c r="B744" s="51">
        <v>18175.7</v>
      </c>
      <c r="C744" s="53">
        <f>(Table267[[#This Row],[M2 Money Stock, Billions of Dollars, Weekly, Seasonally Adjusted]]-B743)/B743</f>
        <v>1.6015249424233616E-2</v>
      </c>
      <c r="D744" s="54">
        <f>((1+Table267[[#This Row],[Monthly change]])^12)-1</f>
        <v>0.21004832863739797</v>
      </c>
      <c r="E744" s="53">
        <f>(Table267[[#This Row],[M2 Money Stock, Billions of Dollars, Weekly, Seasonally Adjusted]]-B732)/B732</f>
        <v>0.22916751200378715</v>
      </c>
    </row>
    <row r="745" spans="1:5" x14ac:dyDescent="0.2">
      <c r="A745" s="50">
        <v>44013</v>
      </c>
      <c r="B745" s="51">
        <v>18316.599999999999</v>
      </c>
      <c r="C745" s="53">
        <f>(Table267[[#This Row],[M2 Money Stock, Billions of Dollars, Weekly, Seasonally Adjusted]]-B744)/B744</f>
        <v>7.752108584538577E-3</v>
      </c>
      <c r="D745" s="54">
        <f>((1+Table267[[#This Row],[Monthly change]])^12)-1</f>
        <v>9.7095885595557707E-2</v>
      </c>
      <c r="E745" s="53">
        <f>(Table267[[#This Row],[M2 Money Stock, Billions of Dollars, Weekly, Seasonally Adjusted]]-B733)/B733</f>
        <v>0.23278525229002747</v>
      </c>
    </row>
    <row r="746" spans="1:5" x14ac:dyDescent="0.2">
      <c r="A746" s="50">
        <v>44044</v>
      </c>
      <c r="B746" s="51">
        <v>18378.5</v>
      </c>
      <c r="C746" s="53">
        <f>(Table267[[#This Row],[M2 Money Stock, Billions of Dollars, Weekly, Seasonally Adjusted]]-B745)/B745</f>
        <v>3.3794481508577718E-3</v>
      </c>
      <c r="D746" s="54">
        <f>((1+Table267[[#This Row],[Monthly change]])^12)-1</f>
        <v>4.1315697955073283E-2</v>
      </c>
      <c r="E746" s="53">
        <f>(Table267[[#This Row],[M2 Money Stock, Billions of Dollars, Weekly, Seasonally Adjusted]]-B734)/B734</f>
        <v>0.23054930633670784</v>
      </c>
    </row>
    <row r="747" spans="1:5" x14ac:dyDescent="0.2">
      <c r="A747" s="50">
        <v>44075</v>
      </c>
      <c r="B747" s="51">
        <v>18601.599999999999</v>
      </c>
      <c r="C747" s="53">
        <f>(Table267[[#This Row],[M2 Money Stock, Billions of Dollars, Weekly, Seasonally Adjusted]]-B746)/B746</f>
        <v>1.2139184373044511E-2</v>
      </c>
      <c r="D747" s="54">
        <f>((1+Table267[[#This Row],[Monthly change]])^12)-1</f>
        <v>0.15580046183940444</v>
      </c>
      <c r="E747" s="53">
        <f>(Table267[[#This Row],[M2 Money Stock, Billions of Dollars, Weekly, Seasonally Adjusted]]-B735)/B735</f>
        <v>0.23791143705162832</v>
      </c>
    </row>
    <row r="748" spans="1:5" x14ac:dyDescent="0.2">
      <c r="A748" s="50">
        <v>44105</v>
      </c>
      <c r="B748" s="51">
        <v>18747.900000000001</v>
      </c>
      <c r="C748" s="53">
        <f>(Table267[[#This Row],[M2 Money Stock, Billions of Dollars, Weekly, Seasonally Adjusted]]-B747)/B747</f>
        <v>7.864914846034906E-3</v>
      </c>
      <c r="D748" s="54">
        <f>((1+Table267[[#This Row],[Monthly change]])^12)-1</f>
        <v>9.8570480467833121E-2</v>
      </c>
      <c r="E748" s="53">
        <f>(Table267[[#This Row],[M2 Money Stock, Billions of Dollars, Weekly, Seasonally Adjusted]]-B736)/B736</f>
        <v>0.23723198553431318</v>
      </c>
    </row>
    <row r="749" spans="1:5" x14ac:dyDescent="0.2">
      <c r="A749" s="50">
        <v>44136</v>
      </c>
      <c r="B749" s="51">
        <v>18958.7</v>
      </c>
      <c r="C749" s="53">
        <f>(Table267[[#This Row],[M2 Money Stock, Billions of Dollars, Weekly, Seasonally Adjusted]]-B748)/B748</f>
        <v>1.1243925986377102E-2</v>
      </c>
      <c r="D749" s="54">
        <f>((1+Table267[[#This Row],[Monthly change]])^12)-1</f>
        <v>0.14359201050708692</v>
      </c>
      <c r="E749" s="53">
        <f>(Table267[[#This Row],[M2 Money Stock, Billions of Dollars, Weekly, Seasonally Adjusted]]-B737)/B737</f>
        <v>0.24308747451036972</v>
      </c>
    </row>
    <row r="750" spans="1:5" x14ac:dyDescent="0.2">
      <c r="A750" s="50">
        <v>44166</v>
      </c>
      <c r="B750" s="51">
        <v>19129.5</v>
      </c>
      <c r="C750" s="53">
        <f>(Table267[[#This Row],[M2 Money Stock, Billions of Dollars, Weekly, Seasonally Adjusted]]-B749)/B749</f>
        <v>9.0090565281374397E-3</v>
      </c>
      <c r="D750" s="54">
        <f>((1+Table267[[#This Row],[Monthly change]])^12)-1</f>
        <v>0.11362961584336895</v>
      </c>
      <c r="E750" s="53">
        <f>(Table267[[#This Row],[M2 Money Stock, Billions of Dollars, Weekly, Seasonally Adjusted]]-B738)/B738</f>
        <v>0.24818932780018016</v>
      </c>
    </row>
    <row r="751" spans="1:5" x14ac:dyDescent="0.2">
      <c r="A751" s="50">
        <v>44197</v>
      </c>
      <c r="B751" s="51">
        <v>19393.2</v>
      </c>
      <c r="C751" s="53">
        <f>(Table267[[#This Row],[M2 Money Stock, Billions of Dollars, Weekly, Seasonally Adjusted]]-B750)/B750</f>
        <v>1.3784991766643181E-2</v>
      </c>
      <c r="D751" s="54">
        <f>((1+Table267[[#This Row],[Monthly change]])^12)-1</f>
        <v>0.17855618361186054</v>
      </c>
      <c r="E751" s="53">
        <f>(Table267[[#This Row],[M2 Money Stock, Billions of Dollars, Weekly, Seasonally Adjusted]]-B739)/B739</f>
        <v>0.25874289274865653</v>
      </c>
    </row>
    <row r="752" spans="1:5" x14ac:dyDescent="0.2">
      <c r="A752" s="50">
        <v>44228</v>
      </c>
      <c r="B752" s="51">
        <v>19665.5</v>
      </c>
      <c r="C752" s="53">
        <f>(Table267[[#This Row],[M2 Money Stock, Billions of Dollars, Weekly, Seasonally Adjusted]]-B751)/B751</f>
        <v>1.4041004063279874E-2</v>
      </c>
      <c r="D752" s="54">
        <f>((1+Table267[[#This Row],[Monthly change]])^12)-1</f>
        <v>0.18213261415076265</v>
      </c>
      <c r="E752" s="53">
        <f>(Table267[[#This Row],[M2 Money Stock, Billions of Dollars, Weekly, Seasonally Adjusted]]-B740)/B740</f>
        <v>0.27116945909608031</v>
      </c>
    </row>
    <row r="753" spans="1:5" x14ac:dyDescent="0.2">
      <c r="A753" s="50">
        <v>44256</v>
      </c>
      <c r="B753" s="51">
        <v>19913.5</v>
      </c>
      <c r="C753" s="53">
        <f>(Table267[[#This Row],[M2 Money Stock, Billions of Dollars, Weekly, Seasonally Adjusted]]-B752)/B752</f>
        <v>1.261091759680659E-2</v>
      </c>
      <c r="D753" s="54">
        <f>((1+Table267[[#This Row],[Monthly change]])^12)-1</f>
        <v>0.16228134086525636</v>
      </c>
      <c r="E753" s="53">
        <f>(Table267[[#This Row],[M2 Money Stock, Billions of Dollars, Weekly, Seasonally Adjusted]]-B741)/B741</f>
        <v>0.24370760832906557</v>
      </c>
    </row>
    <row r="754" spans="1:5" x14ac:dyDescent="0.2">
      <c r="A754" s="50">
        <v>44287</v>
      </c>
      <c r="B754" s="51">
        <v>20122.900000000001</v>
      </c>
      <c r="C754" s="53">
        <f>(Table267[[#This Row],[M2 Money Stock, Billions of Dollars, Weekly, Seasonally Adjusted]]-B753)/B753</f>
        <v>1.0515479448615334E-2</v>
      </c>
      <c r="D754" s="54">
        <f>((1+Table267[[#This Row],[Monthly change]])^12)-1</f>
        <v>0.13374568464130188</v>
      </c>
      <c r="E754" s="53">
        <f>(Table267[[#This Row],[M2 Money Stock, Billions of Dollars, Weekly, Seasonally Adjusted]]-B742)/B742</f>
        <v>0.18098373740397106</v>
      </c>
    </row>
    <row r="755" spans="1:5" x14ac:dyDescent="0.2">
      <c r="A755" s="50">
        <v>44317</v>
      </c>
      <c r="B755" s="51">
        <v>20372.7</v>
      </c>
      <c r="C755" s="53">
        <f>(Table267[[#This Row],[M2 Money Stock, Billions of Dollars, Weekly, Seasonally Adjusted]]-B754)/B754</f>
        <v>1.2413717704704553E-2</v>
      </c>
      <c r="D755" s="54">
        <f>((1+Table267[[#This Row],[Monthly change]])^12)-1</f>
        <v>0.15956808054973437</v>
      </c>
      <c r="E755" s="53">
        <f>(Table267[[#This Row],[M2 Money Stock, Billions of Dollars, Weekly, Seasonally Adjusted]]-B743)/B743</f>
        <v>0.13882677816783309</v>
      </c>
    </row>
    <row r="756" spans="1:5" x14ac:dyDescent="0.2">
      <c r="A756" s="50">
        <v>44348</v>
      </c>
      <c r="B756" s="51">
        <v>20387.400000000001</v>
      </c>
      <c r="C756" s="53">
        <f>(Table267[[#This Row],[M2 Money Stock, Billions of Dollars, Weekly, Seasonally Adjusted]]-B755)/B755</f>
        <v>7.2155384411495414E-4</v>
      </c>
      <c r="D756" s="54">
        <f>((1+Table267[[#This Row],[Monthly change]])^12)-1</f>
        <v>8.6930911477567374E-3</v>
      </c>
      <c r="E756" s="53">
        <f>(Table267[[#This Row],[M2 Money Stock, Billions of Dollars, Weekly, Seasonally Adjusted]]-B744)/B744</f>
        <v>0.12168444681635374</v>
      </c>
    </row>
    <row r="757" spans="1:5" x14ac:dyDescent="0.2">
      <c r="A757" s="50">
        <v>44378</v>
      </c>
      <c r="B757" s="51">
        <v>20534.599999999999</v>
      </c>
      <c r="C757" s="53">
        <f>(Table267[[#This Row],[M2 Money Stock, Billions of Dollars, Weekly, Seasonally Adjusted]]-B756)/B756</f>
        <v>7.2201457763126772E-3</v>
      </c>
      <c r="D757" s="54">
        <f>((1+Table267[[#This Row],[Monthly change]])^12)-1</f>
        <v>9.0166529292557529E-2</v>
      </c>
      <c r="E757" s="53">
        <f>(Table267[[#This Row],[M2 Money Stock, Billions of Dollars, Weekly, Seasonally Adjusted]]-B745)/B745</f>
        <v>0.1210923424653047</v>
      </c>
    </row>
  </sheetData>
  <pageMargins left="0.7" right="0.7" top="0.75" bottom="0.75" header="0.3" footer="0.3"/>
  <ignoredErrors>
    <ignoredError sqref="D8:D755 D756:D757" calculatedColumn="1"/>
  </ignoredErrors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BFEB-89E7-4E5C-BD0E-07129754BE83}">
  <dimension ref="A1:E2103"/>
  <sheetViews>
    <sheetView zoomScale="150" zoomScaleNormal="150" workbookViewId="0">
      <pane ySplit="6" topLeftCell="A7" activePane="bottomLeft" state="frozen"/>
      <selection pane="bottomLeft" activeCell="J2110" sqref="J2110"/>
    </sheetView>
  </sheetViews>
  <sheetFormatPr baseColWidth="10" defaultColWidth="9.1640625" defaultRowHeight="15" x14ac:dyDescent="0.2"/>
  <cols>
    <col min="1" max="1" width="16.6640625" style="5" customWidth="1"/>
    <col min="2" max="2" width="19" style="5" customWidth="1"/>
    <col min="3" max="3" width="14.6640625" style="5" customWidth="1"/>
    <col min="4" max="4" width="14.6640625" style="1" customWidth="1"/>
    <col min="5" max="5" width="18.1640625" style="1" customWidth="1"/>
    <col min="6" max="16384" width="9.1640625" style="1"/>
  </cols>
  <sheetData>
    <row r="1" spans="1:5" x14ac:dyDescent="0.2">
      <c r="A1" s="1" t="s">
        <v>28</v>
      </c>
    </row>
    <row r="3" spans="1:5" x14ac:dyDescent="0.2">
      <c r="A3" s="1" t="s">
        <v>29</v>
      </c>
      <c r="B3" s="7">
        <f>AVERAGE(D8:D2013)</f>
        <v>6.504860801710112E-2</v>
      </c>
    </row>
    <row r="4" spans="1:5" x14ac:dyDescent="0.2">
      <c r="A4" s="1"/>
      <c r="B4" s="7">
        <f>_xlfn.STDEV.S(D8:D2013)</f>
        <v>0.1416049933500618</v>
      </c>
    </row>
    <row r="5" spans="1:5" ht="16" thickBot="1" x14ac:dyDescent="0.25"/>
    <row r="6" spans="1:5" ht="39.75" customHeight="1" thickBot="1" x14ac:dyDescent="0.25">
      <c r="A6" s="61" t="s">
        <v>30</v>
      </c>
      <c r="B6" s="62" t="s">
        <v>31</v>
      </c>
      <c r="C6" s="63" t="s">
        <v>32</v>
      </c>
      <c r="D6" s="63" t="s">
        <v>33</v>
      </c>
      <c r="E6" s="64" t="s">
        <v>61</v>
      </c>
    </row>
    <row r="7" spans="1:5" x14ac:dyDescent="0.2">
      <c r="A7" s="58">
        <v>29528</v>
      </c>
      <c r="B7" s="59">
        <v>1591.4</v>
      </c>
      <c r="C7" s="60"/>
      <c r="D7" s="60"/>
      <c r="E7" s="60"/>
    </row>
    <row r="8" spans="1:5" x14ac:dyDescent="0.2">
      <c r="A8" s="50">
        <v>29535</v>
      </c>
      <c r="B8" s="51">
        <v>1592.9</v>
      </c>
      <c r="C8" s="53">
        <f>(Table26[[#This Row],[M2 Money Stock, Billions of Dollars, Weekly, Seasonally Adjusted]]-B7)/B7</f>
        <v>9.4256629382933265E-4</v>
      </c>
      <c r="D8" s="54">
        <f>((1+Table26[[#This Row],[Weekly change]])^52)-1</f>
        <v>5.0210229366025372E-2</v>
      </c>
      <c r="E8" s="52"/>
    </row>
    <row r="9" spans="1:5" x14ac:dyDescent="0.2">
      <c r="A9" s="50">
        <v>29542</v>
      </c>
      <c r="B9" s="51">
        <v>1596.3</v>
      </c>
      <c r="C9" s="53">
        <f>(Table26[[#This Row],[M2 Money Stock, Billions of Dollars, Weekly, Seasonally Adjusted]]-B8)/B8</f>
        <v>2.1344717182496475E-3</v>
      </c>
      <c r="D9" s="54">
        <f>((1+Table26[[#This Row],[Weekly change]])^52)-1</f>
        <v>0.11725439482356914</v>
      </c>
      <c r="E9" s="52"/>
    </row>
    <row r="10" spans="1:5" x14ac:dyDescent="0.2">
      <c r="A10" s="50">
        <v>29549</v>
      </c>
      <c r="B10" s="51">
        <v>1597.2</v>
      </c>
      <c r="C10" s="53">
        <f>(Table26[[#This Row],[M2 Money Stock, Billions of Dollars, Weekly, Seasonally Adjusted]]-B9)/B9</f>
        <v>5.6380379627895194E-4</v>
      </c>
      <c r="D10" s="54">
        <f>((1+Table26[[#This Row],[Weekly change]])^52)-1</f>
        <v>2.9743287529431228E-2</v>
      </c>
      <c r="E10" s="52"/>
    </row>
    <row r="11" spans="1:5" x14ac:dyDescent="0.2">
      <c r="A11" s="50">
        <v>29556</v>
      </c>
      <c r="B11" s="51">
        <v>1596.1</v>
      </c>
      <c r="C11" s="53">
        <f>(Table26[[#This Row],[M2 Money Stock, Billions of Dollars, Weekly, Seasonally Adjusted]]-B10)/B10</f>
        <v>-6.8870523415986496E-4</v>
      </c>
      <c r="D11" s="54">
        <f>((1+Table26[[#This Row],[Weekly change]])^52)-1</f>
        <v>-3.5190889369468237E-2</v>
      </c>
      <c r="E11" s="52"/>
    </row>
    <row r="12" spans="1:5" x14ac:dyDescent="0.2">
      <c r="A12" s="50">
        <v>29563</v>
      </c>
      <c r="B12" s="51">
        <v>1597</v>
      </c>
      <c r="C12" s="53">
        <f>(Table26[[#This Row],[M2 Money Stock, Billions of Dollars, Weekly, Seasonally Adjusted]]-B11)/B11</f>
        <v>5.6387444395720251E-4</v>
      </c>
      <c r="D12" s="54">
        <f>((1+Table26[[#This Row],[Weekly change]])^52)-1</f>
        <v>2.9747068351161587E-2</v>
      </c>
      <c r="E12" s="52"/>
    </row>
    <row r="13" spans="1:5" x14ac:dyDescent="0.2">
      <c r="A13" s="50">
        <v>29570</v>
      </c>
      <c r="B13" s="51">
        <v>1599.5</v>
      </c>
      <c r="C13" s="53">
        <f>(Table26[[#This Row],[M2 Money Stock, Billions of Dollars, Weekly, Seasonally Adjusted]]-B12)/B12</f>
        <v>1.5654351909830933E-3</v>
      </c>
      <c r="D13" s="54">
        <f>((1+Table26[[#This Row],[Weekly change]])^52)-1</f>
        <v>8.4738540089870806E-2</v>
      </c>
      <c r="E13" s="52"/>
    </row>
    <row r="14" spans="1:5" x14ac:dyDescent="0.2">
      <c r="A14" s="50">
        <v>29577</v>
      </c>
      <c r="B14" s="51">
        <v>1599.3</v>
      </c>
      <c r="C14" s="53">
        <f>(Table26[[#This Row],[M2 Money Stock, Billions of Dollars, Weekly, Seasonally Adjusted]]-B13)/B13</f>
        <v>-1.2503907471087558E-4</v>
      </c>
      <c r="D14" s="54">
        <f>((1+Table26[[#This Row],[Weekly change]])^52)-1</f>
        <v>-6.4813433181267754E-3</v>
      </c>
      <c r="E14" s="52"/>
    </row>
    <row r="15" spans="1:5" x14ac:dyDescent="0.2">
      <c r="A15" s="50">
        <v>29584</v>
      </c>
      <c r="B15" s="51">
        <v>1595.6</v>
      </c>
      <c r="C15" s="53">
        <f>(Table26[[#This Row],[M2 Money Stock, Billions of Dollars, Weekly, Seasonally Adjusted]]-B14)/B14</f>
        <v>-2.3135121615707158E-3</v>
      </c>
      <c r="D15" s="54">
        <f>((1+Table26[[#This Row],[Weekly change]])^52)-1</f>
        <v>-0.11347150277071394</v>
      </c>
      <c r="E15" s="52"/>
    </row>
    <row r="16" spans="1:5" x14ac:dyDescent="0.2">
      <c r="A16" s="50">
        <v>29591</v>
      </c>
      <c r="B16" s="51">
        <v>1596.6</v>
      </c>
      <c r="C16" s="53">
        <f>(Table26[[#This Row],[M2 Money Stock, Billions of Dollars, Weekly, Seasonally Adjusted]]-B15)/B15</f>
        <v>6.2672348959639016E-4</v>
      </c>
      <c r="D16" s="54">
        <f>((1+Table26[[#This Row],[Weekly change]])^52)-1</f>
        <v>3.3115933117926932E-2</v>
      </c>
      <c r="E16" s="52"/>
    </row>
    <row r="17" spans="1:5" x14ac:dyDescent="0.2">
      <c r="A17" s="50">
        <v>29598</v>
      </c>
      <c r="B17" s="51">
        <v>1600.1</v>
      </c>
      <c r="C17" s="53">
        <f>(Table26[[#This Row],[M2 Money Stock, Billions of Dollars, Weekly, Seasonally Adjusted]]-B16)/B16</f>
        <v>2.1921583364649883E-3</v>
      </c>
      <c r="D17" s="54">
        <f>((1+Table26[[#This Row],[Weekly change]])^52)-1</f>
        <v>0.12060360288465999</v>
      </c>
      <c r="E17" s="52"/>
    </row>
    <row r="18" spans="1:5" x14ac:dyDescent="0.2">
      <c r="A18" s="50">
        <v>29605</v>
      </c>
      <c r="B18" s="51">
        <v>1606.8</v>
      </c>
      <c r="C18" s="53">
        <f>(Table26[[#This Row],[M2 Money Stock, Billions of Dollars, Weekly, Seasonally Adjusted]]-B17)/B17</f>
        <v>4.1872382976064285E-3</v>
      </c>
      <c r="D18" s="54">
        <f>((1+Table26[[#This Row],[Weekly change]])^52)-1</f>
        <v>0.24269424768635761</v>
      </c>
      <c r="E18" s="52"/>
    </row>
    <row r="19" spans="1:5" x14ac:dyDescent="0.2">
      <c r="A19" s="50">
        <v>29612</v>
      </c>
      <c r="B19" s="51">
        <v>1609.4</v>
      </c>
      <c r="C19" s="53">
        <f>(Table26[[#This Row],[M2 Money Stock, Billions of Dollars, Weekly, Seasonally Adjusted]]-B18)/B18</f>
        <v>1.6181229773463632E-3</v>
      </c>
      <c r="D19" s="54">
        <f>((1+Table26[[#This Row],[Weekly change]])^52)-1</f>
        <v>8.7709807488593583E-2</v>
      </c>
      <c r="E19" s="52"/>
    </row>
    <row r="20" spans="1:5" x14ac:dyDescent="0.2">
      <c r="A20" s="50">
        <v>29619</v>
      </c>
      <c r="B20" s="51">
        <v>1608.6</v>
      </c>
      <c r="C20" s="53">
        <f>(Table26[[#This Row],[M2 Money Stock, Billions of Dollars, Weekly, Seasonally Adjusted]]-B19)/B19</f>
        <v>-4.9707965701514963E-4</v>
      </c>
      <c r="D20" s="54">
        <f>((1+Table26[[#This Row],[Weekly change]])^52)-1</f>
        <v>-2.552320115851392E-2</v>
      </c>
      <c r="E20" s="52"/>
    </row>
    <row r="21" spans="1:5" x14ac:dyDescent="0.2">
      <c r="A21" s="50">
        <v>29626</v>
      </c>
      <c r="B21" s="51">
        <v>1614</v>
      </c>
      <c r="C21" s="53">
        <f>(Table26[[#This Row],[M2 Money Stock, Billions of Dollars, Weekly, Seasonally Adjusted]]-B20)/B20</f>
        <v>3.3569563595673823E-3</v>
      </c>
      <c r="D21" s="54">
        <f>((1+Table26[[#This Row],[Weekly change]])^52)-1</f>
        <v>0.19037619416582863</v>
      </c>
      <c r="E21" s="52"/>
    </row>
    <row r="22" spans="1:5" x14ac:dyDescent="0.2">
      <c r="A22" s="50">
        <v>29633</v>
      </c>
      <c r="B22" s="51">
        <v>1618.9</v>
      </c>
      <c r="C22" s="53">
        <f>(Table26[[#This Row],[M2 Money Stock, Billions of Dollars, Weekly, Seasonally Adjusted]]-B21)/B21</f>
        <v>3.0359355638166609E-3</v>
      </c>
      <c r="D22" s="54">
        <f>((1+Table26[[#This Row],[Weekly change]])^52)-1</f>
        <v>0.17073235064586401</v>
      </c>
      <c r="E22" s="52"/>
    </row>
    <row r="23" spans="1:5" x14ac:dyDescent="0.2">
      <c r="A23" s="50">
        <v>29640</v>
      </c>
      <c r="B23" s="51">
        <v>1623.3</v>
      </c>
      <c r="C23" s="53">
        <f>(Table26[[#This Row],[M2 Money Stock, Billions of Dollars, Weekly, Seasonally Adjusted]]-B22)/B22</f>
        <v>2.7178948668848376E-3</v>
      </c>
      <c r="D23" s="54">
        <f>((1+Table26[[#This Row],[Weekly change]])^52)-1</f>
        <v>0.15158449939529461</v>
      </c>
      <c r="E23" s="52"/>
    </row>
    <row r="24" spans="1:5" x14ac:dyDescent="0.2">
      <c r="A24" s="50">
        <v>29647</v>
      </c>
      <c r="B24" s="51">
        <v>1626.1</v>
      </c>
      <c r="C24" s="53">
        <f>(Table26[[#This Row],[M2 Money Stock, Billions of Dollars, Weekly, Seasonally Adjusted]]-B23)/B23</f>
        <v>1.7248814144027319E-3</v>
      </c>
      <c r="D24" s="54">
        <f>((1+Table26[[#This Row],[Weekly change]])^52)-1</f>
        <v>9.3754821352429074E-2</v>
      </c>
      <c r="E24" s="52"/>
    </row>
    <row r="25" spans="1:5" x14ac:dyDescent="0.2">
      <c r="A25" s="50">
        <v>29654</v>
      </c>
      <c r="B25" s="51">
        <v>1630.5</v>
      </c>
      <c r="C25" s="53">
        <f>(Table26[[#This Row],[M2 Money Stock, Billions of Dollars, Weekly, Seasonally Adjusted]]-B24)/B24</f>
        <v>2.7058606481766751E-3</v>
      </c>
      <c r="D25" s="54">
        <f>((1+Table26[[#This Row],[Weekly change]])^52)-1</f>
        <v>0.15086603478124894</v>
      </c>
      <c r="E25" s="52"/>
    </row>
    <row r="26" spans="1:5" x14ac:dyDescent="0.2">
      <c r="A26" s="50">
        <v>29661</v>
      </c>
      <c r="B26" s="51">
        <v>1636.2</v>
      </c>
      <c r="C26" s="53">
        <f>(Table26[[#This Row],[M2 Money Stock, Billions of Dollars, Weekly, Seasonally Adjusted]]-B25)/B25</f>
        <v>3.4958601655934039E-3</v>
      </c>
      <c r="D26" s="54">
        <f>((1+Table26[[#This Row],[Weekly change]])^52)-1</f>
        <v>0.19897583339891245</v>
      </c>
      <c r="E26" s="52"/>
    </row>
    <row r="27" spans="1:5" x14ac:dyDescent="0.2">
      <c r="A27" s="50">
        <v>29668</v>
      </c>
      <c r="B27" s="51">
        <v>1640.8</v>
      </c>
      <c r="C27" s="53">
        <f>(Table26[[#This Row],[M2 Money Stock, Billions of Dollars, Weekly, Seasonally Adjusted]]-B26)/B26</f>
        <v>2.8113922503360889E-3</v>
      </c>
      <c r="D27" s="54">
        <f>((1+Table26[[#This Row],[Weekly change]])^52)-1</f>
        <v>0.15718146778243103</v>
      </c>
      <c r="E27" s="52"/>
    </row>
    <row r="28" spans="1:5" x14ac:dyDescent="0.2">
      <c r="A28" s="50">
        <v>29675</v>
      </c>
      <c r="B28" s="51">
        <v>1646.7</v>
      </c>
      <c r="C28" s="53">
        <f>(Table26[[#This Row],[M2 Money Stock, Billions of Dollars, Weekly, Seasonally Adjusted]]-B27)/B27</f>
        <v>3.5958069234520301E-3</v>
      </c>
      <c r="D28" s="54">
        <f>((1+Table26[[#This Row],[Weekly change]])^52)-1</f>
        <v>0.2052012774484131</v>
      </c>
      <c r="E28" s="52"/>
    </row>
    <row r="29" spans="1:5" x14ac:dyDescent="0.2">
      <c r="A29" s="50">
        <v>29682</v>
      </c>
      <c r="B29" s="51">
        <v>1652.3</v>
      </c>
      <c r="C29" s="53">
        <f>(Table26[[#This Row],[M2 Money Stock, Billions of Dollars, Weekly, Seasonally Adjusted]]-B28)/B28</f>
        <v>3.4007408756907202E-3</v>
      </c>
      <c r="D29" s="54">
        <f>((1+Table26[[#This Row],[Weekly change]])^52)-1</f>
        <v>0.19308037678746737</v>
      </c>
      <c r="E29" s="52"/>
    </row>
    <row r="30" spans="1:5" x14ac:dyDescent="0.2">
      <c r="A30" s="50">
        <v>29689</v>
      </c>
      <c r="B30" s="51">
        <v>1658.4</v>
      </c>
      <c r="C30" s="53">
        <f>(Table26[[#This Row],[M2 Money Stock, Billions of Dollars, Weekly, Seasonally Adjusted]]-B29)/B29</f>
        <v>3.6918235187315481E-3</v>
      </c>
      <c r="D30" s="54">
        <f>((1+Table26[[#This Row],[Weekly change]])^52)-1</f>
        <v>0.21121177347769748</v>
      </c>
      <c r="E30" s="52"/>
    </row>
    <row r="31" spans="1:5" x14ac:dyDescent="0.2">
      <c r="A31" s="50">
        <v>29696</v>
      </c>
      <c r="B31" s="51">
        <v>1663.4</v>
      </c>
      <c r="C31" s="53">
        <f>(Table26[[#This Row],[M2 Money Stock, Billions of Dollars, Weekly, Seasonally Adjusted]]-B30)/B30</f>
        <v>3.0149541726965747E-3</v>
      </c>
      <c r="D31" s="54">
        <f>((1+Table26[[#This Row],[Weekly change]])^52)-1</f>
        <v>0.16945958890030077</v>
      </c>
      <c r="E31" s="52"/>
    </row>
    <row r="32" spans="1:5" x14ac:dyDescent="0.2">
      <c r="A32" s="50">
        <v>29703</v>
      </c>
      <c r="B32" s="51">
        <v>1664.1</v>
      </c>
      <c r="C32" s="53">
        <f>(Table26[[#This Row],[M2 Money Stock, Billions of Dollars, Weekly, Seasonally Adjusted]]-B31)/B31</f>
        <v>4.2082481664050623E-4</v>
      </c>
      <c r="D32" s="54">
        <f>((1+Table26[[#This Row],[Weekly change]])^52)-1</f>
        <v>2.2119372016349947E-2</v>
      </c>
      <c r="E32" s="52"/>
    </row>
    <row r="33" spans="1:5" x14ac:dyDescent="0.2">
      <c r="A33" s="50">
        <v>29710</v>
      </c>
      <c r="B33" s="51">
        <v>1663.9</v>
      </c>
      <c r="C33" s="53">
        <f>(Table26[[#This Row],[M2 Money Stock, Billions of Dollars, Weekly, Seasonally Adjusted]]-B32)/B32</f>
        <v>-1.2018508503083836E-4</v>
      </c>
      <c r="D33" s="54">
        <f>((1+Table26[[#This Row],[Weekly change]])^52)-1</f>
        <v>-6.230509384078653E-3</v>
      </c>
      <c r="E33" s="52"/>
    </row>
    <row r="34" spans="1:5" x14ac:dyDescent="0.2">
      <c r="A34" s="50">
        <v>29717</v>
      </c>
      <c r="B34" s="51">
        <v>1663.8</v>
      </c>
      <c r="C34" s="53">
        <f>(Table26[[#This Row],[M2 Money Stock, Billions of Dollars, Weekly, Seasonally Adjusted]]-B33)/B33</f>
        <v>-6.0099765610996104E-5</v>
      </c>
      <c r="D34" s="54">
        <f>((1+Table26[[#This Row],[Weekly change]])^52)-1</f>
        <v>-3.1204031177889391E-3</v>
      </c>
      <c r="E34" s="52"/>
    </row>
    <row r="35" spans="1:5" x14ac:dyDescent="0.2">
      <c r="A35" s="50">
        <v>29724</v>
      </c>
      <c r="B35" s="51">
        <v>1662.6</v>
      </c>
      <c r="C35" s="53">
        <f>(Table26[[#This Row],[M2 Money Stock, Billions of Dollars, Weekly, Seasonally Adjusted]]-B34)/B34</f>
        <v>-7.2124053371802231E-4</v>
      </c>
      <c r="D35" s="54">
        <f>((1+Table26[[#This Row],[Weekly change]])^52)-1</f>
        <v>-3.6822957326785311E-2</v>
      </c>
      <c r="E35" s="52"/>
    </row>
    <row r="36" spans="1:5" x14ac:dyDescent="0.2">
      <c r="A36" s="50">
        <v>29731</v>
      </c>
      <c r="B36" s="51">
        <v>1663.3</v>
      </c>
      <c r="C36" s="53">
        <f>(Table26[[#This Row],[M2 Money Stock, Billions of Dollars, Weekly, Seasonally Adjusted]]-B35)/B35</f>
        <v>4.2102730662820013E-4</v>
      </c>
      <c r="D36" s="54">
        <f>((1+Table26[[#This Row],[Weekly change]])^52)-1</f>
        <v>2.2130129929540665E-2</v>
      </c>
      <c r="E36" s="52"/>
    </row>
    <row r="37" spans="1:5" x14ac:dyDescent="0.2">
      <c r="A37" s="50">
        <v>29738</v>
      </c>
      <c r="B37" s="51">
        <v>1666.1</v>
      </c>
      <c r="C37" s="53">
        <f>(Table26[[#This Row],[M2 Money Stock, Billions of Dollars, Weekly, Seasonally Adjusted]]-B36)/B36</f>
        <v>1.6834004689472461E-3</v>
      </c>
      <c r="D37" s="54">
        <f>((1+Table26[[#This Row],[Weekly change]])^52)-1</f>
        <v>9.1402129796888332E-2</v>
      </c>
      <c r="E37" s="52"/>
    </row>
    <row r="38" spans="1:5" x14ac:dyDescent="0.2">
      <c r="A38" s="50">
        <v>29745</v>
      </c>
      <c r="B38" s="51">
        <v>1666.4</v>
      </c>
      <c r="C38" s="53">
        <f>(Table26[[#This Row],[M2 Money Stock, Billions of Dollars, Weekly, Seasonally Adjusted]]-B37)/B37</f>
        <v>1.8006122081518631E-4</v>
      </c>
      <c r="D38" s="54">
        <f>((1+Table26[[#This Row],[Weekly change]])^52)-1</f>
        <v>9.4063044155554554E-3</v>
      </c>
      <c r="E38" s="52"/>
    </row>
    <row r="39" spans="1:5" x14ac:dyDescent="0.2">
      <c r="A39" s="50">
        <v>29752</v>
      </c>
      <c r="B39" s="51">
        <v>1669.8</v>
      </c>
      <c r="C39" s="53">
        <f>(Table26[[#This Row],[M2 Money Stock, Billions of Dollars, Weekly, Seasonally Adjusted]]-B38)/B38</f>
        <v>2.0403264522322754E-3</v>
      </c>
      <c r="D39" s="54">
        <f>((1+Table26[[#This Row],[Weekly change]])^52)-1</f>
        <v>0.11180952010168177</v>
      </c>
      <c r="E39" s="52"/>
    </row>
    <row r="40" spans="1:5" x14ac:dyDescent="0.2">
      <c r="A40" s="50">
        <v>29759</v>
      </c>
      <c r="B40" s="51">
        <v>1672.8</v>
      </c>
      <c r="C40" s="53">
        <f>(Table26[[#This Row],[M2 Money Stock, Billions of Dollars, Weekly, Seasonally Adjusted]]-B39)/B39</f>
        <v>1.7966223499820339E-3</v>
      </c>
      <c r="D40" s="54">
        <f>((1+Table26[[#This Row],[Weekly change]])^52)-1</f>
        <v>9.7835526811726581E-2</v>
      </c>
      <c r="E40" s="52"/>
    </row>
    <row r="41" spans="1:5" x14ac:dyDescent="0.2">
      <c r="A41" s="50">
        <v>29766</v>
      </c>
      <c r="B41" s="51">
        <v>1671.9</v>
      </c>
      <c r="C41" s="53">
        <f>(Table26[[#This Row],[M2 Money Stock, Billions of Dollars, Weekly, Seasonally Adjusted]]-B40)/B40</f>
        <v>-5.3802008608313222E-4</v>
      </c>
      <c r="D41" s="54">
        <f>((1+Table26[[#This Row],[Weekly change]])^52)-1</f>
        <v>-2.7596632322720249E-2</v>
      </c>
      <c r="E41" s="52"/>
    </row>
    <row r="42" spans="1:5" x14ac:dyDescent="0.2">
      <c r="A42" s="50">
        <v>29773</v>
      </c>
      <c r="B42" s="51">
        <v>1678.2</v>
      </c>
      <c r="C42" s="53">
        <f>(Table26[[#This Row],[M2 Money Stock, Billions of Dollars, Weekly, Seasonally Adjusted]]-B41)/B41</f>
        <v>3.7681679526287183E-3</v>
      </c>
      <c r="D42" s="54">
        <f>((1+Table26[[#This Row],[Weekly change]])^52)-1</f>
        <v>0.21601179338356413</v>
      </c>
      <c r="E42" s="52"/>
    </row>
    <row r="43" spans="1:5" x14ac:dyDescent="0.2">
      <c r="A43" s="50">
        <v>29780</v>
      </c>
      <c r="B43" s="51">
        <v>1677.9</v>
      </c>
      <c r="C43" s="53">
        <f>(Table26[[#This Row],[M2 Money Stock, Billions of Dollars, Weekly, Seasonally Adjusted]]-B42)/B42</f>
        <v>-1.787629603145957E-4</v>
      </c>
      <c r="D43" s="54">
        <f>((1+Table26[[#This Row],[Weekly change]])^52)-1</f>
        <v>-9.2534259926090323E-3</v>
      </c>
      <c r="E43" s="52"/>
    </row>
    <row r="44" spans="1:5" x14ac:dyDescent="0.2">
      <c r="A44" s="50">
        <v>29787</v>
      </c>
      <c r="B44" s="51">
        <v>1683.5</v>
      </c>
      <c r="C44" s="53">
        <f>(Table26[[#This Row],[M2 Money Stock, Billions of Dollars, Weekly, Seasonally Adjusted]]-B43)/B43</f>
        <v>3.3375052148518439E-3</v>
      </c>
      <c r="D44" s="54">
        <f>((1+Table26[[#This Row],[Weekly change]])^52)-1</f>
        <v>0.18917679815304589</v>
      </c>
      <c r="E44" s="52"/>
    </row>
    <row r="45" spans="1:5" x14ac:dyDescent="0.2">
      <c r="A45" s="50">
        <v>29794</v>
      </c>
      <c r="B45" s="51">
        <v>1685.8</v>
      </c>
      <c r="C45" s="53">
        <f>(Table26[[#This Row],[M2 Money Stock, Billions of Dollars, Weekly, Seasonally Adjusted]]-B44)/B44</f>
        <v>1.3662013662013393E-3</v>
      </c>
      <c r="D45" s="54">
        <f>((1+Table26[[#This Row],[Weekly change]])^52)-1</f>
        <v>7.357476941013763E-2</v>
      </c>
      <c r="E45" s="52"/>
    </row>
    <row r="46" spans="1:5" x14ac:dyDescent="0.2">
      <c r="A46" s="50">
        <v>29801</v>
      </c>
      <c r="B46" s="51">
        <v>1688.2</v>
      </c>
      <c r="C46" s="53">
        <f>(Table26[[#This Row],[M2 Money Stock, Billions of Dollars, Weekly, Seasonally Adjusted]]-B45)/B45</f>
        <v>1.4236564242496685E-3</v>
      </c>
      <c r="D46" s="54">
        <f>((1+Table26[[#This Row],[Weekly change]])^52)-1</f>
        <v>7.6782563923688096E-2</v>
      </c>
      <c r="E46" s="52"/>
    </row>
    <row r="47" spans="1:5" x14ac:dyDescent="0.2">
      <c r="A47" s="50">
        <v>29808</v>
      </c>
      <c r="B47" s="51">
        <v>1694</v>
      </c>
      <c r="C47" s="53">
        <f>(Table26[[#This Row],[M2 Money Stock, Billions of Dollars, Weekly, Seasonally Adjusted]]-B46)/B46</f>
        <v>3.4356118943252899E-3</v>
      </c>
      <c r="D47" s="54">
        <f>((1+Table26[[#This Row],[Weekly change]])^52)-1</f>
        <v>0.19523836061617783</v>
      </c>
      <c r="E47" s="52"/>
    </row>
    <row r="48" spans="1:5" x14ac:dyDescent="0.2">
      <c r="A48" s="50">
        <v>29815</v>
      </c>
      <c r="B48" s="51">
        <v>1695.2</v>
      </c>
      <c r="C48" s="53">
        <f>(Table26[[#This Row],[M2 Money Stock, Billions of Dollars, Weekly, Seasonally Adjusted]]-B47)/B47</f>
        <v>7.0838252656437155E-4</v>
      </c>
      <c r="D48" s="54">
        <f>((1+Table26[[#This Row],[Weekly change]])^52)-1</f>
        <v>3.750921041180133E-2</v>
      </c>
      <c r="E48" s="52"/>
    </row>
    <row r="49" spans="1:5" x14ac:dyDescent="0.2">
      <c r="A49" s="50">
        <v>29822</v>
      </c>
      <c r="B49" s="51">
        <v>1697.6</v>
      </c>
      <c r="C49" s="53">
        <f>(Table26[[#This Row],[M2 Money Stock, Billions of Dollars, Weekly, Seasonally Adjusted]]-B48)/B48</f>
        <v>1.4157621519583904E-3</v>
      </c>
      <c r="D49" s="54">
        <f>((1+Table26[[#This Row],[Weekly change]])^52)-1</f>
        <v>7.6341259464707489E-2</v>
      </c>
      <c r="E49" s="52"/>
    </row>
    <row r="50" spans="1:5" x14ac:dyDescent="0.2">
      <c r="A50" s="50">
        <v>29829</v>
      </c>
      <c r="B50" s="51">
        <v>1701.2</v>
      </c>
      <c r="C50" s="53">
        <f>(Table26[[#This Row],[M2 Money Stock, Billions of Dollars, Weekly, Seasonally Adjusted]]-B49)/B49</f>
        <v>2.1206409048068666E-3</v>
      </c>
      <c r="D50" s="54">
        <f>((1+Table26[[#This Row],[Weekly change]])^52)-1</f>
        <v>0.11645285648075232</v>
      </c>
      <c r="E50" s="52"/>
    </row>
    <row r="51" spans="1:5" x14ac:dyDescent="0.2">
      <c r="A51" s="50">
        <v>29836</v>
      </c>
      <c r="B51" s="51">
        <v>1702.3</v>
      </c>
      <c r="C51" s="53">
        <f>(Table26[[#This Row],[M2 Money Stock, Billions of Dollars, Weekly, Seasonally Adjusted]]-B50)/B50</f>
        <v>6.4660239830702389E-4</v>
      </c>
      <c r="D51" s="54">
        <f>((1+Table26[[#This Row],[Weekly change]])^52)-1</f>
        <v>3.4183740388278316E-2</v>
      </c>
      <c r="E51" s="52"/>
    </row>
    <row r="52" spans="1:5" x14ac:dyDescent="0.2">
      <c r="A52" s="50">
        <v>29843</v>
      </c>
      <c r="B52" s="51">
        <v>1707.4</v>
      </c>
      <c r="C52" s="53">
        <f>(Table26[[#This Row],[M2 Money Stock, Billions of Dollars, Weekly, Seasonally Adjusted]]-B51)/B51</f>
        <v>2.9959466604007148E-3</v>
      </c>
      <c r="D52" s="54">
        <f>((1+Table26[[#This Row],[Weekly change]])^52)-1</f>
        <v>0.16830773715600467</v>
      </c>
      <c r="E52" s="52"/>
    </row>
    <row r="53" spans="1:5" x14ac:dyDescent="0.2">
      <c r="A53" s="50">
        <v>29850</v>
      </c>
      <c r="B53" s="51">
        <v>1708.3</v>
      </c>
      <c r="C53" s="53">
        <f>(Table26[[#This Row],[M2 Money Stock, Billions of Dollars, Weekly, Seasonally Adjusted]]-B52)/B52</f>
        <v>5.2711725430471099E-4</v>
      </c>
      <c r="D53" s="54">
        <f>((1+Table26[[#This Row],[Weekly change]])^52)-1</f>
        <v>2.7781787563768479E-2</v>
      </c>
      <c r="E53" s="52"/>
    </row>
    <row r="54" spans="1:5" x14ac:dyDescent="0.2">
      <c r="A54" s="50">
        <v>29857</v>
      </c>
      <c r="B54" s="51">
        <v>1707.8</v>
      </c>
      <c r="C54" s="53">
        <f>(Table26[[#This Row],[M2 Money Stock, Billions of Dollars, Weekly, Seasonally Adjusted]]-B53)/B53</f>
        <v>-2.9268863782707955E-4</v>
      </c>
      <c r="D54" s="54">
        <f>((1+Table26[[#This Row],[Weekly change]])^52)-1</f>
        <v>-1.510676735055938E-2</v>
      </c>
      <c r="E54" s="52"/>
    </row>
    <row r="55" spans="1:5" x14ac:dyDescent="0.2">
      <c r="A55" s="50">
        <v>29864</v>
      </c>
      <c r="B55" s="51">
        <v>1714</v>
      </c>
      <c r="C55" s="53">
        <f>(Table26[[#This Row],[M2 Money Stock, Billions of Dollars, Weekly, Seasonally Adjusted]]-B54)/B54</f>
        <v>3.6304016863801651E-3</v>
      </c>
      <c r="D55" s="54">
        <f>((1+Table26[[#This Row],[Weekly change]])^52)-1</f>
        <v>0.20736347935767374</v>
      </c>
      <c r="E55" s="52"/>
    </row>
    <row r="56" spans="1:5" x14ac:dyDescent="0.2">
      <c r="A56" s="50">
        <v>29871</v>
      </c>
      <c r="B56" s="51">
        <v>1719.6</v>
      </c>
      <c r="C56" s="53">
        <f>(Table26[[#This Row],[M2 Money Stock, Billions of Dollars, Weekly, Seasonally Adjusted]]-B55)/B55</f>
        <v>3.2672112018669246E-3</v>
      </c>
      <c r="D56" s="54">
        <f>((1+Table26[[#This Row],[Weekly change]])^52)-1</f>
        <v>0.18485220364825339</v>
      </c>
      <c r="E56" s="52"/>
    </row>
    <row r="57" spans="1:5" x14ac:dyDescent="0.2">
      <c r="A57" s="50">
        <v>29878</v>
      </c>
      <c r="B57" s="51">
        <v>1722.9</v>
      </c>
      <c r="C57" s="53">
        <f>(Table26[[#This Row],[M2 Money Stock, Billions of Dollars, Weekly, Seasonally Adjusted]]-B56)/B56</f>
        <v>1.9190509420796593E-3</v>
      </c>
      <c r="D57" s="54">
        <f>((1+Table26[[#This Row],[Weekly change]])^52)-1</f>
        <v>0.10483391404822218</v>
      </c>
      <c r="E57" s="52"/>
    </row>
    <row r="58" spans="1:5" x14ac:dyDescent="0.2">
      <c r="A58" s="50">
        <v>29885</v>
      </c>
      <c r="B58" s="51">
        <v>1725.3</v>
      </c>
      <c r="C58" s="53">
        <f>(Table26[[#This Row],[M2 Money Stock, Billions of Dollars, Weekly, Seasonally Adjusted]]-B57)/B57</f>
        <v>1.3930001741249425E-3</v>
      </c>
      <c r="D58" s="54">
        <f>((1+Table26[[#This Row],[Weekly change]])^52)-1</f>
        <v>7.506981555355563E-2</v>
      </c>
      <c r="E58" s="52"/>
    </row>
    <row r="59" spans="1:5" x14ac:dyDescent="0.2">
      <c r="A59" s="50">
        <v>29892</v>
      </c>
      <c r="B59" s="51">
        <v>1727.6</v>
      </c>
      <c r="C59" s="53">
        <f>(Table26[[#This Row],[M2 Money Stock, Billions of Dollars, Weekly, Seasonally Adjusted]]-B58)/B58</f>
        <v>1.3331014895959859E-3</v>
      </c>
      <c r="D59" s="54">
        <f>((1+Table26[[#This Row],[Weekly change]])^52)-1</f>
        <v>7.1731015014921962E-2</v>
      </c>
      <c r="E59" s="57">
        <f>(Table26[[#This Row],[M2 Money Stock, Billions of Dollars, Weekly, Seasonally Adjusted]]-B7)/B7</f>
        <v>8.5585019479703289E-2</v>
      </c>
    </row>
    <row r="60" spans="1:5" x14ac:dyDescent="0.2">
      <c r="A60" s="50">
        <v>29899</v>
      </c>
      <c r="B60" s="51">
        <v>1732.2</v>
      </c>
      <c r="C60" s="53">
        <f>(Table26[[#This Row],[M2 Money Stock, Billions of Dollars, Weekly, Seasonally Adjusted]]-B59)/B59</f>
        <v>2.6626533919889652E-3</v>
      </c>
      <c r="D60" s="54">
        <f>((1+Table26[[#This Row],[Weekly change]])^52)-1</f>
        <v>0.14829010438447598</v>
      </c>
      <c r="E60" s="57">
        <f>(Table26[[#This Row],[M2 Money Stock, Billions of Dollars, Weekly, Seasonally Adjusted]]-B8)/B8</f>
        <v>8.7450561868290505E-2</v>
      </c>
    </row>
    <row r="61" spans="1:5" x14ac:dyDescent="0.2">
      <c r="A61" s="50">
        <v>29906</v>
      </c>
      <c r="B61" s="51">
        <v>1736.2</v>
      </c>
      <c r="C61" s="53">
        <f>(Table26[[#This Row],[M2 Money Stock, Billions of Dollars, Weekly, Seasonally Adjusted]]-B60)/B60</f>
        <v>2.3092021706500403E-3</v>
      </c>
      <c r="D61" s="54">
        <f>((1+Table26[[#This Row],[Weekly change]])^52)-1</f>
        <v>0.12742929755440091</v>
      </c>
      <c r="E61" s="57">
        <f>(Table26[[#This Row],[M2 Money Stock, Billions of Dollars, Weekly, Seasonally Adjusted]]-B9)/B9</f>
        <v>8.7640167888241624E-2</v>
      </c>
    </row>
    <row r="62" spans="1:5" x14ac:dyDescent="0.2">
      <c r="A62" s="50">
        <v>29913</v>
      </c>
      <c r="B62" s="51">
        <v>1736.6</v>
      </c>
      <c r="C62" s="53">
        <f>(Table26[[#This Row],[M2 Money Stock, Billions of Dollars, Weekly, Seasonally Adjusted]]-B61)/B61</f>
        <v>2.3038820412387028E-4</v>
      </c>
      <c r="D62" s="54">
        <f>((1+Table26[[#This Row],[Weekly change]])^52)-1</f>
        <v>1.2050840022213682E-2</v>
      </c>
      <c r="E62" s="57">
        <f>(Table26[[#This Row],[M2 Money Stock, Billions of Dollars, Weekly, Seasonally Adjusted]]-B10)/B10</f>
        <v>8.7277736038066531E-2</v>
      </c>
    </row>
    <row r="63" spans="1:5" x14ac:dyDescent="0.2">
      <c r="A63" s="50">
        <v>29920</v>
      </c>
      <c r="B63" s="51">
        <v>1743.5</v>
      </c>
      <c r="C63" s="53">
        <f>(Table26[[#This Row],[M2 Money Stock, Billions of Dollars, Weekly, Seasonally Adjusted]]-B62)/B62</f>
        <v>3.9732811240355244E-3</v>
      </c>
      <c r="D63" s="54">
        <f>((1+Table26[[#This Row],[Weekly change]])^52)-1</f>
        <v>0.229000504937803</v>
      </c>
      <c r="E63" s="57">
        <f>(Table26[[#This Row],[M2 Money Stock, Billions of Dollars, Weekly, Seasonally Adjusted]]-B11)/B11</f>
        <v>9.2350103376981449E-2</v>
      </c>
    </row>
    <row r="64" spans="1:5" x14ac:dyDescent="0.2">
      <c r="A64" s="50">
        <v>29927</v>
      </c>
      <c r="B64" s="51">
        <v>1749.2</v>
      </c>
      <c r="C64" s="53">
        <f>(Table26[[#This Row],[M2 Money Stock, Billions of Dollars, Weekly, Seasonally Adjusted]]-B63)/B63</f>
        <v>3.2692859191282165E-3</v>
      </c>
      <c r="D64" s="54">
        <f>((1+Table26[[#This Row],[Weekly change]])^52)-1</f>
        <v>0.18497962221843856</v>
      </c>
      <c r="E64" s="57">
        <f>(Table26[[#This Row],[M2 Money Stock, Billions of Dollars, Weekly, Seasonally Adjusted]]-B12)/B12</f>
        <v>9.530369442705075E-2</v>
      </c>
    </row>
    <row r="65" spans="1:5" x14ac:dyDescent="0.2">
      <c r="A65" s="50">
        <v>29934</v>
      </c>
      <c r="B65" s="51">
        <v>1751.5</v>
      </c>
      <c r="C65" s="53">
        <f>(Table26[[#This Row],[M2 Money Stock, Billions of Dollars, Weekly, Seasonally Adjusted]]-B64)/B64</f>
        <v>1.3148868053967269E-3</v>
      </c>
      <c r="D65" s="54">
        <f>((1+Table26[[#This Row],[Weekly change]])^52)-1</f>
        <v>7.0717731960557417E-2</v>
      </c>
      <c r="E65" s="57">
        <f>(Table26[[#This Row],[M2 Money Stock, Billions of Dollars, Weekly, Seasonally Adjusted]]-B13)/B13</f>
        <v>9.5029696780243825E-2</v>
      </c>
    </row>
    <row r="66" spans="1:5" x14ac:dyDescent="0.2">
      <c r="A66" s="50">
        <v>29941</v>
      </c>
      <c r="B66" s="51">
        <v>1755.1</v>
      </c>
      <c r="C66" s="53">
        <f>(Table26[[#This Row],[M2 Money Stock, Billions of Dollars, Weekly, Seasonally Adjusted]]-B65)/B65</f>
        <v>2.0553811019125945E-3</v>
      </c>
      <c r="D66" s="54">
        <f>((1+Table26[[#This Row],[Weekly change]])^52)-1</f>
        <v>0.11267845167807522</v>
      </c>
      <c r="E66" s="57">
        <f>(Table26[[#This Row],[M2 Money Stock, Billions of Dollars, Weekly, Seasonally Adjusted]]-B14)/B14</f>
        <v>9.7417620208841343E-2</v>
      </c>
    </row>
    <row r="67" spans="1:5" x14ac:dyDescent="0.2">
      <c r="A67" s="50">
        <v>29948</v>
      </c>
      <c r="B67" s="51">
        <v>1753.7</v>
      </c>
      <c r="C67" s="53">
        <f>(Table26[[#This Row],[M2 Money Stock, Billions of Dollars, Weekly, Seasonally Adjusted]]-B66)/B66</f>
        <v>-7.9767534613404576E-4</v>
      </c>
      <c r="D67" s="54">
        <f>((1+Table26[[#This Row],[Weekly change]])^52)-1</f>
        <v>-4.0646510893961207E-2</v>
      </c>
      <c r="E67" s="57">
        <f>(Table26[[#This Row],[M2 Money Stock, Billions of Dollars, Weekly, Seasonally Adjusted]]-B15)/B15</f>
        <v>9.9084983705189367E-2</v>
      </c>
    </row>
    <row r="68" spans="1:5" x14ac:dyDescent="0.2">
      <c r="A68" s="50">
        <v>29955</v>
      </c>
      <c r="B68" s="51">
        <v>1756.5</v>
      </c>
      <c r="C68" s="53">
        <f>(Table26[[#This Row],[M2 Money Stock, Billions of Dollars, Weekly, Seasonally Adjusted]]-B67)/B67</f>
        <v>1.5966242800934905E-3</v>
      </c>
      <c r="D68" s="54">
        <f>((1+Table26[[#This Row],[Weekly change]])^52)-1</f>
        <v>8.6496450278468195E-2</v>
      </c>
      <c r="E68" s="57">
        <f>(Table26[[#This Row],[M2 Money Stock, Billions of Dollars, Weekly, Seasonally Adjusted]]-B16)/B16</f>
        <v>0.10015031942878623</v>
      </c>
    </row>
    <row r="69" spans="1:5" x14ac:dyDescent="0.2">
      <c r="A69" s="50">
        <v>29962</v>
      </c>
      <c r="B69" s="51">
        <v>1761.8</v>
      </c>
      <c r="C69" s="53">
        <f>(Table26[[#This Row],[M2 Money Stock, Billions of Dollars, Weekly, Seasonally Adjusted]]-B68)/B68</f>
        <v>3.0173640762880469E-3</v>
      </c>
      <c r="D69" s="54">
        <f>((1+Table26[[#This Row],[Weekly change]])^52)-1</f>
        <v>0.16960570814957188</v>
      </c>
      <c r="E69" s="57">
        <f>(Table26[[#This Row],[M2 Money Stock, Billions of Dollars, Weekly, Seasonally Adjusted]]-B17)/B17</f>
        <v>0.10105618398850075</v>
      </c>
    </row>
    <row r="70" spans="1:5" x14ac:dyDescent="0.2">
      <c r="A70" s="50">
        <v>29969</v>
      </c>
      <c r="B70" s="51">
        <v>1766.6</v>
      </c>
      <c r="C70" s="53">
        <f>(Table26[[#This Row],[M2 Money Stock, Billions of Dollars, Weekly, Seasonally Adjusted]]-B69)/B69</f>
        <v>2.7244863208082384E-3</v>
      </c>
      <c r="D70" s="54">
        <f>((1+Table26[[#This Row],[Weekly change]])^52)-1</f>
        <v>0.15197820755002489</v>
      </c>
      <c r="E70" s="57">
        <f>(Table26[[#This Row],[M2 Money Stock, Billions of Dollars, Weekly, Seasonally Adjusted]]-B18)/B18</f>
        <v>9.9452327607667382E-2</v>
      </c>
    </row>
    <row r="71" spans="1:5" x14ac:dyDescent="0.2">
      <c r="A71" s="50">
        <v>29976</v>
      </c>
      <c r="B71" s="51">
        <v>1769.5</v>
      </c>
      <c r="C71" s="53">
        <f>(Table26[[#This Row],[M2 Money Stock, Billions of Dollars, Weekly, Seasonally Adjusted]]-B70)/B70</f>
        <v>1.641571380052129E-3</v>
      </c>
      <c r="D71" s="54">
        <f>((1+Table26[[#This Row],[Weekly change]])^52)-1</f>
        <v>8.9034718660191192E-2</v>
      </c>
      <c r="E71" s="57">
        <f>(Table26[[#This Row],[M2 Money Stock, Billions of Dollars, Weekly, Seasonally Adjusted]]-B19)/B19</f>
        <v>9.9478066360134149E-2</v>
      </c>
    </row>
    <row r="72" spans="1:5" x14ac:dyDescent="0.2">
      <c r="A72" s="50">
        <v>29983</v>
      </c>
      <c r="B72" s="51">
        <v>1773.1</v>
      </c>
      <c r="C72" s="53">
        <f>(Table26[[#This Row],[M2 Money Stock, Billions of Dollars, Weekly, Seasonally Adjusted]]-B71)/B71</f>
        <v>2.0344730149759304E-3</v>
      </c>
      <c r="D72" s="54">
        <f>((1+Table26[[#This Row],[Weekly change]])^52)-1</f>
        <v>0.11147184828892698</v>
      </c>
      <c r="E72" s="57">
        <f>(Table26[[#This Row],[M2 Money Stock, Billions of Dollars, Weekly, Seasonally Adjusted]]-B20)/B20</f>
        <v>0.10226283724978243</v>
      </c>
    </row>
    <row r="73" spans="1:5" x14ac:dyDescent="0.2">
      <c r="A73" s="50">
        <v>29990</v>
      </c>
      <c r="B73" s="51">
        <v>1771.4</v>
      </c>
      <c r="C73" s="53">
        <f>(Table26[[#This Row],[M2 Money Stock, Billions of Dollars, Weekly, Seasonally Adjusted]]-B72)/B72</f>
        <v>-9.5877277085320526E-4</v>
      </c>
      <c r="D73" s="54">
        <f>((1+Table26[[#This Row],[Weekly change]])^52)-1</f>
        <v>-4.8656516013764528E-2</v>
      </c>
      <c r="E73" s="57">
        <f>(Table26[[#This Row],[M2 Money Stock, Billions of Dollars, Weekly, Seasonally Adjusted]]-B21)/B21</f>
        <v>9.7521685254027324E-2</v>
      </c>
    </row>
    <row r="74" spans="1:5" x14ac:dyDescent="0.2">
      <c r="A74" s="50">
        <v>29997</v>
      </c>
      <c r="B74" s="51">
        <v>1774.3</v>
      </c>
      <c r="C74" s="53">
        <f>(Table26[[#This Row],[M2 Money Stock, Billions of Dollars, Weekly, Seasonally Adjusted]]-B73)/B73</f>
        <v>1.6371231794060424E-3</v>
      </c>
      <c r="D74" s="54">
        <f>((1+Table26[[#This Row],[Weekly change]])^52)-1</f>
        <v>8.8783259235887702E-2</v>
      </c>
      <c r="E74" s="57">
        <f>(Table26[[#This Row],[M2 Money Stock, Billions of Dollars, Weekly, Seasonally Adjusted]]-B22)/B22</f>
        <v>9.5991105071344646E-2</v>
      </c>
    </row>
    <row r="75" spans="1:5" x14ac:dyDescent="0.2">
      <c r="A75" s="50">
        <v>30004</v>
      </c>
      <c r="B75" s="51">
        <v>1775.4</v>
      </c>
      <c r="C75" s="53">
        <f>(Table26[[#This Row],[M2 Money Stock, Billions of Dollars, Weekly, Seasonally Adjusted]]-B74)/B74</f>
        <v>6.1996280223194304E-4</v>
      </c>
      <c r="D75" s="54">
        <f>((1+Table26[[#This Row],[Weekly change]])^52)-1</f>
        <v>3.2753025289501858E-2</v>
      </c>
      <c r="E75" s="57">
        <f>(Table26[[#This Row],[M2 Money Stock, Billions of Dollars, Weekly, Seasonally Adjusted]]-B23)/B23</f>
        <v>9.3698022546664289E-2</v>
      </c>
    </row>
    <row r="76" spans="1:5" x14ac:dyDescent="0.2">
      <c r="A76" s="50">
        <v>30011</v>
      </c>
      <c r="B76" s="51">
        <v>1778.4</v>
      </c>
      <c r="C76" s="53">
        <f>(Table26[[#This Row],[M2 Money Stock, Billions of Dollars, Weekly, Seasonally Adjusted]]-B75)/B75</f>
        <v>1.6897600540723217E-3</v>
      </c>
      <c r="D76" s="54">
        <f>((1+Table26[[#This Row],[Weekly change]])^52)-1</f>
        <v>9.1762506544323941E-2</v>
      </c>
      <c r="E76" s="57">
        <f>(Table26[[#This Row],[M2 Money Stock, Billions of Dollars, Weekly, Seasonally Adjusted]]-B24)/B24</f>
        <v>9.3659676526658991E-2</v>
      </c>
    </row>
    <row r="77" spans="1:5" x14ac:dyDescent="0.2">
      <c r="A77" s="50">
        <v>30018</v>
      </c>
      <c r="B77" s="51">
        <v>1781.6</v>
      </c>
      <c r="C77" s="53">
        <f>(Table26[[#This Row],[M2 Money Stock, Billions of Dollars, Weekly, Seasonally Adjusted]]-B76)/B76</f>
        <v>1.7993702204227497E-3</v>
      </c>
      <c r="D77" s="54">
        <f>((1+Table26[[#This Row],[Weekly change]])^52)-1</f>
        <v>9.7992125345225167E-2</v>
      </c>
      <c r="E77" s="57">
        <f>(Table26[[#This Row],[M2 Money Stock, Billions of Dollars, Weekly, Seasonally Adjusted]]-B25)/B25</f>
        <v>9.2670959828273475E-2</v>
      </c>
    </row>
    <row r="78" spans="1:5" x14ac:dyDescent="0.2">
      <c r="A78" s="50">
        <v>30025</v>
      </c>
      <c r="B78" s="51">
        <v>1786.2</v>
      </c>
      <c r="C78" s="53">
        <f>(Table26[[#This Row],[M2 Money Stock, Billions of Dollars, Weekly, Seasonally Adjusted]]-B77)/B77</f>
        <v>2.581948810058451E-3</v>
      </c>
      <c r="D78" s="54">
        <f>((1+Table26[[#This Row],[Weekly change]])^52)-1</f>
        <v>0.14349379477286983</v>
      </c>
      <c r="E78" s="57">
        <f>(Table26[[#This Row],[M2 Money Stock, Billions of Dollars, Weekly, Seasonally Adjusted]]-B26)/B26</f>
        <v>9.1675834250091667E-2</v>
      </c>
    </row>
    <row r="79" spans="1:5" x14ac:dyDescent="0.2">
      <c r="A79" s="50">
        <v>30032</v>
      </c>
      <c r="B79" s="51">
        <v>1789.3</v>
      </c>
      <c r="C79" s="53">
        <f>(Table26[[#This Row],[M2 Money Stock, Billions of Dollars, Weekly, Seasonally Adjusted]]-B78)/B78</f>
        <v>1.7355279364012479E-3</v>
      </c>
      <c r="D79" s="54">
        <f>((1+Table26[[#This Row],[Weekly change]])^52)-1</f>
        <v>9.4359466157089678E-2</v>
      </c>
      <c r="E79" s="57">
        <f>(Table26[[#This Row],[M2 Money Stock, Billions of Dollars, Weekly, Seasonally Adjusted]]-B27)/B27</f>
        <v>9.0504631886884443E-2</v>
      </c>
    </row>
    <row r="80" spans="1:5" x14ac:dyDescent="0.2">
      <c r="A80" s="50">
        <v>30039</v>
      </c>
      <c r="B80" s="51">
        <v>1793.7</v>
      </c>
      <c r="C80" s="53">
        <f>(Table26[[#This Row],[M2 Money Stock, Billions of Dollars, Weekly, Seasonally Adjusted]]-B79)/B79</f>
        <v>2.4590622030962335E-3</v>
      </c>
      <c r="D80" s="54">
        <f>((1+Table26[[#This Row],[Weekly change]])^52)-1</f>
        <v>0.13622830199354485</v>
      </c>
      <c r="E80" s="57">
        <f>(Table26[[#This Row],[M2 Money Stock, Billions of Dollars, Weekly, Seasonally Adjusted]]-B28)/B28</f>
        <v>8.9269447986882855E-2</v>
      </c>
    </row>
    <row r="81" spans="1:5" x14ac:dyDescent="0.2">
      <c r="A81" s="50">
        <v>30046</v>
      </c>
      <c r="B81" s="51">
        <v>1800</v>
      </c>
      <c r="C81" s="53">
        <f>(Table26[[#This Row],[M2 Money Stock, Billions of Dollars, Weekly, Seasonally Adjusted]]-B80)/B80</f>
        <v>3.512293025589538E-3</v>
      </c>
      <c r="D81" s="54">
        <f>((1+Table26[[#This Row],[Weekly change]])^52)-1</f>
        <v>0.19999722599801006</v>
      </c>
      <c r="E81" s="57">
        <f>(Table26[[#This Row],[M2 Money Stock, Billions of Dollars, Weekly, Seasonally Adjusted]]-B29)/B29</f>
        <v>8.9390546510924193E-2</v>
      </c>
    </row>
    <row r="82" spans="1:5" x14ac:dyDescent="0.2">
      <c r="A82" s="50">
        <v>30053</v>
      </c>
      <c r="B82" s="51">
        <v>1805.2</v>
      </c>
      <c r="C82" s="53">
        <f>(Table26[[#This Row],[M2 Money Stock, Billions of Dollars, Weekly, Seasonally Adjusted]]-B81)/B81</f>
        <v>2.8888888888889143E-3</v>
      </c>
      <c r="D82" s="54">
        <f>((1+Table26[[#This Row],[Weekly change]])^52)-1</f>
        <v>0.16184080893053876</v>
      </c>
      <c r="E82" s="57">
        <f>(Table26[[#This Row],[M2 Money Stock, Billions of Dollars, Weekly, Seasonally Adjusted]]-B30)/B30</f>
        <v>8.8519054510371412E-2</v>
      </c>
    </row>
    <row r="83" spans="1:5" x14ac:dyDescent="0.2">
      <c r="A83" s="50">
        <v>30060</v>
      </c>
      <c r="B83" s="51">
        <v>1806.7</v>
      </c>
      <c r="C83" s="53">
        <f>(Table26[[#This Row],[M2 Money Stock, Billions of Dollars, Weekly, Seasonally Adjusted]]-B82)/B82</f>
        <v>8.3093286062486146E-4</v>
      </c>
      <c r="D83" s="54">
        <f>((1+Table26[[#This Row],[Weekly change]])^52)-1</f>
        <v>4.4136853926434849E-2</v>
      </c>
      <c r="E83" s="57">
        <f>(Table26[[#This Row],[M2 Money Stock, Billions of Dollars, Weekly, Seasonally Adjusted]]-B31)/B31</f>
        <v>8.6148851749428851E-2</v>
      </c>
    </row>
    <row r="84" spans="1:5" x14ac:dyDescent="0.2">
      <c r="A84" s="50">
        <v>30067</v>
      </c>
      <c r="B84" s="51">
        <v>1806.7</v>
      </c>
      <c r="C84" s="53">
        <f>(Table26[[#This Row],[M2 Money Stock, Billions of Dollars, Weekly, Seasonally Adjusted]]-B83)/B83</f>
        <v>0</v>
      </c>
      <c r="D84" s="54">
        <f>((1+Table26[[#This Row],[Weekly change]])^52)-1</f>
        <v>0</v>
      </c>
      <c r="E84" s="57">
        <f>(Table26[[#This Row],[M2 Money Stock, Billions of Dollars, Weekly, Seasonally Adjusted]]-B32)/B32</f>
        <v>8.5691965627065769E-2</v>
      </c>
    </row>
    <row r="85" spans="1:5" x14ac:dyDescent="0.2">
      <c r="A85" s="50">
        <v>30074</v>
      </c>
      <c r="B85" s="51">
        <v>1805.7</v>
      </c>
      <c r="C85" s="53">
        <f>(Table26[[#This Row],[M2 Money Stock, Billions of Dollars, Weekly, Seasonally Adjusted]]-B84)/B84</f>
        <v>-5.5349532296452089E-4</v>
      </c>
      <c r="D85" s="54">
        <f>((1+Table26[[#This Row],[Weekly change]])^52)-1</f>
        <v>-2.8379249476862101E-2</v>
      </c>
      <c r="E85" s="57">
        <f>(Table26[[#This Row],[M2 Money Stock, Billions of Dollars, Weekly, Seasonally Adjusted]]-B33)/B33</f>
        <v>8.522146763627618E-2</v>
      </c>
    </row>
    <row r="86" spans="1:5" x14ac:dyDescent="0.2">
      <c r="A86" s="50">
        <v>30081</v>
      </c>
      <c r="B86" s="51">
        <v>1809.7</v>
      </c>
      <c r="C86" s="53">
        <f>(Table26[[#This Row],[M2 Money Stock, Billions of Dollars, Weekly, Seasonally Adjusted]]-B85)/B85</f>
        <v>2.2152073987927118E-3</v>
      </c>
      <c r="D86" s="54">
        <f>((1+Table26[[#This Row],[Weekly change]])^52)-1</f>
        <v>0.12194455213480304</v>
      </c>
      <c r="E86" s="57">
        <f>(Table26[[#This Row],[M2 Money Stock, Billions of Dollars, Weekly, Seasonally Adjusted]]-B34)/B34</f>
        <v>8.7690828224546283E-2</v>
      </c>
    </row>
    <row r="87" spans="1:5" x14ac:dyDescent="0.2">
      <c r="A87" s="50">
        <v>30088</v>
      </c>
      <c r="B87" s="51">
        <v>1812.1</v>
      </c>
      <c r="C87" s="53">
        <f>(Table26[[#This Row],[M2 Money Stock, Billions of Dollars, Weekly, Seasonally Adjusted]]-B86)/B86</f>
        <v>1.3261866607724283E-3</v>
      </c>
      <c r="D87" s="54">
        <f>((1+Table26[[#This Row],[Weekly change]])^52)-1</f>
        <v>7.1346232322732739E-2</v>
      </c>
      <c r="E87" s="57">
        <f>(Table26[[#This Row],[M2 Money Stock, Billions of Dollars, Weekly, Seasonally Adjusted]]-B35)/B35</f>
        <v>8.9919403344159751E-2</v>
      </c>
    </row>
    <row r="88" spans="1:5" x14ac:dyDescent="0.2">
      <c r="A88" s="50">
        <v>30095</v>
      </c>
      <c r="B88" s="51">
        <v>1816.5</v>
      </c>
      <c r="C88" s="53">
        <f>(Table26[[#This Row],[M2 Money Stock, Billions of Dollars, Weekly, Seasonally Adjusted]]-B87)/B87</f>
        <v>2.4281220683185756E-3</v>
      </c>
      <c r="D88" s="54">
        <f>((1+Table26[[#This Row],[Weekly change]])^52)-1</f>
        <v>0.1344061578210145</v>
      </c>
      <c r="E88" s="57">
        <f>(Table26[[#This Row],[M2 Money Stock, Billions of Dollars, Weekly, Seasonally Adjusted]]-B36)/B36</f>
        <v>9.210605422954371E-2</v>
      </c>
    </row>
    <row r="89" spans="1:5" x14ac:dyDescent="0.2">
      <c r="A89" s="50">
        <v>30102</v>
      </c>
      <c r="B89" s="51">
        <v>1821</v>
      </c>
      <c r="C89" s="53">
        <f>(Table26[[#This Row],[M2 Money Stock, Billions of Dollars, Weekly, Seasonally Adjusted]]-B88)/B88</f>
        <v>2.477291494632535E-3</v>
      </c>
      <c r="D89" s="54">
        <f>((1+Table26[[#This Row],[Weekly change]])^52)-1</f>
        <v>0.13730321542687984</v>
      </c>
      <c r="E89" s="57">
        <f>(Table26[[#This Row],[M2 Money Stock, Billions of Dollars, Weekly, Seasonally Adjusted]]-B37)/B37</f>
        <v>9.2971610347518219E-2</v>
      </c>
    </row>
    <row r="90" spans="1:5" x14ac:dyDescent="0.2">
      <c r="A90" s="50">
        <v>30109</v>
      </c>
      <c r="B90" s="51">
        <v>1823</v>
      </c>
      <c r="C90" s="53">
        <f>(Table26[[#This Row],[M2 Money Stock, Billions of Dollars, Weekly, Seasonally Adjusted]]-B89)/B89</f>
        <v>1.0982976386600769E-3</v>
      </c>
      <c r="D90" s="54">
        <f>((1+Table26[[#This Row],[Weekly change]])^52)-1</f>
        <v>5.8740651777157815E-2</v>
      </c>
      <c r="E90" s="57">
        <f>(Table26[[#This Row],[M2 Money Stock, Billions of Dollars, Weekly, Seasonally Adjusted]]-B38)/B38</f>
        <v>9.3975036005760862E-2</v>
      </c>
    </row>
    <row r="91" spans="1:5" x14ac:dyDescent="0.2">
      <c r="A91" s="50">
        <v>30116</v>
      </c>
      <c r="B91" s="51">
        <v>1826</v>
      </c>
      <c r="C91" s="53">
        <f>(Table26[[#This Row],[M2 Money Stock, Billions of Dollars, Weekly, Seasonally Adjusted]]-B90)/B90</f>
        <v>1.6456390565002743E-3</v>
      </c>
      <c r="D91" s="54">
        <f>((1+Table26[[#This Row],[Weekly change]])^52)-1</f>
        <v>8.9264716683447265E-2</v>
      </c>
      <c r="E91" s="57">
        <f>(Table26[[#This Row],[M2 Money Stock, Billions of Dollars, Weekly, Seasonally Adjusted]]-B39)/B39</f>
        <v>9.3544137022397916E-2</v>
      </c>
    </row>
    <row r="92" spans="1:5" x14ac:dyDescent="0.2">
      <c r="A92" s="50">
        <v>30123</v>
      </c>
      <c r="B92" s="51">
        <v>1826.5</v>
      </c>
      <c r="C92" s="53">
        <f>(Table26[[#This Row],[M2 Money Stock, Billions of Dollars, Weekly, Seasonally Adjusted]]-B91)/B91</f>
        <v>2.7382256297918948E-4</v>
      </c>
      <c r="D92" s="54">
        <f>((1+Table26[[#This Row],[Weekly change]])^52)-1</f>
        <v>1.4338650416974019E-2</v>
      </c>
      <c r="E92" s="57">
        <f>(Table26[[#This Row],[M2 Money Stock, Billions of Dollars, Weekly, Seasonally Adjusted]]-B40)/B40</f>
        <v>9.1881874701099986E-2</v>
      </c>
    </row>
    <row r="93" spans="1:5" x14ac:dyDescent="0.2">
      <c r="A93" s="50">
        <v>30130</v>
      </c>
      <c r="B93" s="51">
        <v>1824.6</v>
      </c>
      <c r="C93" s="53">
        <f>(Table26[[#This Row],[M2 Money Stock, Billions of Dollars, Weekly, Seasonally Adjusted]]-B92)/B92</f>
        <v>-1.0402408978921933E-3</v>
      </c>
      <c r="D93" s="54">
        <f>((1+Table26[[#This Row],[Weekly change]])^52)-1</f>
        <v>-5.2682223507571568E-2</v>
      </c>
      <c r="E93" s="57">
        <f>(Table26[[#This Row],[M2 Money Stock, Billions of Dollars, Weekly, Seasonally Adjusted]]-B41)/B41</f>
        <v>9.1333213708953767E-2</v>
      </c>
    </row>
    <row r="94" spans="1:5" x14ac:dyDescent="0.2">
      <c r="A94" s="50">
        <v>30137</v>
      </c>
      <c r="B94" s="51">
        <v>1827.5</v>
      </c>
      <c r="C94" s="53">
        <f>(Table26[[#This Row],[M2 Money Stock, Billions of Dollars, Weekly, Seasonally Adjusted]]-B93)/B93</f>
        <v>1.5893894552231125E-3</v>
      </c>
      <c r="D94" s="54">
        <f>((1+Table26[[#This Row],[Weekly change]])^52)-1</f>
        <v>8.6088425221630738E-2</v>
      </c>
      <c r="E94" s="57">
        <f>(Table26[[#This Row],[M2 Money Stock, Billions of Dollars, Weekly, Seasonally Adjusted]]-B42)/B42</f>
        <v>8.8964366583243928E-2</v>
      </c>
    </row>
    <row r="95" spans="1:5" x14ac:dyDescent="0.2">
      <c r="A95" s="50">
        <v>30144</v>
      </c>
      <c r="B95" s="51">
        <v>1828.7</v>
      </c>
      <c r="C95" s="53">
        <f>(Table26[[#This Row],[M2 Money Stock, Billions of Dollars, Weekly, Seasonally Adjusted]]-B94)/B94</f>
        <v>6.5663474692204951E-4</v>
      </c>
      <c r="D95" s="54">
        <f>((1+Table26[[#This Row],[Weekly change]])^52)-1</f>
        <v>3.4723044802437597E-2</v>
      </c>
      <c r="E95" s="57">
        <f>(Table26[[#This Row],[M2 Money Stock, Billions of Dollars, Weekly, Seasonally Adjusted]]-B43)/B43</f>
        <v>8.9874247571368943E-2</v>
      </c>
    </row>
    <row r="96" spans="1:5" x14ac:dyDescent="0.2">
      <c r="A96" s="50">
        <v>30151</v>
      </c>
      <c r="B96" s="51">
        <v>1830.4</v>
      </c>
      <c r="C96" s="53">
        <f>(Table26[[#This Row],[M2 Money Stock, Billions of Dollars, Weekly, Seasonally Adjusted]]-B95)/B95</f>
        <v>9.296221359435913E-4</v>
      </c>
      <c r="D96" s="54">
        <f>((1+Table26[[#This Row],[Weekly change]])^52)-1</f>
        <v>4.9504235345360081E-2</v>
      </c>
      <c r="E96" s="57">
        <f>(Table26[[#This Row],[M2 Money Stock, Billions of Dollars, Weekly, Seasonally Adjusted]]-B44)/B44</f>
        <v>8.7258687258687309E-2</v>
      </c>
    </row>
    <row r="97" spans="1:5" x14ac:dyDescent="0.2">
      <c r="A97" s="50">
        <v>30158</v>
      </c>
      <c r="B97" s="51">
        <v>1834.2</v>
      </c>
      <c r="C97" s="53">
        <f>(Table26[[#This Row],[M2 Money Stock, Billions of Dollars, Weekly, Seasonally Adjusted]]-B96)/B96</f>
        <v>2.0760489510489263E-3</v>
      </c>
      <c r="D97" s="54">
        <f>((1+Table26[[#This Row],[Weekly change]])^52)-1</f>
        <v>0.1138724535690776</v>
      </c>
      <c r="E97" s="57">
        <f>(Table26[[#This Row],[M2 Money Stock, Billions of Dollars, Weekly, Seasonally Adjusted]]-B45)/B45</f>
        <v>8.8029422232767884E-2</v>
      </c>
    </row>
    <row r="98" spans="1:5" x14ac:dyDescent="0.2">
      <c r="A98" s="50">
        <v>30165</v>
      </c>
      <c r="B98" s="51">
        <v>1837</v>
      </c>
      <c r="C98" s="53">
        <f>(Table26[[#This Row],[M2 Money Stock, Billions of Dollars, Weekly, Seasonally Adjusted]]-B97)/B97</f>
        <v>1.5265510849416391E-3</v>
      </c>
      <c r="D98" s="54">
        <f>((1+Table26[[#This Row],[Weekly change]])^52)-1</f>
        <v>8.2550822186640227E-2</v>
      </c>
      <c r="E98" s="57">
        <f>(Table26[[#This Row],[M2 Money Stock, Billions of Dollars, Weekly, Seasonally Adjusted]]-B46)/B46</f>
        <v>8.8141215495794303E-2</v>
      </c>
    </row>
    <row r="99" spans="1:5" x14ac:dyDescent="0.2">
      <c r="A99" s="50">
        <v>30172</v>
      </c>
      <c r="B99" s="51">
        <v>1841.1</v>
      </c>
      <c r="C99" s="53">
        <f>(Table26[[#This Row],[M2 Money Stock, Billions of Dollars, Weekly, Seasonally Adjusted]]-B98)/B98</f>
        <v>2.2318998366902061E-3</v>
      </c>
      <c r="D99" s="54">
        <f>((1+Table26[[#This Row],[Weekly change]])^52)-1</f>
        <v>0.12291666789151323</v>
      </c>
      <c r="E99" s="57">
        <f>(Table26[[#This Row],[M2 Money Stock, Billions of Dollars, Weekly, Seasonally Adjusted]]-B47)/B47</f>
        <v>8.683589138134587E-2</v>
      </c>
    </row>
    <row r="100" spans="1:5" x14ac:dyDescent="0.2">
      <c r="A100" s="50">
        <v>30179</v>
      </c>
      <c r="B100" s="51">
        <v>1846.1</v>
      </c>
      <c r="C100" s="53">
        <f>(Table26[[#This Row],[M2 Money Stock, Billions of Dollars, Weekly, Seasonally Adjusted]]-B99)/B99</f>
        <v>2.7157677475422304E-3</v>
      </c>
      <c r="D100" s="54">
        <f>((1+Table26[[#This Row],[Weekly change]])^52)-1</f>
        <v>0.15145747452718594</v>
      </c>
      <c r="E100" s="57">
        <f>(Table26[[#This Row],[M2 Money Stock, Billions of Dollars, Weekly, Seasonally Adjusted]]-B48)/B48</f>
        <v>8.901604530438878E-2</v>
      </c>
    </row>
    <row r="101" spans="1:5" x14ac:dyDescent="0.2">
      <c r="A101" s="50">
        <v>30186</v>
      </c>
      <c r="B101" s="51">
        <v>1849.9</v>
      </c>
      <c r="C101" s="53">
        <f>(Table26[[#This Row],[M2 Money Stock, Billions of Dollars, Weekly, Seasonally Adjusted]]-B100)/B100</f>
        <v>2.0583933698067182E-3</v>
      </c>
      <c r="D101" s="54">
        <f>((1+Table26[[#This Row],[Weekly change]])^52)-1</f>
        <v>0.11285239516861845</v>
      </c>
      <c r="E101" s="57">
        <f>(Table26[[#This Row],[M2 Money Stock, Billions of Dollars, Weekly, Seasonally Adjusted]]-B49)/B49</f>
        <v>8.9714891611687206E-2</v>
      </c>
    </row>
    <row r="102" spans="1:5" x14ac:dyDescent="0.2">
      <c r="A102" s="50">
        <v>30193</v>
      </c>
      <c r="B102" s="51">
        <v>1853.4</v>
      </c>
      <c r="C102" s="53">
        <f>(Table26[[#This Row],[M2 Money Stock, Billions of Dollars, Weekly, Seasonally Adjusted]]-B101)/B101</f>
        <v>1.8919941618465862E-3</v>
      </c>
      <c r="D102" s="54">
        <f>((1+Table26[[#This Row],[Weekly change]])^52)-1</f>
        <v>0.10328351038760508</v>
      </c>
      <c r="E102" s="57">
        <f>(Table26[[#This Row],[M2 Money Stock, Billions of Dollars, Weekly, Seasonally Adjusted]]-B50)/B50</f>
        <v>8.946625911121564E-2</v>
      </c>
    </row>
    <row r="103" spans="1:5" x14ac:dyDescent="0.2">
      <c r="A103" s="50">
        <v>30200</v>
      </c>
      <c r="B103" s="51">
        <v>1855.9</v>
      </c>
      <c r="C103" s="53">
        <f>(Table26[[#This Row],[M2 Money Stock, Billions of Dollars, Weekly, Seasonally Adjusted]]-B102)/B102</f>
        <v>1.3488723427214847E-3</v>
      </c>
      <c r="D103" s="54">
        <f>((1+Table26[[#This Row],[Weekly change]])^52)-1</f>
        <v>7.2609107356596425E-2</v>
      </c>
      <c r="E103" s="57">
        <f>(Table26[[#This Row],[M2 Money Stock, Billions of Dollars, Weekly, Seasonally Adjusted]]-B51)/B51</f>
        <v>9.0230864125007429E-2</v>
      </c>
    </row>
    <row r="104" spans="1:5" x14ac:dyDescent="0.2">
      <c r="A104" s="50">
        <v>30207</v>
      </c>
      <c r="B104" s="51">
        <v>1859.2</v>
      </c>
      <c r="C104" s="53">
        <f>(Table26[[#This Row],[M2 Money Stock, Billions of Dollars, Weekly, Seasonally Adjusted]]-B103)/B103</f>
        <v>1.7781130448838592E-3</v>
      </c>
      <c r="D104" s="54">
        <f>((1+Table26[[#This Row],[Weekly change]])^52)-1</f>
        <v>9.6781269609881315E-2</v>
      </c>
      <c r="E104" s="57">
        <f>(Table26[[#This Row],[M2 Money Stock, Billions of Dollars, Weekly, Seasonally Adjusted]]-B52)/B52</f>
        <v>8.8907110226074698E-2</v>
      </c>
    </row>
    <row r="105" spans="1:5" x14ac:dyDescent="0.2">
      <c r="A105" s="50">
        <v>30214</v>
      </c>
      <c r="B105" s="51">
        <v>1861.2</v>
      </c>
      <c r="C105" s="53">
        <f>(Table26[[#This Row],[M2 Money Stock, Billions of Dollars, Weekly, Seasonally Adjusted]]-B104)/B104</f>
        <v>1.0757314974182443E-3</v>
      </c>
      <c r="D105" s="54">
        <f>((1+Table26[[#This Row],[Weekly change]])^52)-1</f>
        <v>5.7500359901764053E-2</v>
      </c>
      <c r="E105" s="57">
        <f>(Table26[[#This Row],[M2 Money Stock, Billions of Dollars, Weekly, Seasonally Adjusted]]-B53)/B53</f>
        <v>8.9504185447520979E-2</v>
      </c>
    </row>
    <row r="106" spans="1:5" x14ac:dyDescent="0.2">
      <c r="A106" s="50">
        <v>30221</v>
      </c>
      <c r="B106" s="51">
        <v>1860.1</v>
      </c>
      <c r="C106" s="53">
        <f>(Table26[[#This Row],[M2 Money Stock, Billions of Dollars, Weekly, Seasonally Adjusted]]-B105)/B105</f>
        <v>-5.9101654846343025E-4</v>
      </c>
      <c r="D106" s="54">
        <f>((1+Table26[[#This Row],[Weekly change]])^52)-1</f>
        <v>-3.0274217509246193E-2</v>
      </c>
      <c r="E106" s="57">
        <f>(Table26[[#This Row],[M2 Money Stock, Billions of Dollars, Weekly, Seasonally Adjusted]]-B54)/B54</f>
        <v>8.9179060779950789E-2</v>
      </c>
    </row>
    <row r="107" spans="1:5" x14ac:dyDescent="0.2">
      <c r="A107" s="50">
        <v>30228</v>
      </c>
      <c r="B107" s="51">
        <v>1863.9</v>
      </c>
      <c r="C107" s="53">
        <f>(Table26[[#This Row],[M2 Money Stock, Billions of Dollars, Weekly, Seasonally Adjusted]]-B106)/B106</f>
        <v>2.0429009193055118E-3</v>
      </c>
      <c r="D107" s="54">
        <f>((1+Table26[[#This Row],[Weekly change]])^52)-1</f>
        <v>0.11195806725280244</v>
      </c>
      <c r="E107" s="57">
        <f>(Table26[[#This Row],[M2 Money Stock, Billions of Dollars, Weekly, Seasonally Adjusted]]-B55)/B55</f>
        <v>8.7456242707117909E-2</v>
      </c>
    </row>
    <row r="108" spans="1:5" x14ac:dyDescent="0.2">
      <c r="A108" s="50">
        <v>30235</v>
      </c>
      <c r="B108" s="51">
        <v>1865.5</v>
      </c>
      <c r="C108" s="53">
        <f>(Table26[[#This Row],[M2 Money Stock, Billions of Dollars, Weekly, Seasonally Adjusted]]-B107)/B107</f>
        <v>8.5841515102736679E-4</v>
      </c>
      <c r="D108" s="54">
        <f>((1+Table26[[#This Row],[Weekly change]])^52)-1</f>
        <v>4.562881367391336E-2</v>
      </c>
      <c r="E108" s="57">
        <f>(Table26[[#This Row],[M2 Money Stock, Billions of Dollars, Weekly, Seasonally Adjusted]]-B56)/B56</f>
        <v>8.4845312863456673E-2</v>
      </c>
    </row>
    <row r="109" spans="1:5" x14ac:dyDescent="0.2">
      <c r="A109" s="50">
        <v>30242</v>
      </c>
      <c r="B109" s="51">
        <v>1869.3</v>
      </c>
      <c r="C109" s="53">
        <f>(Table26[[#This Row],[M2 Money Stock, Billions of Dollars, Weekly, Seasonally Adjusted]]-B108)/B108</f>
        <v>2.0369874028410371E-3</v>
      </c>
      <c r="D109" s="54">
        <f>((1+Table26[[#This Row],[Weekly change]])^52)-1</f>
        <v>0.111616885422954</v>
      </c>
      <c r="E109" s="57">
        <f>(Table26[[#This Row],[M2 Money Stock, Billions of Dollars, Weekly, Seasonally Adjusted]]-B57)/B57</f>
        <v>8.4973010621626238E-2</v>
      </c>
    </row>
    <row r="110" spans="1:5" x14ac:dyDescent="0.2">
      <c r="A110" s="50">
        <v>30249</v>
      </c>
      <c r="B110" s="51">
        <v>1873.4</v>
      </c>
      <c r="C110" s="53">
        <f>(Table26[[#This Row],[M2 Money Stock, Billions of Dollars, Weekly, Seasonally Adjusted]]-B109)/B109</f>
        <v>2.1933344032526274E-3</v>
      </c>
      <c r="D110" s="54">
        <f>((1+Table26[[#This Row],[Weekly change]])^52)-1</f>
        <v>0.12067198607197738</v>
      </c>
      <c r="E110" s="57">
        <f>(Table26[[#This Row],[M2 Money Stock, Billions of Dollars, Weekly, Seasonally Adjusted]]-B58)/B58</f>
        <v>8.5840143743117214E-2</v>
      </c>
    </row>
    <row r="111" spans="1:5" x14ac:dyDescent="0.2">
      <c r="A111" s="50">
        <v>30256</v>
      </c>
      <c r="B111" s="51">
        <v>1878.8</v>
      </c>
      <c r="C111" s="53">
        <f>(Table26[[#This Row],[M2 Money Stock, Billions of Dollars, Weekly, Seasonally Adjusted]]-B110)/B110</f>
        <v>2.882459698943025E-3</v>
      </c>
      <c r="D111" s="54">
        <f>((1+Table26[[#This Row],[Weekly change]])^52)-1</f>
        <v>0.16145356696639257</v>
      </c>
      <c r="E111" s="57">
        <f>(Table26[[#This Row],[M2 Money Stock, Billions of Dollars, Weekly, Seasonally Adjusted]]-B59)/B59</f>
        <v>8.7520259319286905E-2</v>
      </c>
    </row>
    <row r="112" spans="1:5" x14ac:dyDescent="0.2">
      <c r="A112" s="50">
        <v>30263</v>
      </c>
      <c r="B112" s="51">
        <v>1881.4</v>
      </c>
      <c r="C112" s="53">
        <f>(Table26[[#This Row],[M2 Money Stock, Billions of Dollars, Weekly, Seasonally Adjusted]]-B111)/B111</f>
        <v>1.3838620395998172E-3</v>
      </c>
      <c r="D112" s="54">
        <f>((1+Table26[[#This Row],[Weekly change]])^52)-1</f>
        <v>7.4559789981128999E-2</v>
      </c>
      <c r="E112" s="57">
        <f>(Table26[[#This Row],[M2 Money Stock, Billions of Dollars, Weekly, Seasonally Adjusted]]-B60)/B60</f>
        <v>8.6133240965246535E-2</v>
      </c>
    </row>
    <row r="113" spans="1:5" x14ac:dyDescent="0.2">
      <c r="A113" s="50">
        <v>30270</v>
      </c>
      <c r="B113" s="51">
        <v>1885</v>
      </c>
      <c r="C113" s="53">
        <f>(Table26[[#This Row],[M2 Money Stock, Billions of Dollars, Weekly, Seasonally Adjusted]]-B112)/B112</f>
        <v>1.9134686935260491E-3</v>
      </c>
      <c r="D113" s="54">
        <f>((1+Table26[[#This Row],[Weekly change]])^52)-1</f>
        <v>0.10451386600597479</v>
      </c>
      <c r="E113" s="57">
        <f>(Table26[[#This Row],[M2 Money Stock, Billions of Dollars, Weekly, Seasonally Adjusted]]-B61)/B61</f>
        <v>8.5704411934108951E-2</v>
      </c>
    </row>
    <row r="114" spans="1:5" x14ac:dyDescent="0.2">
      <c r="A114" s="50">
        <v>30277</v>
      </c>
      <c r="B114" s="51">
        <v>1887.6</v>
      </c>
      <c r="C114" s="53">
        <f>(Table26[[#This Row],[M2 Money Stock, Billions of Dollars, Weekly, Seasonally Adjusted]]-B113)/B113</f>
        <v>1.379310344827538E-3</v>
      </c>
      <c r="D114" s="54">
        <f>((1+Table26[[#This Row],[Weekly change]])^52)-1</f>
        <v>7.4305835351262894E-2</v>
      </c>
      <c r="E114" s="57">
        <f>(Table26[[#This Row],[M2 Money Stock, Billions of Dollars, Weekly, Seasonally Adjusted]]-B62)/B62</f>
        <v>8.6951514453529888E-2</v>
      </c>
    </row>
    <row r="115" spans="1:5" x14ac:dyDescent="0.2">
      <c r="A115" s="50">
        <v>30284</v>
      </c>
      <c r="B115" s="51">
        <v>1888.5</v>
      </c>
      <c r="C115" s="53">
        <f>(Table26[[#This Row],[M2 Money Stock, Billions of Dollars, Weekly, Seasonally Adjusted]]-B114)/B114</f>
        <v>4.7679593134143411E-4</v>
      </c>
      <c r="D115" s="54">
        <f>((1+Table26[[#This Row],[Weekly change]])^52)-1</f>
        <v>2.5097243312269812E-2</v>
      </c>
      <c r="E115" s="57">
        <f>(Table26[[#This Row],[M2 Money Stock, Billions of Dollars, Weekly, Seasonally Adjusted]]-B63)/B63</f>
        <v>8.316604531115572E-2</v>
      </c>
    </row>
    <row r="116" spans="1:5" x14ac:dyDescent="0.2">
      <c r="A116" s="50">
        <v>30291</v>
      </c>
      <c r="B116" s="51">
        <v>1891.7</v>
      </c>
      <c r="C116" s="53">
        <f>(Table26[[#This Row],[M2 Money Stock, Billions of Dollars, Weekly, Seasonally Adjusted]]-B115)/B115</f>
        <v>1.6944665078104557E-3</v>
      </c>
      <c r="D116" s="54">
        <f>((1+Table26[[#This Row],[Weekly change]])^52)-1</f>
        <v>9.2029280921083201E-2</v>
      </c>
      <c r="E116" s="57">
        <f>(Table26[[#This Row],[M2 Money Stock, Billions of Dollars, Weekly, Seasonally Adjusted]]-B64)/B64</f>
        <v>8.1465812943059684E-2</v>
      </c>
    </row>
    <row r="117" spans="1:5" x14ac:dyDescent="0.2">
      <c r="A117" s="50">
        <v>30298</v>
      </c>
      <c r="B117" s="51">
        <v>1892.3</v>
      </c>
      <c r="C117" s="53">
        <f>(Table26[[#This Row],[M2 Money Stock, Billions of Dollars, Weekly, Seasonally Adjusted]]-B116)/B116</f>
        <v>3.1717502775276683E-4</v>
      </c>
      <c r="D117" s="54">
        <f>((1+Table26[[#This Row],[Weekly change]])^52)-1</f>
        <v>1.6627204951541907E-2</v>
      </c>
      <c r="E117" s="57">
        <f>(Table26[[#This Row],[M2 Money Stock, Billions of Dollars, Weekly, Seasonally Adjusted]]-B65)/B65</f>
        <v>8.0388238652583474E-2</v>
      </c>
    </row>
    <row r="118" spans="1:5" x14ac:dyDescent="0.2">
      <c r="A118" s="50">
        <v>30305</v>
      </c>
      <c r="B118" s="51">
        <v>1909.9</v>
      </c>
      <c r="C118" s="53">
        <f>(Table26[[#This Row],[M2 Money Stock, Billions of Dollars, Weekly, Seasonally Adjusted]]-B117)/B117</f>
        <v>9.3008508164668068E-3</v>
      </c>
      <c r="D118" s="54">
        <f>((1+Table26[[#This Row],[Weekly change]])^52)-1</f>
        <v>0.61835295956041092</v>
      </c>
      <c r="E118" s="57">
        <f>(Table26[[#This Row],[M2 Money Stock, Billions of Dollars, Weekly, Seasonally Adjusted]]-B66)/B66</f>
        <v>8.82001025582589E-2</v>
      </c>
    </row>
    <row r="119" spans="1:5" x14ac:dyDescent="0.2">
      <c r="A119" s="50">
        <v>30312</v>
      </c>
      <c r="B119" s="51">
        <v>1917.5</v>
      </c>
      <c r="C119" s="53">
        <f>(Table26[[#This Row],[M2 Money Stock, Billions of Dollars, Weekly, Seasonally Adjusted]]-B118)/B118</f>
        <v>3.9792659301533632E-3</v>
      </c>
      <c r="D119" s="54">
        <f>((1+Table26[[#This Row],[Weekly change]])^52)-1</f>
        <v>0.229381526324828</v>
      </c>
      <c r="E119" s="57">
        <f>(Table26[[#This Row],[M2 Money Stock, Billions of Dollars, Weekly, Seasonally Adjusted]]-B67)/B67</f>
        <v>9.3402520385470686E-2</v>
      </c>
    </row>
    <row r="120" spans="1:5" x14ac:dyDescent="0.2">
      <c r="A120" s="50">
        <v>30319</v>
      </c>
      <c r="B120" s="51">
        <v>1927</v>
      </c>
      <c r="C120" s="53">
        <f>(Table26[[#This Row],[M2 Money Stock, Billions of Dollars, Weekly, Seasonally Adjusted]]-B119)/B119</f>
        <v>4.9543676662320733E-3</v>
      </c>
      <c r="D120" s="54">
        <f>((1+Table26[[#This Row],[Weekly change]])^52)-1</f>
        <v>0.29303352689536344</v>
      </c>
      <c r="E120" s="57">
        <f>(Table26[[#This Row],[M2 Money Stock, Billions of Dollars, Weekly, Seasonally Adjusted]]-B68)/B68</f>
        <v>9.7068033020210651E-2</v>
      </c>
    </row>
    <row r="121" spans="1:5" x14ac:dyDescent="0.2">
      <c r="A121" s="50">
        <v>30326</v>
      </c>
      <c r="B121" s="51">
        <v>1943.2</v>
      </c>
      <c r="C121" s="53">
        <f>(Table26[[#This Row],[M2 Money Stock, Billions of Dollars, Weekly, Seasonally Adjusted]]-B120)/B120</f>
        <v>8.4068500259470921E-3</v>
      </c>
      <c r="D121" s="54">
        <f>((1+Table26[[#This Row],[Weekly change]])^52)-1</f>
        <v>0.5454712534062971</v>
      </c>
      <c r="E121" s="57">
        <f>(Table26[[#This Row],[M2 Money Stock, Billions of Dollars, Weekly, Seasonally Adjusted]]-B69)/B69</f>
        <v>0.10296287887387905</v>
      </c>
    </row>
    <row r="122" spans="1:5" x14ac:dyDescent="0.2">
      <c r="A122" s="50">
        <v>30333</v>
      </c>
      <c r="B122" s="51">
        <v>1955.6</v>
      </c>
      <c r="C122" s="53">
        <f>(Table26[[#This Row],[M2 Money Stock, Billions of Dollars, Weekly, Seasonally Adjusted]]-B121)/B121</f>
        <v>6.3812268423218731E-3</v>
      </c>
      <c r="D122" s="54">
        <f>((1+Table26[[#This Row],[Weekly change]])^52)-1</f>
        <v>0.39203896951198258</v>
      </c>
      <c r="E122" s="57">
        <f>(Table26[[#This Row],[M2 Money Stock, Billions of Dollars, Weekly, Seasonally Adjusted]]-B70)/B70</f>
        <v>0.10698516925166988</v>
      </c>
    </row>
    <row r="123" spans="1:5" x14ac:dyDescent="0.2">
      <c r="A123" s="50">
        <v>30340</v>
      </c>
      <c r="B123" s="51">
        <v>1965.3</v>
      </c>
      <c r="C123" s="53">
        <f>(Table26[[#This Row],[M2 Money Stock, Billions of Dollars, Weekly, Seasonally Adjusted]]-B122)/B122</f>
        <v>4.9601145428513219E-3</v>
      </c>
      <c r="D123" s="54">
        <f>((1+Table26[[#This Row],[Weekly change]])^52)-1</f>
        <v>0.29341808502084854</v>
      </c>
      <c r="E123" s="57">
        <f>(Table26[[#This Row],[M2 Money Stock, Billions of Dollars, Weekly, Seasonally Adjusted]]-B71)/B71</f>
        <v>0.11065272675897143</v>
      </c>
    </row>
    <row r="124" spans="1:5" x14ac:dyDescent="0.2">
      <c r="A124" s="50">
        <v>30347</v>
      </c>
      <c r="B124" s="51">
        <v>1976</v>
      </c>
      <c r="C124" s="53">
        <f>(Table26[[#This Row],[M2 Money Stock, Billions of Dollars, Weekly, Seasonally Adjusted]]-B123)/B123</f>
        <v>5.444461405383425E-3</v>
      </c>
      <c r="D124" s="54">
        <f>((1+Table26[[#This Row],[Weekly change]])^52)-1</f>
        <v>0.32623497626055076</v>
      </c>
      <c r="E124" s="57">
        <f>(Table26[[#This Row],[M2 Money Stock, Billions of Dollars, Weekly, Seasonally Adjusted]]-B72)/B72</f>
        <v>0.11443235012125662</v>
      </c>
    </row>
    <row r="125" spans="1:5" x14ac:dyDescent="0.2">
      <c r="A125" s="50">
        <v>30354</v>
      </c>
      <c r="B125" s="51">
        <v>1986.5</v>
      </c>
      <c r="C125" s="53">
        <f>(Table26[[#This Row],[M2 Money Stock, Billions of Dollars, Weekly, Seasonally Adjusted]]-B124)/B124</f>
        <v>5.3137651821862347E-3</v>
      </c>
      <c r="D125" s="54">
        <f>((1+Table26[[#This Row],[Weekly change]])^52)-1</f>
        <v>0.31730007111056779</v>
      </c>
      <c r="E125" s="57">
        <f>(Table26[[#This Row],[M2 Money Stock, Billions of Dollars, Weekly, Seasonally Adjusted]]-B73)/B73</f>
        <v>0.12142937789319176</v>
      </c>
    </row>
    <row r="126" spans="1:5" x14ac:dyDescent="0.2">
      <c r="A126" s="50">
        <v>30361</v>
      </c>
      <c r="B126" s="51">
        <v>1993.1</v>
      </c>
      <c r="C126" s="53">
        <f>(Table26[[#This Row],[M2 Money Stock, Billions of Dollars, Weekly, Seasonally Adjusted]]-B125)/B125</f>
        <v>3.3224263780518041E-3</v>
      </c>
      <c r="D126" s="54">
        <f>((1+Table26[[#This Row],[Weekly change]])^52)-1</f>
        <v>0.18824782291174236</v>
      </c>
      <c r="E126" s="57">
        <f>(Table26[[#This Row],[M2 Money Stock, Billions of Dollars, Weekly, Seasonally Adjusted]]-B74)/B74</f>
        <v>0.12331623738939297</v>
      </c>
    </row>
    <row r="127" spans="1:5" x14ac:dyDescent="0.2">
      <c r="A127" s="50">
        <v>30368</v>
      </c>
      <c r="B127" s="51">
        <v>1998.4</v>
      </c>
      <c r="C127" s="53">
        <f>(Table26[[#This Row],[M2 Money Stock, Billions of Dollars, Weekly, Seasonally Adjusted]]-B126)/B126</f>
        <v>2.6591741508204215E-3</v>
      </c>
      <c r="D127" s="54">
        <f>((1+Table26[[#This Row],[Weekly change]])^52)-1</f>
        <v>0.14808292514598032</v>
      </c>
      <c r="E127" s="57">
        <f>(Table26[[#This Row],[M2 Money Stock, Billions of Dollars, Weekly, Seasonally Adjusted]]-B75)/B75</f>
        <v>0.12560549735270923</v>
      </c>
    </row>
    <row r="128" spans="1:5" x14ac:dyDescent="0.2">
      <c r="A128" s="50">
        <v>30375</v>
      </c>
      <c r="B128" s="51">
        <v>2005</v>
      </c>
      <c r="C128" s="53">
        <f>(Table26[[#This Row],[M2 Money Stock, Billions of Dollars, Weekly, Seasonally Adjusted]]-B127)/B127</f>
        <v>3.3026421136909071E-3</v>
      </c>
      <c r="D128" s="54">
        <f>((1+Table26[[#This Row],[Weekly change]])^52)-1</f>
        <v>0.18703003572826282</v>
      </c>
      <c r="E128" s="57">
        <f>(Table26[[#This Row],[M2 Money Stock, Billions of Dollars, Weekly, Seasonally Adjusted]]-B76)/B76</f>
        <v>0.12741790373369316</v>
      </c>
    </row>
    <row r="129" spans="1:5" x14ac:dyDescent="0.2">
      <c r="A129" s="50">
        <v>30382</v>
      </c>
      <c r="B129" s="51">
        <v>2009.8</v>
      </c>
      <c r="C129" s="53">
        <f>(Table26[[#This Row],[M2 Money Stock, Billions of Dollars, Weekly, Seasonally Adjusted]]-B128)/B128</f>
        <v>2.3940149625934935E-3</v>
      </c>
      <c r="D129" s="54">
        <f>((1+Table26[[#This Row],[Weekly change]])^52)-1</f>
        <v>0.13240082348407189</v>
      </c>
      <c r="E129" s="57">
        <f>(Table26[[#This Row],[M2 Money Stock, Billions of Dollars, Weekly, Seasonally Adjusted]]-B77)/B77</f>
        <v>0.12808711270767853</v>
      </c>
    </row>
    <row r="130" spans="1:5" x14ac:dyDescent="0.2">
      <c r="A130" s="50">
        <v>30389</v>
      </c>
      <c r="B130" s="51">
        <v>2010.7</v>
      </c>
      <c r="C130" s="53">
        <f>(Table26[[#This Row],[M2 Money Stock, Billions of Dollars, Weekly, Seasonally Adjusted]]-B129)/B129</f>
        <v>4.4780575181614635E-4</v>
      </c>
      <c r="D130" s="54">
        <f>((1+Table26[[#This Row],[Weekly change]])^52)-1</f>
        <v>2.3553797342904748E-2</v>
      </c>
      <c r="E130" s="57">
        <f>(Table26[[#This Row],[M2 Money Stock, Billions of Dollars, Weekly, Seasonally Adjusted]]-B78)/B78</f>
        <v>0.12568581345873922</v>
      </c>
    </row>
    <row r="131" spans="1:5" x14ac:dyDescent="0.2">
      <c r="A131" s="50">
        <v>30396</v>
      </c>
      <c r="B131" s="51">
        <v>2015.1</v>
      </c>
      <c r="C131" s="53">
        <f>(Table26[[#This Row],[M2 Money Stock, Billions of Dollars, Weekly, Seasonally Adjusted]]-B130)/B130</f>
        <v>2.1882926344058604E-3</v>
      </c>
      <c r="D131" s="54">
        <f>((1+Table26[[#This Row],[Weekly change]])^52)-1</f>
        <v>0.12037885789427683</v>
      </c>
      <c r="E131" s="57">
        <f>(Table26[[#This Row],[M2 Money Stock, Billions of Dollars, Weekly, Seasonally Adjusted]]-B79)/B79</f>
        <v>0.12619460124070864</v>
      </c>
    </row>
    <row r="132" spans="1:5" x14ac:dyDescent="0.2">
      <c r="A132" s="50">
        <v>30403</v>
      </c>
      <c r="B132" s="51">
        <v>2018.2</v>
      </c>
      <c r="C132" s="53">
        <f>(Table26[[#This Row],[M2 Money Stock, Billions of Dollars, Weekly, Seasonally Adjusted]]-B131)/B131</f>
        <v>1.5383851918019634E-3</v>
      </c>
      <c r="D132" s="54">
        <f>((1+Table26[[#This Row],[Weekly change]])^52)-1</f>
        <v>8.3216180397154504E-2</v>
      </c>
      <c r="E132" s="57">
        <f>(Table26[[#This Row],[M2 Money Stock, Billions of Dollars, Weekly, Seasonally Adjusted]]-B80)/B80</f>
        <v>0.12516028321346936</v>
      </c>
    </row>
    <row r="133" spans="1:5" x14ac:dyDescent="0.2">
      <c r="A133" s="50">
        <v>30410</v>
      </c>
      <c r="B133" s="51">
        <v>2023.1</v>
      </c>
      <c r="C133" s="53">
        <f>(Table26[[#This Row],[M2 Money Stock, Billions of Dollars, Weekly, Seasonally Adjusted]]-B132)/B132</f>
        <v>2.4279060549003387E-3</v>
      </c>
      <c r="D133" s="54">
        <f>((1+Table26[[#This Row],[Weekly change]])^52)-1</f>
        <v>0.13439344631462968</v>
      </c>
      <c r="E133" s="57">
        <f>(Table26[[#This Row],[M2 Money Stock, Billions of Dollars, Weekly, Seasonally Adjusted]]-B81)/B81</f>
        <v>0.1239444444444444</v>
      </c>
    </row>
    <row r="134" spans="1:5" x14ac:dyDescent="0.2">
      <c r="A134" s="50">
        <v>30417</v>
      </c>
      <c r="B134" s="51">
        <v>2025.1</v>
      </c>
      <c r="C134" s="53">
        <f>(Table26[[#This Row],[M2 Money Stock, Billions of Dollars, Weekly, Seasonally Adjusted]]-B133)/B133</f>
        <v>9.8858187929415256E-4</v>
      </c>
      <c r="D134" s="54">
        <f>((1+Table26[[#This Row],[Weekly change]])^52)-1</f>
        <v>5.2723762375416428E-2</v>
      </c>
      <c r="E134" s="57">
        <f>(Table26[[#This Row],[M2 Money Stock, Billions of Dollars, Weekly, Seasonally Adjusted]]-B82)/B82</f>
        <v>0.12181475736760462</v>
      </c>
    </row>
    <row r="135" spans="1:5" x14ac:dyDescent="0.2">
      <c r="A135" s="50">
        <v>30424</v>
      </c>
      <c r="B135" s="51">
        <v>2024.5</v>
      </c>
      <c r="C135" s="53">
        <f>(Table26[[#This Row],[M2 Money Stock, Billions of Dollars, Weekly, Seasonally Adjusted]]-B134)/B134</f>
        <v>-2.9628166510291298E-4</v>
      </c>
      <c r="D135" s="54">
        <f>((1+Table26[[#This Row],[Weekly change]])^52)-1</f>
        <v>-1.5290819265616595E-2</v>
      </c>
      <c r="E135" s="57">
        <f>(Table26[[#This Row],[M2 Money Stock, Billions of Dollars, Weekly, Seasonally Adjusted]]-B83)/B83</f>
        <v>0.12055128134167263</v>
      </c>
    </row>
    <row r="136" spans="1:5" x14ac:dyDescent="0.2">
      <c r="A136" s="50">
        <v>30431</v>
      </c>
      <c r="B136" s="51">
        <v>2028.1</v>
      </c>
      <c r="C136" s="53">
        <f>(Table26[[#This Row],[M2 Money Stock, Billions of Dollars, Weekly, Seasonally Adjusted]]-B135)/B135</f>
        <v>1.7782168436650575E-3</v>
      </c>
      <c r="D136" s="54">
        <f>((1+Table26[[#This Row],[Weekly change]])^52)-1</f>
        <v>9.6787179034961257E-2</v>
      </c>
      <c r="E136" s="57">
        <f>(Table26[[#This Row],[M2 Money Stock, Billions of Dollars, Weekly, Seasonally Adjusted]]-B84)/B84</f>
        <v>0.12254386450434486</v>
      </c>
    </row>
    <row r="137" spans="1:5" x14ac:dyDescent="0.2">
      <c r="A137" s="50">
        <v>30438</v>
      </c>
      <c r="B137" s="51">
        <v>2036.3</v>
      </c>
      <c r="C137" s="53">
        <f>(Table26[[#This Row],[M2 Money Stock, Billions of Dollars, Weekly, Seasonally Adjusted]]-B136)/B136</f>
        <v>4.043193136433137E-3</v>
      </c>
      <c r="D137" s="54">
        <f>((1+Table26[[#This Row],[Weekly change]])^52)-1</f>
        <v>0.23345867304529477</v>
      </c>
      <c r="E137" s="57">
        <f>(Table26[[#This Row],[M2 Money Stock, Billions of Dollars, Weekly, Seasonally Adjusted]]-B85)/B85</f>
        <v>0.12770670654039978</v>
      </c>
    </row>
    <row r="138" spans="1:5" x14ac:dyDescent="0.2">
      <c r="A138" s="50">
        <v>30445</v>
      </c>
      <c r="B138" s="51">
        <v>2037.4</v>
      </c>
      <c r="C138" s="53">
        <f>(Table26[[#This Row],[M2 Money Stock, Billions of Dollars, Weekly, Seasonally Adjusted]]-B137)/B137</f>
        <v>5.4019545253653021E-4</v>
      </c>
      <c r="D138" s="54">
        <f>((1+Table26[[#This Row],[Weekly change]])^52)-1</f>
        <v>2.8480611993999094E-2</v>
      </c>
      <c r="E138" s="57">
        <f>(Table26[[#This Row],[M2 Money Stock, Billions of Dollars, Weekly, Seasonally Adjusted]]-B86)/B86</f>
        <v>0.1258219594407913</v>
      </c>
    </row>
    <row r="139" spans="1:5" x14ac:dyDescent="0.2">
      <c r="A139" s="50">
        <v>30452</v>
      </c>
      <c r="B139" s="51">
        <v>2041.4</v>
      </c>
      <c r="C139" s="53">
        <f>(Table26[[#This Row],[M2 Money Stock, Billions of Dollars, Weekly, Seasonally Adjusted]]-B138)/B138</f>
        <v>1.9632865416707567E-3</v>
      </c>
      <c r="D139" s="54">
        <f>((1+Table26[[#This Row],[Weekly change]])^52)-1</f>
        <v>0.10737329968059628</v>
      </c>
      <c r="E139" s="57">
        <f>(Table26[[#This Row],[M2 Money Stock, Billions of Dollars, Weekly, Seasonally Adjusted]]-B87)/B87</f>
        <v>0.12653827051487235</v>
      </c>
    </row>
    <row r="140" spans="1:5" x14ac:dyDescent="0.2">
      <c r="A140" s="50">
        <v>30459</v>
      </c>
      <c r="B140" s="51">
        <v>2042.5</v>
      </c>
      <c r="C140" s="53">
        <f>(Table26[[#This Row],[M2 Money Stock, Billions of Dollars, Weekly, Seasonally Adjusted]]-B139)/B139</f>
        <v>5.3884589007539385E-4</v>
      </c>
      <c r="D140" s="54">
        <f>((1+Table26[[#This Row],[Weekly change]])^52)-1</f>
        <v>2.8408477504224816E-2</v>
      </c>
      <c r="E140" s="57">
        <f>(Table26[[#This Row],[M2 Money Stock, Billions of Dollars, Weekly, Seasonally Adjusted]]-B88)/B88</f>
        <v>0.12441508395265621</v>
      </c>
    </row>
    <row r="141" spans="1:5" x14ac:dyDescent="0.2">
      <c r="A141" s="50">
        <v>30466</v>
      </c>
      <c r="B141" s="51">
        <v>2044.8</v>
      </c>
      <c r="C141" s="53">
        <f>(Table26[[#This Row],[M2 Money Stock, Billions of Dollars, Weekly, Seasonally Adjusted]]-B140)/B140</f>
        <v>1.1260709914320463E-3</v>
      </c>
      <c r="D141" s="54">
        <f>((1+Table26[[#This Row],[Weekly change]])^52)-1</f>
        <v>6.0269103733745943E-2</v>
      </c>
      <c r="E141" s="57">
        <f>(Table26[[#This Row],[M2 Money Stock, Billions of Dollars, Weekly, Seasonally Adjusted]]-B89)/B89</f>
        <v>0.12289950576606258</v>
      </c>
    </row>
    <row r="142" spans="1:5" x14ac:dyDescent="0.2">
      <c r="A142" s="50">
        <v>30473</v>
      </c>
      <c r="B142" s="51">
        <v>2049.1</v>
      </c>
      <c r="C142" s="53">
        <f>(Table26[[#This Row],[M2 Money Stock, Billions of Dollars, Weekly, Seasonally Adjusted]]-B141)/B141</f>
        <v>2.1028951486697744E-3</v>
      </c>
      <c r="D142" s="54">
        <f>((1+Table26[[#This Row],[Weekly change]])^52)-1</f>
        <v>0.11542526111165641</v>
      </c>
      <c r="E142" s="57">
        <f>(Table26[[#This Row],[M2 Money Stock, Billions of Dollars, Weekly, Seasonally Adjusted]]-B90)/B90</f>
        <v>0.12402633022490396</v>
      </c>
    </row>
    <row r="143" spans="1:5" x14ac:dyDescent="0.2">
      <c r="A143" s="50">
        <v>30480</v>
      </c>
      <c r="B143" s="51">
        <v>2052.6</v>
      </c>
      <c r="C143" s="53">
        <f>(Table26[[#This Row],[M2 Money Stock, Billions of Dollars, Weekly, Seasonally Adjusted]]-B142)/B142</f>
        <v>1.7080669562246841E-3</v>
      </c>
      <c r="D143" s="54">
        <f>((1+Table26[[#This Row],[Weekly change]])^52)-1</f>
        <v>9.2800550055139208E-2</v>
      </c>
      <c r="E143" s="57">
        <f>(Table26[[#This Row],[M2 Money Stock, Billions of Dollars, Weekly, Seasonally Adjusted]]-B91)/B91</f>
        <v>0.12409638554216862</v>
      </c>
    </row>
    <row r="144" spans="1:5" x14ac:dyDescent="0.2">
      <c r="A144" s="50">
        <v>30487</v>
      </c>
      <c r="B144" s="51">
        <v>2052.6</v>
      </c>
      <c r="C144" s="53">
        <f>(Table26[[#This Row],[M2 Money Stock, Billions of Dollars, Weekly, Seasonally Adjusted]]-B143)/B143</f>
        <v>0</v>
      </c>
      <c r="D144" s="54">
        <f>((1+Table26[[#This Row],[Weekly change]])^52)-1</f>
        <v>0</v>
      </c>
      <c r="E144" s="57">
        <f>(Table26[[#This Row],[M2 Money Stock, Billions of Dollars, Weekly, Seasonally Adjusted]]-B92)/B92</f>
        <v>0.12378866684916502</v>
      </c>
    </row>
    <row r="145" spans="1:5" x14ac:dyDescent="0.2">
      <c r="A145" s="50">
        <v>30494</v>
      </c>
      <c r="B145" s="51">
        <v>2054.5</v>
      </c>
      <c r="C145" s="53">
        <f>(Table26[[#This Row],[M2 Money Stock, Billions of Dollars, Weekly, Seasonally Adjusted]]-B144)/B144</f>
        <v>9.2565526649132375E-4</v>
      </c>
      <c r="D145" s="54">
        <f>((1+Table26[[#This Row],[Weekly change]])^52)-1</f>
        <v>4.928796946094649E-2</v>
      </c>
      <c r="E145" s="57">
        <f>(Table26[[#This Row],[M2 Money Stock, Billions of Dollars, Weekly, Seasonally Adjusted]]-B93)/B93</f>
        <v>0.1260002192261318</v>
      </c>
    </row>
    <row r="146" spans="1:5" x14ac:dyDescent="0.2">
      <c r="A146" s="50">
        <v>30501</v>
      </c>
      <c r="B146" s="51">
        <v>2060.3000000000002</v>
      </c>
      <c r="C146" s="53">
        <f>(Table26[[#This Row],[M2 Money Stock, Billions of Dollars, Weekly, Seasonally Adjusted]]-B145)/B145</f>
        <v>2.8230713068874091E-3</v>
      </c>
      <c r="D146" s="54">
        <f>((1+Table26[[#This Row],[Weekly change]])^52)-1</f>
        <v>0.15788247469231198</v>
      </c>
      <c r="E146" s="57">
        <f>(Table26[[#This Row],[M2 Money Stock, Billions of Dollars, Weekly, Seasonally Adjusted]]-B94)/B94</f>
        <v>0.12738714090287287</v>
      </c>
    </row>
    <row r="147" spans="1:5" x14ac:dyDescent="0.2">
      <c r="A147" s="50">
        <v>30508</v>
      </c>
      <c r="B147" s="51">
        <v>2065.1</v>
      </c>
      <c r="C147" s="53">
        <f>(Table26[[#This Row],[M2 Money Stock, Billions of Dollars, Weekly, Seasonally Adjusted]]-B146)/B146</f>
        <v>2.3297578022616738E-3</v>
      </c>
      <c r="D147" s="54">
        <f>((1+Table26[[#This Row],[Weekly change]])^52)-1</f>
        <v>0.12863225123552091</v>
      </c>
      <c r="E147" s="57">
        <f>(Table26[[#This Row],[M2 Money Stock, Billions of Dollars, Weekly, Seasonally Adjusted]]-B95)/B95</f>
        <v>0.12927216055121116</v>
      </c>
    </row>
    <row r="148" spans="1:5" x14ac:dyDescent="0.2">
      <c r="A148" s="50">
        <v>30515</v>
      </c>
      <c r="B148" s="51">
        <v>2065.3000000000002</v>
      </c>
      <c r="C148" s="53">
        <f>(Table26[[#This Row],[M2 Money Stock, Billions of Dollars, Weekly, Seasonally Adjusted]]-B147)/B147</f>
        <v>9.6847610285348342E-5</v>
      </c>
      <c r="D148" s="54">
        <f>((1+Table26[[#This Row],[Weekly change]])^52)-1</f>
        <v>5.0485329972937976E-3</v>
      </c>
      <c r="E148" s="57">
        <f>(Table26[[#This Row],[M2 Money Stock, Billions of Dollars, Weekly, Seasonally Adjusted]]-B96)/B96</f>
        <v>0.12833260489510495</v>
      </c>
    </row>
    <row r="149" spans="1:5" x14ac:dyDescent="0.2">
      <c r="A149" s="50">
        <v>30522</v>
      </c>
      <c r="B149" s="51">
        <v>2068.3000000000002</v>
      </c>
      <c r="C149" s="53">
        <f>(Table26[[#This Row],[M2 Money Stock, Billions of Dollars, Weekly, Seasonally Adjusted]]-B148)/B148</f>
        <v>1.452573476008328E-3</v>
      </c>
      <c r="D149" s="54">
        <f>((1+Table26[[#This Row],[Weekly change]])^52)-1</f>
        <v>7.8400596820288104E-2</v>
      </c>
      <c r="E149" s="57">
        <f>(Table26[[#This Row],[M2 Money Stock, Billions of Dollars, Weekly, Seasonally Adjusted]]-B97)/B97</f>
        <v>0.12763057463744418</v>
      </c>
    </row>
    <row r="150" spans="1:5" x14ac:dyDescent="0.2">
      <c r="A150" s="50">
        <v>30529</v>
      </c>
      <c r="B150" s="51">
        <v>2070.8000000000002</v>
      </c>
      <c r="C150" s="53">
        <f>(Table26[[#This Row],[M2 Money Stock, Billions of Dollars, Weekly, Seasonally Adjusted]]-B149)/B149</f>
        <v>1.2087221389546969E-3</v>
      </c>
      <c r="D150" s="54">
        <f>((1+Table26[[#This Row],[Weekly change]])^52)-1</f>
        <v>6.4830461669334927E-2</v>
      </c>
      <c r="E150" s="57">
        <f>(Table26[[#This Row],[M2 Money Stock, Billions of Dollars, Weekly, Seasonally Adjusted]]-B98)/B98</f>
        <v>0.12727272727272737</v>
      </c>
    </row>
    <row r="151" spans="1:5" x14ac:dyDescent="0.2">
      <c r="A151" s="50">
        <v>30536</v>
      </c>
      <c r="B151" s="51">
        <v>2069.6999999999998</v>
      </c>
      <c r="C151" s="53">
        <f>(Table26[[#This Row],[M2 Money Stock, Billions of Dollars, Weekly, Seasonally Adjusted]]-B150)/B150</f>
        <v>-5.3119567316996512E-4</v>
      </c>
      <c r="D151" s="54">
        <f>((1+Table26[[#This Row],[Weekly change]])^52)-1</f>
        <v>-2.725131017309812E-2</v>
      </c>
      <c r="E151" s="57">
        <f>(Table26[[#This Row],[M2 Money Stock, Billions of Dollars, Weekly, Seasonally Adjusted]]-B99)/B99</f>
        <v>0.12416490141763072</v>
      </c>
    </row>
    <row r="152" spans="1:5" x14ac:dyDescent="0.2">
      <c r="A152" s="50">
        <v>30543</v>
      </c>
      <c r="B152" s="51">
        <v>2072.1</v>
      </c>
      <c r="C152" s="53">
        <f>(Table26[[#This Row],[M2 Money Stock, Billions of Dollars, Weekly, Seasonally Adjusted]]-B151)/B151</f>
        <v>1.1595883461371654E-3</v>
      </c>
      <c r="D152" s="54">
        <f>((1+Table26[[#This Row],[Weekly change]])^52)-1</f>
        <v>6.2116547523267451E-2</v>
      </c>
      <c r="E152" s="57">
        <f>(Table26[[#This Row],[M2 Money Stock, Billions of Dollars, Weekly, Seasonally Adjusted]]-B100)/B100</f>
        <v>0.12242023725692</v>
      </c>
    </row>
    <row r="153" spans="1:5" x14ac:dyDescent="0.2">
      <c r="A153" s="50">
        <v>30550</v>
      </c>
      <c r="B153" s="51">
        <v>2072.9</v>
      </c>
      <c r="C153" s="53">
        <f>(Table26[[#This Row],[M2 Money Stock, Billions of Dollars, Weekly, Seasonally Adjusted]]-B152)/B152</f>
        <v>3.8608175281124556E-4</v>
      </c>
      <c r="D153" s="54">
        <f>((1+Table26[[#This Row],[Weekly change]])^52)-1</f>
        <v>2.0275181409644905E-2</v>
      </c>
      <c r="E153" s="57">
        <f>(Table26[[#This Row],[M2 Money Stock, Billions of Dollars, Weekly, Seasonally Adjusted]]-B101)/B101</f>
        <v>0.12054705659765393</v>
      </c>
    </row>
    <row r="154" spans="1:5" x14ac:dyDescent="0.2">
      <c r="A154" s="50">
        <v>30557</v>
      </c>
      <c r="B154" s="51">
        <v>2073.5</v>
      </c>
      <c r="C154" s="53">
        <f>(Table26[[#This Row],[M2 Money Stock, Billions of Dollars, Weekly, Seasonally Adjusted]]-B153)/B153</f>
        <v>2.8944956341353127E-4</v>
      </c>
      <c r="D154" s="54">
        <f>((1+Table26[[#This Row],[Weekly change]])^52)-1</f>
        <v>1.5163008808651179E-2</v>
      </c>
      <c r="E154" s="57">
        <f>(Table26[[#This Row],[M2 Money Stock, Billions of Dollars, Weekly, Seasonally Adjusted]]-B102)/B102</f>
        <v>0.11875472105319947</v>
      </c>
    </row>
    <row r="155" spans="1:5" x14ac:dyDescent="0.2">
      <c r="A155" s="50">
        <v>30564</v>
      </c>
      <c r="B155" s="51">
        <v>2077.1999999999998</v>
      </c>
      <c r="C155" s="53">
        <f>(Table26[[#This Row],[M2 Money Stock, Billions of Dollars, Weekly, Seasonally Adjusted]]-B154)/B154</f>
        <v>1.7844224740775588E-3</v>
      </c>
      <c r="D155" s="54">
        <f>((1+Table26[[#This Row],[Weekly change]])^52)-1</f>
        <v>9.7140531915139494E-2</v>
      </c>
      <c r="E155" s="57">
        <f>(Table26[[#This Row],[M2 Money Stock, Billions of Dollars, Weekly, Seasonally Adjusted]]-B103)/B103</f>
        <v>0.11924133843418272</v>
      </c>
    </row>
    <row r="156" spans="1:5" x14ac:dyDescent="0.2">
      <c r="A156" s="50">
        <v>30571</v>
      </c>
      <c r="B156" s="51">
        <v>2077.3000000000002</v>
      </c>
      <c r="C156" s="53">
        <f>(Table26[[#This Row],[M2 Money Stock, Billions of Dollars, Weekly, Seasonally Adjusted]]-B155)/B155</f>
        <v>4.8141729251089839E-5</v>
      </c>
      <c r="D156" s="54">
        <f>((1+Table26[[#This Row],[Weekly change]])^52)-1</f>
        <v>2.5064455605081637E-3</v>
      </c>
      <c r="E156" s="57">
        <f>(Table26[[#This Row],[M2 Money Stock, Billions of Dollars, Weekly, Seasonally Adjusted]]-B104)/B104</f>
        <v>0.11730851979345962</v>
      </c>
    </row>
    <row r="157" spans="1:5" x14ac:dyDescent="0.2">
      <c r="A157" s="50">
        <v>30578</v>
      </c>
      <c r="B157" s="51">
        <v>2079.1999999999998</v>
      </c>
      <c r="C157" s="53">
        <f>(Table26[[#This Row],[M2 Money Stock, Billions of Dollars, Weekly, Seasonally Adjusted]]-B156)/B156</f>
        <v>9.1464882299120785E-4</v>
      </c>
      <c r="D157" s="54">
        <f>((1+Table26[[#This Row],[Weekly change]])^52)-1</f>
        <v>4.86881487576869E-2</v>
      </c>
      <c r="E157" s="57">
        <f>(Table26[[#This Row],[M2 Money Stock, Billions of Dollars, Weekly, Seasonally Adjusted]]-B105)/B105</f>
        <v>0.11712873415001063</v>
      </c>
    </row>
    <row r="158" spans="1:5" x14ac:dyDescent="0.2">
      <c r="A158" s="50">
        <v>30585</v>
      </c>
      <c r="B158" s="51">
        <v>2084</v>
      </c>
      <c r="C158" s="53">
        <f>(Table26[[#This Row],[M2 Money Stock, Billions of Dollars, Weekly, Seasonally Adjusted]]-B157)/B157</f>
        <v>2.3085802231628426E-3</v>
      </c>
      <c r="D158" s="54">
        <f>((1+Table26[[#This Row],[Weekly change]])^52)-1</f>
        <v>0.12739291964072996</v>
      </c>
      <c r="E158" s="57">
        <f>(Table26[[#This Row],[M2 Money Stock, Billions of Dollars, Weekly, Seasonally Adjusted]]-B106)/B106</f>
        <v>0.12036987258749535</v>
      </c>
    </row>
    <row r="159" spans="1:5" x14ac:dyDescent="0.2">
      <c r="A159" s="50">
        <v>30592</v>
      </c>
      <c r="B159" s="51">
        <v>2087</v>
      </c>
      <c r="C159" s="53">
        <f>(Table26[[#This Row],[M2 Money Stock, Billions of Dollars, Weekly, Seasonally Adjusted]]-B158)/B158</f>
        <v>1.4395393474088292E-3</v>
      </c>
      <c r="D159" s="54">
        <f>((1+Table26[[#This Row],[Weekly change]])^52)-1</f>
        <v>7.7670986534344122E-2</v>
      </c>
      <c r="E159" s="57">
        <f>(Table26[[#This Row],[M2 Money Stock, Billions of Dollars, Weekly, Seasonally Adjusted]]-B107)/B107</f>
        <v>0.11969526262138522</v>
      </c>
    </row>
    <row r="160" spans="1:5" x14ac:dyDescent="0.2">
      <c r="A160" s="50">
        <v>30599</v>
      </c>
      <c r="B160" s="51">
        <v>2093.1</v>
      </c>
      <c r="C160" s="53">
        <f>(Table26[[#This Row],[M2 Money Stock, Billions of Dollars, Weekly, Seasonally Adjusted]]-B159)/B159</f>
        <v>2.9228557738380013E-3</v>
      </c>
      <c r="D160" s="54">
        <f>((1+Table26[[#This Row],[Weekly change]])^52)-1</f>
        <v>0.16388879974107007</v>
      </c>
      <c r="E160" s="57">
        <f>(Table26[[#This Row],[M2 Money Stock, Billions of Dollars, Weekly, Seasonally Adjusted]]-B108)/B108</f>
        <v>0.12200482444384879</v>
      </c>
    </row>
    <row r="161" spans="1:5" x14ac:dyDescent="0.2">
      <c r="A161" s="50">
        <v>30606</v>
      </c>
      <c r="B161" s="51">
        <v>2095.5</v>
      </c>
      <c r="C161" s="53">
        <f>(Table26[[#This Row],[M2 Money Stock, Billions of Dollars, Weekly, Seasonally Adjusted]]-B160)/B160</f>
        <v>1.1466246237638389E-3</v>
      </c>
      <c r="D161" s="54">
        <f>((1+Table26[[#This Row],[Weekly change]])^52)-1</f>
        <v>6.1401625729878395E-2</v>
      </c>
      <c r="E161" s="57">
        <f>(Table26[[#This Row],[M2 Money Stock, Billions of Dollars, Weekly, Seasonally Adjusted]]-B109)/B109</f>
        <v>0.1210078639062751</v>
      </c>
    </row>
    <row r="162" spans="1:5" x14ac:dyDescent="0.2">
      <c r="A162" s="50">
        <v>30613</v>
      </c>
      <c r="B162" s="51">
        <v>2099.6</v>
      </c>
      <c r="C162" s="53">
        <f>(Table26[[#This Row],[M2 Money Stock, Billions of Dollars, Weekly, Seasonally Adjusted]]-B161)/B161</f>
        <v>1.9565736101168738E-3</v>
      </c>
      <c r="D162" s="54">
        <f>((1+Table26[[#This Row],[Weekly change]])^52)-1</f>
        <v>0.10698756951194888</v>
      </c>
      <c r="E162" s="57">
        <f>(Table26[[#This Row],[M2 Money Stock, Billions of Dollars, Weekly, Seasonally Adjusted]]-B110)/B110</f>
        <v>0.12074303405572745</v>
      </c>
    </row>
    <row r="163" spans="1:5" x14ac:dyDescent="0.2">
      <c r="A163" s="50">
        <v>30620</v>
      </c>
      <c r="B163" s="51">
        <v>2102.9</v>
      </c>
      <c r="C163" s="53">
        <f>(Table26[[#This Row],[M2 Money Stock, Billions of Dollars, Weekly, Seasonally Adjusted]]-B162)/B162</f>
        <v>1.5717279481806926E-3</v>
      </c>
      <c r="D163" s="54">
        <f>((1+Table26[[#This Row],[Weekly change]])^52)-1</f>
        <v>8.5092993895082625E-2</v>
      </c>
      <c r="E163" s="57">
        <f>(Table26[[#This Row],[M2 Money Stock, Billions of Dollars, Weekly, Seasonally Adjusted]]-B111)/B111</f>
        <v>0.11927826272088575</v>
      </c>
    </row>
    <row r="164" spans="1:5" x14ac:dyDescent="0.2">
      <c r="A164" s="50">
        <v>30627</v>
      </c>
      <c r="B164" s="51">
        <v>2102.8000000000002</v>
      </c>
      <c r="C164" s="53">
        <f>(Table26[[#This Row],[M2 Money Stock, Billions of Dollars, Weekly, Seasonally Adjusted]]-B163)/B163</f>
        <v>-4.7553378667511081E-5</v>
      </c>
      <c r="D164" s="54">
        <f>((1+Table26[[#This Row],[Weekly change]])^52)-1</f>
        <v>-2.4697795504284858E-3</v>
      </c>
      <c r="E164" s="57">
        <f>(Table26[[#This Row],[M2 Money Stock, Billions of Dollars, Weekly, Seasonally Adjusted]]-B112)/B112</f>
        <v>0.11767832465185504</v>
      </c>
    </row>
    <row r="165" spans="1:5" x14ac:dyDescent="0.2">
      <c r="A165" s="50">
        <v>30634</v>
      </c>
      <c r="B165" s="51">
        <v>2104.1999999999998</v>
      </c>
      <c r="C165" s="53">
        <f>(Table26[[#This Row],[M2 Money Stock, Billions of Dollars, Weekly, Seasonally Adjusted]]-B164)/B164</f>
        <v>6.6577896138464714E-4</v>
      </c>
      <c r="D165" s="54">
        <f>((1+Table26[[#This Row],[Weekly change]])^52)-1</f>
        <v>3.5214846466599781E-2</v>
      </c>
      <c r="E165" s="57">
        <f>(Table26[[#This Row],[M2 Money Stock, Billions of Dollars, Weekly, Seasonally Adjusted]]-B113)/B113</f>
        <v>0.11628647214854101</v>
      </c>
    </row>
    <row r="166" spans="1:5" x14ac:dyDescent="0.2">
      <c r="A166" s="50">
        <v>30641</v>
      </c>
      <c r="B166" s="51">
        <v>2105.1</v>
      </c>
      <c r="C166" s="53">
        <f>(Table26[[#This Row],[M2 Money Stock, Billions of Dollars, Weekly, Seasonally Adjusted]]-B165)/B165</f>
        <v>4.2771599657831527E-4</v>
      </c>
      <c r="D166" s="54">
        <f>((1+Table26[[#This Row],[Weekly change]])^52)-1</f>
        <v>2.2485549904890378E-2</v>
      </c>
      <c r="E166" s="57">
        <f>(Table26[[#This Row],[M2 Money Stock, Billions of Dollars, Weekly, Seasonally Adjusted]]-B114)/B114</f>
        <v>0.1152256834075016</v>
      </c>
    </row>
    <row r="167" spans="1:5" x14ac:dyDescent="0.2">
      <c r="A167" s="50">
        <v>30648</v>
      </c>
      <c r="B167" s="51">
        <v>2107.8000000000002</v>
      </c>
      <c r="C167" s="53">
        <f>(Table26[[#This Row],[M2 Money Stock, Billions of Dollars, Weekly, Seasonally Adjusted]]-B166)/B166</f>
        <v>1.2825994014537424E-3</v>
      </c>
      <c r="D167" s="54">
        <f>((1+Table26[[#This Row],[Weekly change]])^52)-1</f>
        <v>6.8923891810364513E-2</v>
      </c>
      <c r="E167" s="57">
        <f>(Table26[[#This Row],[M2 Money Stock, Billions of Dollars, Weekly, Seasonally Adjusted]]-B115)/B115</f>
        <v>0.11612390786338374</v>
      </c>
    </row>
    <row r="168" spans="1:5" x14ac:dyDescent="0.2">
      <c r="A168" s="50">
        <v>30655</v>
      </c>
      <c r="B168" s="51">
        <v>2112.9</v>
      </c>
      <c r="C168" s="53">
        <f>(Table26[[#This Row],[M2 Money Stock, Billions of Dollars, Weekly, Seasonally Adjusted]]-B167)/B167</f>
        <v>2.4195844007969961E-3</v>
      </c>
      <c r="D168" s="54">
        <f>((1+Table26[[#This Row],[Weekly change]])^52)-1</f>
        <v>0.13390385733651455</v>
      </c>
      <c r="E168" s="57">
        <f>(Table26[[#This Row],[M2 Money Stock, Billions of Dollars, Weekly, Seasonally Adjusted]]-B116)/B116</f>
        <v>0.11693186023153779</v>
      </c>
    </row>
    <row r="169" spans="1:5" x14ac:dyDescent="0.2">
      <c r="A169" s="50">
        <v>30662</v>
      </c>
      <c r="B169" s="51">
        <v>2117.6999999999998</v>
      </c>
      <c r="C169" s="53">
        <f>(Table26[[#This Row],[M2 Money Stock, Billions of Dollars, Weekly, Seasonally Adjusted]]-B168)/B168</f>
        <v>2.2717591935253571E-3</v>
      </c>
      <c r="D169" s="54">
        <f>((1+Table26[[#This Row],[Weekly change]])^52)-1</f>
        <v>0.12524129578865151</v>
      </c>
      <c r="E169" s="57">
        <f>(Table26[[#This Row],[M2 Money Stock, Billions of Dollars, Weekly, Seasonally Adjusted]]-B117)/B117</f>
        <v>0.11911430534270458</v>
      </c>
    </row>
    <row r="170" spans="1:5" x14ac:dyDescent="0.2">
      <c r="A170" s="50">
        <v>30669</v>
      </c>
      <c r="B170" s="51">
        <v>2121.1</v>
      </c>
      <c r="C170" s="53">
        <f>(Table26[[#This Row],[M2 Money Stock, Billions of Dollars, Weekly, Seasonally Adjusted]]-B169)/B169</f>
        <v>1.605515417670157E-3</v>
      </c>
      <c r="D170" s="54">
        <f>((1+Table26[[#This Row],[Weekly change]])^52)-1</f>
        <v>8.6998092918785463E-2</v>
      </c>
      <c r="E170" s="57">
        <f>(Table26[[#This Row],[M2 Money Stock, Billions of Dollars, Weekly, Seasonally Adjusted]]-B118)/B118</f>
        <v>0.11058170584847364</v>
      </c>
    </row>
    <row r="171" spans="1:5" x14ac:dyDescent="0.2">
      <c r="A171" s="50">
        <v>30676</v>
      </c>
      <c r="B171" s="51">
        <v>2122.6</v>
      </c>
      <c r="C171" s="53">
        <f>(Table26[[#This Row],[M2 Money Stock, Billions of Dollars, Weekly, Seasonally Adjusted]]-B170)/B170</f>
        <v>7.0718023666965259E-4</v>
      </c>
      <c r="D171" s="54">
        <f>((1+Table26[[#This Row],[Weekly change]])^52)-1</f>
        <v>3.7444394198007602E-2</v>
      </c>
      <c r="E171" s="57">
        <f>(Table26[[#This Row],[M2 Money Stock, Billions of Dollars, Weekly, Seasonally Adjusted]]-B119)/B119</f>
        <v>0.10696219035202081</v>
      </c>
    </row>
    <row r="172" spans="1:5" x14ac:dyDescent="0.2">
      <c r="A172" s="50">
        <v>30683</v>
      </c>
      <c r="B172" s="51">
        <v>2127.6</v>
      </c>
      <c r="C172" s="53">
        <f>(Table26[[#This Row],[M2 Money Stock, Billions of Dollars, Weekly, Seasonally Adjusted]]-B171)/B171</f>
        <v>2.3556016206539151E-3</v>
      </c>
      <c r="D172" s="54">
        <f>((1+Table26[[#This Row],[Weekly change]])^52)-1</f>
        <v>0.1301464658291922</v>
      </c>
      <c r="E172" s="57">
        <f>(Table26[[#This Row],[M2 Money Stock, Billions of Dollars, Weekly, Seasonally Adjusted]]-B120)/B120</f>
        <v>0.10409963674104822</v>
      </c>
    </row>
    <row r="173" spans="1:5" x14ac:dyDescent="0.2">
      <c r="A173" s="50">
        <v>30690</v>
      </c>
      <c r="B173" s="51">
        <v>2133.4</v>
      </c>
      <c r="C173" s="53">
        <f>(Table26[[#This Row],[M2 Money Stock, Billions of Dollars, Weekly, Seasonally Adjusted]]-B172)/B172</f>
        <v>2.7260763301373294E-3</v>
      </c>
      <c r="D173" s="54">
        <f>((1+Table26[[#This Row],[Weekly change]])^52)-1</f>
        <v>0.15207319871631486</v>
      </c>
      <c r="E173" s="57">
        <f>(Table26[[#This Row],[M2 Money Stock, Billions of Dollars, Weekly, Seasonally Adjusted]]-B121)/B121</f>
        <v>9.7879785920131759E-2</v>
      </c>
    </row>
    <row r="174" spans="1:5" x14ac:dyDescent="0.2">
      <c r="A174" s="50">
        <v>30697</v>
      </c>
      <c r="B174" s="51">
        <v>2137.6999999999998</v>
      </c>
      <c r="C174" s="53">
        <f>(Table26[[#This Row],[M2 Money Stock, Billions of Dollars, Weekly, Seasonally Adjusted]]-B173)/B173</f>
        <v>2.0155620136869442E-3</v>
      </c>
      <c r="D174" s="54">
        <f>((1+Table26[[#This Row],[Weekly change]])^52)-1</f>
        <v>0.11038160183480872</v>
      </c>
      <c r="E174" s="57">
        <f>(Table26[[#This Row],[M2 Money Stock, Billions of Dollars, Weekly, Seasonally Adjusted]]-B122)/B122</f>
        <v>9.3117201881775372E-2</v>
      </c>
    </row>
    <row r="175" spans="1:5" x14ac:dyDescent="0.2">
      <c r="A175" s="50">
        <v>30704</v>
      </c>
      <c r="B175" s="51">
        <v>2140</v>
      </c>
      <c r="C175" s="53">
        <f>(Table26[[#This Row],[M2 Money Stock, Billions of Dollars, Weekly, Seasonally Adjusted]]-B174)/B174</f>
        <v>1.0759227206811911E-3</v>
      </c>
      <c r="D175" s="54">
        <f>((1+Table26[[#This Row],[Weekly change]])^52)-1</f>
        <v>5.7510864024171049E-2</v>
      </c>
      <c r="E175" s="57">
        <f>(Table26[[#This Row],[M2 Money Stock, Billions of Dollars, Weekly, Seasonally Adjusted]]-B123)/B123</f>
        <v>8.8892281076680429E-2</v>
      </c>
    </row>
    <row r="176" spans="1:5" x14ac:dyDescent="0.2">
      <c r="A176" s="50">
        <v>30711</v>
      </c>
      <c r="B176" s="51">
        <v>2140.6999999999998</v>
      </c>
      <c r="C176" s="53">
        <f>(Table26[[#This Row],[M2 Money Stock, Billions of Dollars, Weekly, Seasonally Adjusted]]-B175)/B175</f>
        <v>3.2710280373823277E-4</v>
      </c>
      <c r="D176" s="54">
        <f>((1+Table26[[#This Row],[Weekly change]])^52)-1</f>
        <v>1.7151999396134432E-2</v>
      </c>
      <c r="E176" s="57">
        <f>(Table26[[#This Row],[M2 Money Stock, Billions of Dollars, Weekly, Seasonally Adjusted]]-B124)/B124</f>
        <v>8.33502024291497E-2</v>
      </c>
    </row>
    <row r="177" spans="1:5" x14ac:dyDescent="0.2">
      <c r="A177" s="50">
        <v>30718</v>
      </c>
      <c r="B177" s="51">
        <v>2152.1</v>
      </c>
      <c r="C177" s="53">
        <f>(Table26[[#This Row],[M2 Money Stock, Billions of Dollars, Weekly, Seasonally Adjusted]]-B176)/B176</f>
        <v>5.3253608632690668E-3</v>
      </c>
      <c r="D177" s="54">
        <f>((1+Table26[[#This Row],[Weekly change]])^52)-1</f>
        <v>0.31809040469210936</v>
      </c>
      <c r="E177" s="57">
        <f>(Table26[[#This Row],[M2 Money Stock, Billions of Dollars, Weekly, Seasonally Adjusted]]-B125)/B125</f>
        <v>8.3362698212937278E-2</v>
      </c>
    </row>
    <row r="178" spans="1:5" x14ac:dyDescent="0.2">
      <c r="A178" s="50">
        <v>30725</v>
      </c>
      <c r="B178" s="51">
        <v>2164.5</v>
      </c>
      <c r="C178" s="53">
        <f>(Table26[[#This Row],[M2 Money Stock, Billions of Dollars, Weekly, Seasonally Adjusted]]-B177)/B177</f>
        <v>5.7618140420984581E-3</v>
      </c>
      <c r="D178" s="54">
        <f>((1+Table26[[#This Row],[Weekly change]])^52)-1</f>
        <v>0.34817856519871726</v>
      </c>
      <c r="E178" s="57">
        <f>(Table26[[#This Row],[M2 Money Stock, Billions of Dollars, Weekly, Seasonally Adjusted]]-B126)/B126</f>
        <v>8.5996688575585817E-2</v>
      </c>
    </row>
    <row r="179" spans="1:5" x14ac:dyDescent="0.2">
      <c r="A179" s="50">
        <v>30732</v>
      </c>
      <c r="B179" s="51">
        <v>2137.6999999999998</v>
      </c>
      <c r="C179" s="53">
        <f>(Table26[[#This Row],[M2 Money Stock, Billions of Dollars, Weekly, Seasonally Adjusted]]-B178)/B178</f>
        <v>-1.2381612381612466E-2</v>
      </c>
      <c r="D179" s="54">
        <f>((1+Table26[[#This Row],[Weekly change]])^52)-1</f>
        <v>-0.47683740086792614</v>
      </c>
      <c r="E179" s="57">
        <f>(Table26[[#This Row],[M2 Money Stock, Billions of Dollars, Weekly, Seasonally Adjusted]]-B127)/B127</f>
        <v>6.9705764611689217E-2</v>
      </c>
    </row>
    <row r="180" spans="1:5" x14ac:dyDescent="0.2">
      <c r="A180" s="50">
        <v>30739</v>
      </c>
      <c r="B180" s="51">
        <v>2129.1999999999998</v>
      </c>
      <c r="C180" s="53">
        <f>(Table26[[#This Row],[M2 Money Stock, Billions of Dollars, Weekly, Seasonally Adjusted]]-B179)/B179</f>
        <v>-3.9762361416475654E-3</v>
      </c>
      <c r="D180" s="54">
        <f>((1+Table26[[#This Row],[Weekly change]])^52)-1</f>
        <v>-0.1871237898819057</v>
      </c>
      <c r="E180" s="57">
        <f>(Table26[[#This Row],[M2 Money Stock, Billions of Dollars, Weekly, Seasonally Adjusted]]-B128)/B128</f>
        <v>6.1945137157107144E-2</v>
      </c>
    </row>
    <row r="181" spans="1:5" x14ac:dyDescent="0.2">
      <c r="A181" s="50">
        <v>30746</v>
      </c>
      <c r="B181" s="51">
        <v>2147.6999999999998</v>
      </c>
      <c r="C181" s="53">
        <f>(Table26[[#This Row],[M2 Money Stock, Billions of Dollars, Weekly, Seasonally Adjusted]]-B180)/B180</f>
        <v>8.6887093744129253E-3</v>
      </c>
      <c r="D181" s="54">
        <f>((1+Table26[[#This Row],[Weekly change]])^52)-1</f>
        <v>0.56809475114025076</v>
      </c>
      <c r="E181" s="57">
        <f>(Table26[[#This Row],[M2 Money Stock, Billions of Dollars, Weekly, Seasonally Adjusted]]-B129)/B129</f>
        <v>6.8613792417155872E-2</v>
      </c>
    </row>
    <row r="182" spans="1:5" x14ac:dyDescent="0.2">
      <c r="A182" s="50">
        <v>30753</v>
      </c>
      <c r="B182" s="51">
        <v>2166.6999999999998</v>
      </c>
      <c r="C182" s="53">
        <f>(Table26[[#This Row],[M2 Money Stock, Billions of Dollars, Weekly, Seasonally Adjusted]]-B181)/B181</f>
        <v>8.8466731852679618E-3</v>
      </c>
      <c r="D182" s="54">
        <f>((1+Table26[[#This Row],[Weekly change]])^52)-1</f>
        <v>0.58091544275786933</v>
      </c>
      <c r="E182" s="57">
        <f>(Table26[[#This Row],[M2 Money Stock, Billions of Dollars, Weekly, Seasonally Adjusted]]-B130)/B130</f>
        <v>7.7584920674391891E-2</v>
      </c>
    </row>
    <row r="183" spans="1:5" x14ac:dyDescent="0.2">
      <c r="A183" s="50">
        <v>30760</v>
      </c>
      <c r="B183" s="51">
        <v>2181.1999999999998</v>
      </c>
      <c r="C183" s="53">
        <f>(Table26[[#This Row],[M2 Money Stock, Billions of Dollars, Weekly, Seasonally Adjusted]]-B182)/B182</f>
        <v>6.6922047353117648E-3</v>
      </c>
      <c r="D183" s="54">
        <f>((1+Table26[[#This Row],[Weekly change]])^52)-1</f>
        <v>0.41458385104827333</v>
      </c>
      <c r="E183" s="57">
        <f>(Table26[[#This Row],[M2 Money Stock, Billions of Dollars, Weekly, Seasonally Adjusted]]-B131)/B131</f>
        <v>8.2427671083320886E-2</v>
      </c>
    </row>
    <row r="184" spans="1:5" x14ac:dyDescent="0.2">
      <c r="A184" s="50">
        <v>30767</v>
      </c>
      <c r="B184" s="51">
        <v>2190.8000000000002</v>
      </c>
      <c r="C184" s="53">
        <f>(Table26[[#This Row],[M2 Money Stock, Billions of Dollars, Weekly, Seasonally Adjusted]]-B183)/B183</f>
        <v>4.4012470199891645E-3</v>
      </c>
      <c r="D184" s="54">
        <f>((1+Table26[[#This Row],[Weekly change]])^52)-1</f>
        <v>0.25654095577835356</v>
      </c>
      <c r="E184" s="57">
        <f>(Table26[[#This Row],[M2 Money Stock, Billions of Dollars, Weekly, Seasonally Adjusted]]-B132)/B132</f>
        <v>8.5521752056287842E-2</v>
      </c>
    </row>
    <row r="185" spans="1:5" x14ac:dyDescent="0.2">
      <c r="A185" s="50">
        <v>30774</v>
      </c>
      <c r="B185" s="51">
        <v>2192.6</v>
      </c>
      <c r="C185" s="53">
        <f>(Table26[[#This Row],[M2 Money Stock, Billions of Dollars, Weekly, Seasonally Adjusted]]-B184)/B184</f>
        <v>8.2161767390894966E-4</v>
      </c>
      <c r="D185" s="54">
        <f>((1+Table26[[#This Row],[Weekly change]])^52)-1</f>
        <v>4.3631624611654152E-2</v>
      </c>
      <c r="E185" s="57">
        <f>(Table26[[#This Row],[M2 Money Stock, Billions of Dollars, Weekly, Seasonally Adjusted]]-B133)/B133</f>
        <v>8.3782314270179431E-2</v>
      </c>
    </row>
    <row r="186" spans="1:5" x14ac:dyDescent="0.2">
      <c r="A186" s="50">
        <v>30781</v>
      </c>
      <c r="B186" s="51">
        <v>2191.8000000000002</v>
      </c>
      <c r="C186" s="53">
        <f>(Table26[[#This Row],[M2 Money Stock, Billions of Dollars, Weekly, Seasonally Adjusted]]-B185)/B185</f>
        <v>-3.648636322173343E-4</v>
      </c>
      <c r="D186" s="54">
        <f>((1+Table26[[#This Row],[Weekly change]])^52)-1</f>
        <v>-1.8797453176192858E-2</v>
      </c>
      <c r="E186" s="57">
        <f>(Table26[[#This Row],[M2 Money Stock, Billions of Dollars, Weekly, Seasonally Adjusted]]-B134)/B134</f>
        <v>8.2316922621105265E-2</v>
      </c>
    </row>
    <row r="187" spans="1:5" x14ac:dyDescent="0.2">
      <c r="A187" s="50">
        <v>30788</v>
      </c>
      <c r="B187" s="51">
        <v>2192.8000000000002</v>
      </c>
      <c r="C187" s="53">
        <f>(Table26[[#This Row],[M2 Money Stock, Billions of Dollars, Weekly, Seasonally Adjusted]]-B186)/B186</f>
        <v>4.562460078474313E-4</v>
      </c>
      <c r="D187" s="54">
        <f>((1+Table26[[#This Row],[Weekly change]])^52)-1</f>
        <v>2.4002923796005549E-2</v>
      </c>
      <c r="E187" s="57">
        <f>(Table26[[#This Row],[M2 Money Stock, Billions of Dollars, Weekly, Seasonally Adjusted]]-B135)/B135</f>
        <v>8.3131637441343637E-2</v>
      </c>
    </row>
    <row r="188" spans="1:5" x14ac:dyDescent="0.2">
      <c r="A188" s="50">
        <v>30795</v>
      </c>
      <c r="B188" s="51">
        <v>2194</v>
      </c>
      <c r="C188" s="53">
        <f>(Table26[[#This Row],[M2 Money Stock, Billions of Dollars, Weekly, Seasonally Adjusted]]-B187)/B187</f>
        <v>5.4724553082808193E-4</v>
      </c>
      <c r="D188" s="54">
        <f>((1+Table26[[#This Row],[Weekly change]])^52)-1</f>
        <v>2.8857521324174407E-2</v>
      </c>
      <c r="E188" s="57">
        <f>(Table26[[#This Row],[M2 Money Stock, Billions of Dollars, Weekly, Seasonally Adjusted]]-B136)/B136</f>
        <v>8.1800700162713916E-2</v>
      </c>
    </row>
    <row r="189" spans="1:5" x14ac:dyDescent="0.2">
      <c r="A189" s="50">
        <v>30802</v>
      </c>
      <c r="B189" s="51">
        <v>2194.6999999999998</v>
      </c>
      <c r="C189" s="53">
        <f>(Table26[[#This Row],[M2 Money Stock, Billions of Dollars, Weekly, Seasonally Adjusted]]-B188)/B188</f>
        <v>3.1905195989052784E-4</v>
      </c>
      <c r="D189" s="54">
        <f>((1+Table26[[#This Row],[Weekly change]])^52)-1</f>
        <v>1.6726401530706481E-2</v>
      </c>
      <c r="E189" s="57">
        <f>(Table26[[#This Row],[M2 Money Stock, Billions of Dollars, Weekly, Seasonally Adjusted]]-B137)/B137</f>
        <v>7.7788145165250636E-2</v>
      </c>
    </row>
    <row r="190" spans="1:5" x14ac:dyDescent="0.2">
      <c r="A190" s="50">
        <v>30809</v>
      </c>
      <c r="B190" s="51">
        <v>2199</v>
      </c>
      <c r="C190" s="53">
        <f>(Table26[[#This Row],[M2 Money Stock, Billions of Dollars, Weekly, Seasonally Adjusted]]-B189)/B189</f>
        <v>1.9592655032579314E-3</v>
      </c>
      <c r="D190" s="54">
        <f>((1+Table26[[#This Row],[Weekly change]])^52)-1</f>
        <v>0.10714223191662064</v>
      </c>
      <c r="E190" s="57">
        <f>(Table26[[#This Row],[M2 Money Stock, Billions of Dollars, Weekly, Seasonally Adjusted]]-B138)/B138</f>
        <v>7.9316776283498522E-2</v>
      </c>
    </row>
    <row r="191" spans="1:5" x14ac:dyDescent="0.2">
      <c r="A191" s="50">
        <v>30816</v>
      </c>
      <c r="B191" s="51">
        <v>2204.9</v>
      </c>
      <c r="C191" s="53">
        <f>(Table26[[#This Row],[M2 Money Stock, Billions of Dollars, Weekly, Seasonally Adjusted]]-B190)/B190</f>
        <v>2.6830377444293273E-3</v>
      </c>
      <c r="D191" s="54">
        <f>((1+Table26[[#This Row],[Weekly change]])^52)-1</f>
        <v>0.14950467343884433</v>
      </c>
      <c r="E191" s="57">
        <f>(Table26[[#This Row],[M2 Money Stock, Billions of Dollars, Weekly, Seasonally Adjusted]]-B139)/B139</f>
        <v>8.0092093661212893E-2</v>
      </c>
    </row>
    <row r="192" spans="1:5" x14ac:dyDescent="0.2">
      <c r="A192" s="50">
        <v>30823</v>
      </c>
      <c r="B192" s="51">
        <v>2207.9</v>
      </c>
      <c r="C192" s="53">
        <f>(Table26[[#This Row],[M2 Money Stock, Billions of Dollars, Weekly, Seasonally Adjusted]]-B191)/B191</f>
        <v>1.3606059231711187E-3</v>
      </c>
      <c r="D192" s="54">
        <f>((1+Table26[[#This Row],[Weekly change]])^52)-1</f>
        <v>7.3262869457589197E-2</v>
      </c>
      <c r="E192" s="57">
        <f>(Table26[[#This Row],[M2 Money Stock, Billions of Dollars, Weekly, Seasonally Adjusted]]-B140)/B140</f>
        <v>8.097919216646271E-2</v>
      </c>
    </row>
    <row r="193" spans="1:5" x14ac:dyDescent="0.2">
      <c r="A193" s="50">
        <v>30830</v>
      </c>
      <c r="B193" s="51">
        <v>2209.3000000000002</v>
      </c>
      <c r="C193" s="53">
        <f>(Table26[[#This Row],[M2 Money Stock, Billions of Dollars, Weekly, Seasonally Adjusted]]-B192)/B192</f>
        <v>6.340866887087689E-4</v>
      </c>
      <c r="D193" s="54">
        <f>((1+Table26[[#This Row],[Weekly change]])^52)-1</f>
        <v>3.3511325543604586E-2</v>
      </c>
      <c r="E193" s="57">
        <f>(Table26[[#This Row],[M2 Money Stock, Billions of Dollars, Weekly, Seasonally Adjusted]]-B141)/B141</f>
        <v>8.0447965571205121E-2</v>
      </c>
    </row>
    <row r="194" spans="1:5" x14ac:dyDescent="0.2">
      <c r="A194" s="50">
        <v>30837</v>
      </c>
      <c r="B194" s="51">
        <v>2214.1999999999998</v>
      </c>
      <c r="C194" s="53">
        <f>(Table26[[#This Row],[M2 Money Stock, Billions of Dollars, Weekly, Seasonally Adjusted]]-B193)/B193</f>
        <v>2.2178970714704367E-3</v>
      </c>
      <c r="D194" s="54">
        <f>((1+Table26[[#This Row],[Weekly change]])^52)-1</f>
        <v>0.1221011345191565</v>
      </c>
      <c r="E194" s="57">
        <f>(Table26[[#This Row],[M2 Money Stock, Billions of Dollars, Weekly, Seasonally Adjusted]]-B142)/B142</f>
        <v>8.0571958420770057E-2</v>
      </c>
    </row>
    <row r="195" spans="1:5" x14ac:dyDescent="0.2">
      <c r="A195" s="50">
        <v>30844</v>
      </c>
      <c r="B195" s="51">
        <v>2216.8000000000002</v>
      </c>
      <c r="C195" s="53">
        <f>(Table26[[#This Row],[M2 Money Stock, Billions of Dollars, Weekly, Seasonally Adjusted]]-B194)/B194</f>
        <v>1.1742390028002727E-3</v>
      </c>
      <c r="D195" s="54">
        <f>((1+Table26[[#This Row],[Weekly change]])^52)-1</f>
        <v>6.2925068642805559E-2</v>
      </c>
      <c r="E195" s="57">
        <f>(Table26[[#This Row],[M2 Money Stock, Billions of Dollars, Weekly, Seasonally Adjusted]]-B143)/B143</f>
        <v>7.9996102504141228E-2</v>
      </c>
    </row>
    <row r="196" spans="1:5" x14ac:dyDescent="0.2">
      <c r="A196" s="50">
        <v>30851</v>
      </c>
      <c r="B196" s="51">
        <v>2218</v>
      </c>
      <c r="C196" s="53">
        <f>(Table26[[#This Row],[M2 Money Stock, Billions of Dollars, Weekly, Seasonally Adjusted]]-B195)/B195</f>
        <v>5.4132082280756858E-4</v>
      </c>
      <c r="D196" s="54">
        <f>((1+Table26[[#This Row],[Weekly change]])^52)-1</f>
        <v>2.8540767142971379E-2</v>
      </c>
      <c r="E196" s="57">
        <f>(Table26[[#This Row],[M2 Money Stock, Billions of Dollars, Weekly, Seasonally Adjusted]]-B144)/B144</f>
        <v>8.0580726882977738E-2</v>
      </c>
    </row>
    <row r="197" spans="1:5" x14ac:dyDescent="0.2">
      <c r="A197" s="50">
        <v>30858</v>
      </c>
      <c r="B197" s="51">
        <v>2220.9</v>
      </c>
      <c r="C197" s="53">
        <f>(Table26[[#This Row],[M2 Money Stock, Billions of Dollars, Weekly, Seasonally Adjusted]]-B196)/B196</f>
        <v>1.3074842200180752E-3</v>
      </c>
      <c r="D197" s="54">
        <f>((1+Table26[[#This Row],[Weekly change]])^52)-1</f>
        <v>7.0306194644619291E-2</v>
      </c>
      <c r="E197" s="57">
        <f>(Table26[[#This Row],[M2 Money Stock, Billions of Dollars, Weekly, Seasonally Adjusted]]-B145)/B145</f>
        <v>8.0992942321732819E-2</v>
      </c>
    </row>
    <row r="198" spans="1:5" x14ac:dyDescent="0.2">
      <c r="A198" s="50">
        <v>30865</v>
      </c>
      <c r="B198" s="51">
        <v>2224.6</v>
      </c>
      <c r="C198" s="53">
        <f>(Table26[[#This Row],[M2 Money Stock, Billions of Dollars, Weekly, Seasonally Adjusted]]-B197)/B197</f>
        <v>1.6659912648024756E-3</v>
      </c>
      <c r="D198" s="54">
        <f>((1+Table26[[#This Row],[Weekly change]])^52)-1</f>
        <v>9.0416204249130105E-2</v>
      </c>
      <c r="E198" s="57">
        <f>(Table26[[#This Row],[M2 Money Stock, Billions of Dollars, Weekly, Seasonally Adjusted]]-B146)/B146</f>
        <v>7.9745668106586273E-2</v>
      </c>
    </row>
    <row r="199" spans="1:5" x14ac:dyDescent="0.2">
      <c r="A199" s="50">
        <v>30872</v>
      </c>
      <c r="B199" s="51">
        <v>2224.5</v>
      </c>
      <c r="C199" s="53">
        <f>(Table26[[#This Row],[M2 Money Stock, Billions of Dollars, Weekly, Seasonally Adjusted]]-B198)/B198</f>
        <v>-4.4951901465391108E-5</v>
      </c>
      <c r="D199" s="54">
        <f>((1+Table26[[#This Row],[Weekly change]])^52)-1</f>
        <v>-2.3348214695179115E-3</v>
      </c>
      <c r="E199" s="57">
        <f>(Table26[[#This Row],[M2 Money Stock, Billions of Dollars, Weekly, Seasonally Adjusted]]-B147)/B147</f>
        <v>7.718754539731737E-2</v>
      </c>
    </row>
    <row r="200" spans="1:5" x14ac:dyDescent="0.2">
      <c r="A200" s="50">
        <v>30879</v>
      </c>
      <c r="B200" s="51">
        <v>2228.8000000000002</v>
      </c>
      <c r="C200" s="53">
        <f>(Table26[[#This Row],[M2 Money Stock, Billions of Dollars, Weekly, Seasonally Adjusted]]-B199)/B199</f>
        <v>1.933018655877807E-3</v>
      </c>
      <c r="D200" s="54">
        <f>((1+Table26[[#This Row],[Weekly change]])^52)-1</f>
        <v>0.10563512602264269</v>
      </c>
      <c r="E200" s="57">
        <f>(Table26[[#This Row],[M2 Money Stock, Billions of Dollars, Weekly, Seasonally Adjusted]]-B148)/B148</f>
        <v>7.916525444245387E-2</v>
      </c>
    </row>
    <row r="201" spans="1:5" x14ac:dyDescent="0.2">
      <c r="A201" s="50">
        <v>30886</v>
      </c>
      <c r="B201" s="51">
        <v>2229.6999999999998</v>
      </c>
      <c r="C201" s="53">
        <f>(Table26[[#This Row],[M2 Money Stock, Billions of Dollars, Weekly, Seasonally Adjusted]]-B200)/B200</f>
        <v>4.0380473797542899E-4</v>
      </c>
      <c r="D201" s="54">
        <f>((1+Table26[[#This Row],[Weekly change]])^52)-1</f>
        <v>2.1215524007800246E-2</v>
      </c>
      <c r="E201" s="57">
        <f>(Table26[[#This Row],[M2 Money Stock, Billions of Dollars, Weekly, Seasonally Adjusted]]-B149)/B149</f>
        <v>7.8035101290915065E-2</v>
      </c>
    </row>
    <row r="202" spans="1:5" x14ac:dyDescent="0.2">
      <c r="A202" s="50">
        <v>30893</v>
      </c>
      <c r="B202" s="51">
        <v>2229.3000000000002</v>
      </c>
      <c r="C202" s="53">
        <f>(Table26[[#This Row],[M2 Money Stock, Billions of Dollars, Weekly, Seasonally Adjusted]]-B201)/B201</f>
        <v>-1.7939633134486085E-4</v>
      </c>
      <c r="D202" s="54">
        <f>((1+Table26[[#This Row],[Weekly change]])^52)-1</f>
        <v>-9.2860618288600483E-3</v>
      </c>
      <c r="E202" s="57">
        <f>(Table26[[#This Row],[M2 Money Stock, Billions of Dollars, Weekly, Seasonally Adjusted]]-B150)/B150</f>
        <v>7.6540467452192382E-2</v>
      </c>
    </row>
    <row r="203" spans="1:5" x14ac:dyDescent="0.2">
      <c r="A203" s="50">
        <v>30900</v>
      </c>
      <c r="B203" s="51">
        <v>2230.6</v>
      </c>
      <c r="C203" s="53">
        <f>(Table26[[#This Row],[M2 Money Stock, Billions of Dollars, Weekly, Seasonally Adjusted]]-B202)/B202</f>
        <v>5.8314269053053741E-4</v>
      </c>
      <c r="D203" s="54">
        <f>((1+Table26[[#This Row],[Weekly change]])^52)-1</f>
        <v>3.0778747294877951E-2</v>
      </c>
      <c r="E203" s="57">
        <f>(Table26[[#This Row],[M2 Money Stock, Billions of Dollars, Weekly, Seasonally Adjusted]]-B151)/B151</f>
        <v>7.7740735372276229E-2</v>
      </c>
    </row>
    <row r="204" spans="1:5" x14ac:dyDescent="0.2">
      <c r="A204" s="50">
        <v>30907</v>
      </c>
      <c r="B204" s="51">
        <v>2230.6</v>
      </c>
      <c r="C204" s="53">
        <f>(Table26[[#This Row],[M2 Money Stock, Billions of Dollars, Weekly, Seasonally Adjusted]]-B203)/B203</f>
        <v>0</v>
      </c>
      <c r="D204" s="54">
        <f>((1+Table26[[#This Row],[Weekly change]])^52)-1</f>
        <v>0</v>
      </c>
      <c r="E204" s="57">
        <f>(Table26[[#This Row],[M2 Money Stock, Billions of Dollars, Weekly, Seasonally Adjusted]]-B152)/B152</f>
        <v>7.649244727571064E-2</v>
      </c>
    </row>
    <row r="205" spans="1:5" x14ac:dyDescent="0.2">
      <c r="A205" s="50">
        <v>30914</v>
      </c>
      <c r="B205" s="51">
        <v>2232.1</v>
      </c>
      <c r="C205" s="53">
        <f>(Table26[[#This Row],[M2 Money Stock, Billions of Dollars, Weekly, Seasonally Adjusted]]-B204)/B204</f>
        <v>6.7246480767506507E-4</v>
      </c>
      <c r="D205" s="54">
        <f>((1+Table26[[#This Row],[Weekly change]])^52)-1</f>
        <v>3.5574575234695649E-2</v>
      </c>
      <c r="E205" s="57">
        <f>(Table26[[#This Row],[M2 Money Stock, Billions of Dollars, Weekly, Seasonally Adjusted]]-B153)/B153</f>
        <v>7.6800617492401857E-2</v>
      </c>
    </row>
    <row r="206" spans="1:5" x14ac:dyDescent="0.2">
      <c r="A206" s="50">
        <v>30921</v>
      </c>
      <c r="B206" s="51">
        <v>2233.5</v>
      </c>
      <c r="C206" s="53">
        <f>(Table26[[#This Row],[M2 Money Stock, Billions of Dollars, Weekly, Seasonally Adjusted]]-B205)/B205</f>
        <v>6.2721204247125626E-4</v>
      </c>
      <c r="D206" s="54">
        <f>((1+Table26[[#This Row],[Weekly change]])^52)-1</f>
        <v>3.314216305725437E-2</v>
      </c>
      <c r="E206" s="57">
        <f>(Table26[[#This Row],[M2 Money Stock, Billions of Dollars, Weekly, Seasonally Adjusted]]-B154)/B154</f>
        <v>7.716421509524958E-2</v>
      </c>
    </row>
    <row r="207" spans="1:5" x14ac:dyDescent="0.2">
      <c r="A207" s="50">
        <v>30928</v>
      </c>
      <c r="B207" s="51">
        <v>2236.4</v>
      </c>
      <c r="C207" s="53">
        <f>(Table26[[#This Row],[M2 Money Stock, Billions of Dollars, Weekly, Seasonally Adjusted]]-B206)/B206</f>
        <v>1.2984105663756843E-3</v>
      </c>
      <c r="D207" s="54">
        <f>((1+Table26[[#This Row],[Weekly change]])^52)-1</f>
        <v>6.9801968028850858E-2</v>
      </c>
      <c r="E207" s="57">
        <f>(Table26[[#This Row],[M2 Money Stock, Billions of Dollars, Weekly, Seasonally Adjusted]]-B155)/B155</f>
        <v>7.6641632967456325E-2</v>
      </c>
    </row>
    <row r="208" spans="1:5" x14ac:dyDescent="0.2">
      <c r="A208" s="50">
        <v>30935</v>
      </c>
      <c r="B208" s="51">
        <v>2241.1</v>
      </c>
      <c r="C208" s="53">
        <f>(Table26[[#This Row],[M2 Money Stock, Billions of Dollars, Weekly, Seasonally Adjusted]]-B207)/B207</f>
        <v>2.101591844034975E-3</v>
      </c>
      <c r="D208" s="54">
        <f>((1+Table26[[#This Row],[Weekly change]])^52)-1</f>
        <v>0.11534982782350744</v>
      </c>
      <c r="E208" s="57">
        <f>(Table26[[#This Row],[M2 Money Stock, Billions of Dollars, Weekly, Seasonally Adjusted]]-B156)/B156</f>
        <v>7.8852356424204365E-2</v>
      </c>
    </row>
    <row r="209" spans="1:5" x14ac:dyDescent="0.2">
      <c r="A209" s="50">
        <v>30942</v>
      </c>
      <c r="B209" s="51">
        <v>2244</v>
      </c>
      <c r="C209" s="53">
        <f>(Table26[[#This Row],[M2 Money Stock, Billions of Dollars, Weekly, Seasonally Adjusted]]-B208)/B208</f>
        <v>1.2940074070769225E-3</v>
      </c>
      <c r="D209" s="54">
        <f>((1+Table26[[#This Row],[Weekly change]])^52)-1</f>
        <v>6.9557366645786045E-2</v>
      </c>
      <c r="E209" s="57">
        <f>(Table26[[#This Row],[M2 Money Stock, Billions of Dollars, Weekly, Seasonally Adjusted]]-B157)/B157</f>
        <v>7.9261254328588007E-2</v>
      </c>
    </row>
    <row r="210" spans="1:5" x14ac:dyDescent="0.2">
      <c r="A210" s="50">
        <v>30949</v>
      </c>
      <c r="B210" s="51">
        <v>2246.8000000000002</v>
      </c>
      <c r="C210" s="53">
        <f>(Table26[[#This Row],[M2 Money Stock, Billions of Dollars, Weekly, Seasonally Adjusted]]-B209)/B209</f>
        <v>1.2477718360072111E-3</v>
      </c>
      <c r="D210" s="54">
        <f>((1+Table26[[#This Row],[Weekly change]])^52)-1</f>
        <v>6.6992228529858089E-2</v>
      </c>
      <c r="E210" s="57">
        <f>(Table26[[#This Row],[M2 Money Stock, Billions of Dollars, Weekly, Seasonally Adjusted]]-B158)/B158</f>
        <v>7.811900191938588E-2</v>
      </c>
    </row>
    <row r="211" spans="1:5" x14ac:dyDescent="0.2">
      <c r="A211" s="50">
        <v>30956</v>
      </c>
      <c r="B211" s="51">
        <v>2253.5</v>
      </c>
      <c r="C211" s="53">
        <f>(Table26[[#This Row],[M2 Money Stock, Billions of Dollars, Weekly, Seasonally Adjusted]]-B210)/B210</f>
        <v>2.9820188712835222E-3</v>
      </c>
      <c r="D211" s="54">
        <f>((1+Table26[[#This Row],[Weekly change]])^52)-1</f>
        <v>0.16746442215316315</v>
      </c>
      <c r="E211" s="57">
        <f>(Table26[[#This Row],[M2 Money Stock, Billions of Dollars, Weekly, Seasonally Adjusted]]-B159)/B159</f>
        <v>7.9779587925251555E-2</v>
      </c>
    </row>
    <row r="212" spans="1:5" x14ac:dyDescent="0.2">
      <c r="A212" s="50">
        <v>30963</v>
      </c>
      <c r="B212" s="51">
        <v>2253.1</v>
      </c>
      <c r="C212" s="53">
        <f>(Table26[[#This Row],[M2 Money Stock, Billions of Dollars, Weekly, Seasonally Adjusted]]-B211)/B211</f>
        <v>-1.775016640781411E-4</v>
      </c>
      <c r="D212" s="54">
        <f>((1+Table26[[#This Row],[Weekly change]])^52)-1</f>
        <v>-9.188431787559459E-3</v>
      </c>
      <c r="E212" s="57">
        <f>(Table26[[#This Row],[M2 Money Stock, Billions of Dollars, Weekly, Seasonally Adjusted]]-B160)/B160</f>
        <v>7.6441641584253026E-2</v>
      </c>
    </row>
    <row r="213" spans="1:5" x14ac:dyDescent="0.2">
      <c r="A213" s="50">
        <v>30970</v>
      </c>
      <c r="B213" s="51">
        <v>2259.1999999999998</v>
      </c>
      <c r="C213" s="53">
        <f>(Table26[[#This Row],[M2 Money Stock, Billions of Dollars, Weekly, Seasonally Adjusted]]-B212)/B212</f>
        <v>2.7073809418134611E-3</v>
      </c>
      <c r="D213" s="54">
        <f>((1+Table26[[#This Row],[Weekly change]])^52)-1</f>
        <v>0.15095677479323322</v>
      </c>
      <c r="E213" s="57">
        <f>(Table26[[#This Row],[M2 Money Stock, Billions of Dollars, Weekly, Seasonally Adjusted]]-B161)/B161</f>
        <v>7.8119780481985118E-2</v>
      </c>
    </row>
    <row r="214" spans="1:5" x14ac:dyDescent="0.2">
      <c r="A214" s="50">
        <v>30977</v>
      </c>
      <c r="B214" s="51">
        <v>2258.8000000000002</v>
      </c>
      <c r="C214" s="53">
        <f>(Table26[[#This Row],[M2 Money Stock, Billions of Dollars, Weekly, Seasonally Adjusted]]-B213)/B213</f>
        <v>-1.7705382436244521E-4</v>
      </c>
      <c r="D214" s="54">
        <f>((1+Table26[[#This Row],[Weekly change]])^52)-1</f>
        <v>-9.165353739524984E-3</v>
      </c>
      <c r="E214" s="57">
        <f>(Table26[[#This Row],[M2 Money Stock, Billions of Dollars, Weekly, Seasonally Adjusted]]-B162)/B162</f>
        <v>7.5823966469803911E-2</v>
      </c>
    </row>
    <row r="215" spans="1:5" x14ac:dyDescent="0.2">
      <c r="A215" s="50">
        <v>30984</v>
      </c>
      <c r="B215" s="51">
        <v>2264.4</v>
      </c>
      <c r="C215" s="53">
        <f>(Table26[[#This Row],[M2 Money Stock, Billions of Dollars, Weekly, Seasonally Adjusted]]-B214)/B214</f>
        <v>2.4791924915884135E-3</v>
      </c>
      <c r="D215" s="54">
        <f>((1+Table26[[#This Row],[Weekly change]])^52)-1</f>
        <v>0.1374153675473373</v>
      </c>
      <c r="E215" s="57">
        <f>(Table26[[#This Row],[M2 Money Stock, Billions of Dollars, Weekly, Seasonally Adjusted]]-B163)/B163</f>
        <v>7.679870654810024E-2</v>
      </c>
    </row>
    <row r="216" spans="1:5" x14ac:dyDescent="0.2">
      <c r="A216" s="50">
        <v>30991</v>
      </c>
      <c r="B216" s="51">
        <v>2270.8000000000002</v>
      </c>
      <c r="C216" s="53">
        <f>(Table26[[#This Row],[M2 Money Stock, Billions of Dollars, Weekly, Seasonally Adjusted]]-B215)/B215</f>
        <v>2.8263557675322782E-3</v>
      </c>
      <c r="D216" s="54">
        <f>((1+Table26[[#This Row],[Weekly change]])^52)-1</f>
        <v>0.15807969146229772</v>
      </c>
      <c r="E216" s="57">
        <f>(Table26[[#This Row],[M2 Money Stock, Billions of Dollars, Weekly, Seasonally Adjusted]]-B164)/B164</f>
        <v>7.9893475366178426E-2</v>
      </c>
    </row>
    <row r="217" spans="1:5" x14ac:dyDescent="0.2">
      <c r="A217" s="50">
        <v>30998</v>
      </c>
      <c r="B217" s="51">
        <v>2275.9</v>
      </c>
      <c r="C217" s="53">
        <f>(Table26[[#This Row],[M2 Money Stock, Billions of Dollars, Weekly, Seasonally Adjusted]]-B216)/B216</f>
        <v>2.2459045270388886E-3</v>
      </c>
      <c r="D217" s="54">
        <f>((1+Table26[[#This Row],[Weekly change]])^52)-1</f>
        <v>0.12373289482092797</v>
      </c>
      <c r="E217" s="57">
        <f>(Table26[[#This Row],[M2 Money Stock, Billions of Dollars, Weekly, Seasonally Adjusted]]-B165)/B165</f>
        <v>8.1598707347210475E-2</v>
      </c>
    </row>
    <row r="218" spans="1:5" x14ac:dyDescent="0.2">
      <c r="A218" s="50">
        <v>31005</v>
      </c>
      <c r="B218" s="51">
        <v>2283.1999999999998</v>
      </c>
      <c r="C218" s="53">
        <f>(Table26[[#This Row],[M2 Money Stock, Billions of Dollars, Weekly, Seasonally Adjusted]]-B217)/B217</f>
        <v>3.2075222988706565E-3</v>
      </c>
      <c r="D218" s="54">
        <f>((1+Table26[[#This Row],[Weekly change]])^52)-1</f>
        <v>0.18119216405501049</v>
      </c>
      <c r="E218" s="57">
        <f>(Table26[[#This Row],[M2 Money Stock, Billions of Dollars, Weekly, Seasonally Adjusted]]-B166)/B166</f>
        <v>8.4604056814403084E-2</v>
      </c>
    </row>
    <row r="219" spans="1:5" x14ac:dyDescent="0.2">
      <c r="A219" s="50">
        <v>31012</v>
      </c>
      <c r="B219" s="51">
        <v>2286.1999999999998</v>
      </c>
      <c r="C219" s="53">
        <f>(Table26[[#This Row],[M2 Money Stock, Billions of Dollars, Weekly, Seasonally Adjusted]]-B218)/B218</f>
        <v>1.3139453398738614E-3</v>
      </c>
      <c r="D219" s="54">
        <f>((1+Table26[[#This Row],[Weekly change]])^52)-1</f>
        <v>7.0665383770125212E-2</v>
      </c>
      <c r="E219" s="57">
        <f>(Table26[[#This Row],[M2 Money Stock, Billions of Dollars, Weekly, Seasonally Adjusted]]-B167)/B167</f>
        <v>8.4638011196508031E-2</v>
      </c>
    </row>
    <row r="220" spans="1:5" x14ac:dyDescent="0.2">
      <c r="A220" s="50">
        <v>31019</v>
      </c>
      <c r="B220" s="51">
        <v>2287.6</v>
      </c>
      <c r="C220" s="53">
        <f>(Table26[[#This Row],[M2 Money Stock, Billions of Dollars, Weekly, Seasonally Adjusted]]-B219)/B219</f>
        <v>6.123698714023668E-4</v>
      </c>
      <c r="D220" s="54">
        <f>((1+Table26[[#This Row],[Weekly change]])^52)-1</f>
        <v>3.2345592416246349E-2</v>
      </c>
      <c r="E220" s="57">
        <f>(Table26[[#This Row],[M2 Money Stock, Billions of Dollars, Weekly, Seasonally Adjusted]]-B168)/B168</f>
        <v>8.2682568981021262E-2</v>
      </c>
    </row>
    <row r="221" spans="1:5" x14ac:dyDescent="0.2">
      <c r="A221" s="50">
        <v>31026</v>
      </c>
      <c r="B221" s="51">
        <v>2297.1</v>
      </c>
      <c r="C221" s="53">
        <f>(Table26[[#This Row],[M2 Money Stock, Billions of Dollars, Weekly, Seasonally Adjusted]]-B220)/B220</f>
        <v>4.152823920265781E-3</v>
      </c>
      <c r="D221" s="54">
        <f>((1+Table26[[#This Row],[Weekly change]])^52)-1</f>
        <v>0.2404815943959866</v>
      </c>
      <c r="E221" s="57">
        <f>(Table26[[#This Row],[M2 Money Stock, Billions of Dollars, Weekly, Seasonally Adjusted]]-B169)/B169</f>
        <v>8.471454880294664E-2</v>
      </c>
    </row>
    <row r="222" spans="1:5" x14ac:dyDescent="0.2">
      <c r="A222" s="50">
        <v>31033</v>
      </c>
      <c r="B222" s="51">
        <v>2303.4</v>
      </c>
      <c r="C222" s="53">
        <f>(Table26[[#This Row],[M2 Money Stock, Billions of Dollars, Weekly, Seasonally Adjusted]]-B221)/B221</f>
        <v>2.7425884811284585E-3</v>
      </c>
      <c r="D222" s="54">
        <f>((1+Table26[[#This Row],[Weekly change]])^52)-1</f>
        <v>0.15306013050555722</v>
      </c>
      <c r="E222" s="57">
        <f>(Table26[[#This Row],[M2 Money Stock, Billions of Dollars, Weekly, Seasonally Adjusted]]-B170)/B170</f>
        <v>8.5945971429918527E-2</v>
      </c>
    </row>
    <row r="223" spans="1:5" x14ac:dyDescent="0.2">
      <c r="A223" s="50">
        <v>31040</v>
      </c>
      <c r="B223" s="51">
        <v>2311.4</v>
      </c>
      <c r="C223" s="53">
        <f>(Table26[[#This Row],[M2 Money Stock, Billions of Dollars, Weekly, Seasonally Adjusted]]-B222)/B222</f>
        <v>3.4731266822957364E-3</v>
      </c>
      <c r="D223" s="54">
        <f>((1+Table26[[#This Row],[Weekly change]])^52)-1</f>
        <v>0.19756422800248608</v>
      </c>
      <c r="E223" s="57">
        <f>(Table26[[#This Row],[M2 Money Stock, Billions of Dollars, Weekly, Seasonally Adjusted]]-B171)/B171</f>
        <v>8.8947517195891918E-2</v>
      </c>
    </row>
    <row r="224" spans="1:5" x14ac:dyDescent="0.2">
      <c r="A224" s="50">
        <v>31047</v>
      </c>
      <c r="B224" s="51">
        <v>2316.8000000000002</v>
      </c>
      <c r="C224" s="53">
        <f>(Table26[[#This Row],[M2 Money Stock, Billions of Dollars, Weekly, Seasonally Adjusted]]-B223)/B223</f>
        <v>2.336246430734659E-3</v>
      </c>
      <c r="D224" s="54">
        <f>((1+Table26[[#This Row],[Weekly change]])^52)-1</f>
        <v>0.12901223914370918</v>
      </c>
      <c r="E224" s="57">
        <f>(Table26[[#This Row],[M2 Money Stock, Billions of Dollars, Weekly, Seasonally Adjusted]]-B172)/B172</f>
        <v>8.8926489941718506E-2</v>
      </c>
    </row>
    <row r="225" spans="1:5" x14ac:dyDescent="0.2">
      <c r="A225" s="50">
        <v>31054</v>
      </c>
      <c r="B225" s="51">
        <v>2322.9</v>
      </c>
      <c r="C225" s="53">
        <f>(Table26[[#This Row],[M2 Money Stock, Billions of Dollars, Weekly, Seasonally Adjusted]]-B224)/B224</f>
        <v>2.632941988950237E-3</v>
      </c>
      <c r="D225" s="54">
        <f>((1+Table26[[#This Row],[Weekly change]])^52)-1</f>
        <v>0.14652205186978673</v>
      </c>
      <c r="E225" s="57">
        <f>(Table26[[#This Row],[M2 Money Stock, Billions of Dollars, Weekly, Seasonally Adjusted]]-B173)/B173</f>
        <v>8.8825349207837245E-2</v>
      </c>
    </row>
    <row r="226" spans="1:5" x14ac:dyDescent="0.2">
      <c r="A226" s="50">
        <v>31061</v>
      </c>
      <c r="B226" s="51">
        <v>2331.8000000000002</v>
      </c>
      <c r="C226" s="53">
        <f>(Table26[[#This Row],[M2 Money Stock, Billions of Dollars, Weekly, Seasonally Adjusted]]-B225)/B225</f>
        <v>3.8314176245211116E-3</v>
      </c>
      <c r="D226" s="54">
        <f>((1+Table26[[#This Row],[Weekly change]])^52)-1</f>
        <v>0.22000263038604806</v>
      </c>
      <c r="E226" s="57">
        <f>(Table26[[#This Row],[M2 Money Stock, Billions of Dollars, Weekly, Seasonally Adjusted]]-B174)/B174</f>
        <v>9.0798521775740465E-2</v>
      </c>
    </row>
    <row r="227" spans="1:5" x14ac:dyDescent="0.2">
      <c r="A227" s="50">
        <v>31068</v>
      </c>
      <c r="B227" s="51">
        <v>2337.3000000000002</v>
      </c>
      <c r="C227" s="53">
        <f>(Table26[[#This Row],[M2 Money Stock, Billions of Dollars, Weekly, Seasonally Adjusted]]-B226)/B226</f>
        <v>2.3586928553049145E-3</v>
      </c>
      <c r="D227" s="54">
        <f>((1+Table26[[#This Row],[Weekly change]])^52)-1</f>
        <v>0.13032771765079931</v>
      </c>
      <c r="E227" s="57">
        <f>(Table26[[#This Row],[M2 Money Stock, Billions of Dollars, Weekly, Seasonally Adjusted]]-B175)/B175</f>
        <v>9.2196261682243069E-2</v>
      </c>
    </row>
    <row r="228" spans="1:5" x14ac:dyDescent="0.2">
      <c r="A228" s="50">
        <v>31075</v>
      </c>
      <c r="B228" s="51">
        <v>2341.3000000000002</v>
      </c>
      <c r="C228" s="53">
        <f>(Table26[[#This Row],[M2 Money Stock, Billions of Dollars, Weekly, Seasonally Adjusted]]-B227)/B227</f>
        <v>1.7113763744491506E-3</v>
      </c>
      <c r="D228" s="54">
        <f>((1+Table26[[#This Row],[Weekly change]])^52)-1</f>
        <v>9.2988304972293712E-2</v>
      </c>
      <c r="E228" s="57">
        <f>(Table26[[#This Row],[M2 Money Stock, Billions of Dollars, Weekly, Seasonally Adjusted]]-B176)/B176</f>
        <v>9.3707665716821778E-2</v>
      </c>
    </row>
    <row r="229" spans="1:5" x14ac:dyDescent="0.2">
      <c r="A229" s="50">
        <v>31082</v>
      </c>
      <c r="B229" s="51">
        <v>2344</v>
      </c>
      <c r="C229" s="53">
        <f>(Table26[[#This Row],[M2 Money Stock, Billions of Dollars, Weekly, Seasonally Adjusted]]-B228)/B228</f>
        <v>1.1532054841326689E-3</v>
      </c>
      <c r="D229" s="54">
        <f>((1+Table26[[#This Row],[Weekly change]])^52)-1</f>
        <v>6.1764487219415409E-2</v>
      </c>
      <c r="E229" s="57">
        <f>(Table26[[#This Row],[M2 Money Stock, Billions of Dollars, Weekly, Seasonally Adjusted]]-B177)/B177</f>
        <v>8.9168718925700524E-2</v>
      </c>
    </row>
    <row r="230" spans="1:5" x14ac:dyDescent="0.2">
      <c r="A230" s="50">
        <v>31089</v>
      </c>
      <c r="B230" s="51">
        <v>2345.8000000000002</v>
      </c>
      <c r="C230" s="53">
        <f>(Table26[[#This Row],[M2 Money Stock, Billions of Dollars, Weekly, Seasonally Adjusted]]-B229)/B229</f>
        <v>7.6791808873727895E-4</v>
      </c>
      <c r="D230" s="54">
        <f>((1+Table26[[#This Row],[Weekly change]])^52)-1</f>
        <v>4.0723783018776993E-2</v>
      </c>
      <c r="E230" s="57">
        <f>(Table26[[#This Row],[M2 Money Stock, Billions of Dollars, Weekly, Seasonally Adjusted]]-B178)/B178</f>
        <v>8.3760683760683838E-2</v>
      </c>
    </row>
    <row r="231" spans="1:5" x14ac:dyDescent="0.2">
      <c r="A231" s="50">
        <v>31096</v>
      </c>
      <c r="B231" s="51">
        <v>2349.5</v>
      </c>
      <c r="C231" s="53">
        <f>(Table26[[#This Row],[M2 Money Stock, Billions of Dollars, Weekly, Seasonally Adjusted]]-B230)/B230</f>
        <v>1.5772870662459791E-3</v>
      </c>
      <c r="D231" s="54">
        <f>((1+Table26[[#This Row],[Weekly change]])^52)-1</f>
        <v>8.5406218314624693E-2</v>
      </c>
      <c r="E231" s="57">
        <f>(Table26[[#This Row],[M2 Money Stock, Billions of Dollars, Weekly, Seasonally Adjusted]]-B179)/B179</f>
        <v>9.9078448800112365E-2</v>
      </c>
    </row>
    <row r="232" spans="1:5" x14ac:dyDescent="0.2">
      <c r="A232" s="50">
        <v>31103</v>
      </c>
      <c r="B232" s="51">
        <v>2352.1999999999998</v>
      </c>
      <c r="C232" s="53">
        <f>(Table26[[#This Row],[M2 Money Stock, Billions of Dollars, Weekly, Seasonally Adjusted]]-B231)/B231</f>
        <v>1.1491806767396544E-3</v>
      </c>
      <c r="D232" s="54">
        <f>((1+Table26[[#This Row],[Weekly change]])^52)-1</f>
        <v>6.1542549265340085E-2</v>
      </c>
      <c r="E232" s="57">
        <f>(Table26[[#This Row],[M2 Money Stock, Billions of Dollars, Weekly, Seasonally Adjusted]]-B180)/B180</f>
        <v>0.10473417245913959</v>
      </c>
    </row>
    <row r="233" spans="1:5" x14ac:dyDescent="0.2">
      <c r="A233" s="50">
        <v>31110</v>
      </c>
      <c r="B233" s="51">
        <v>2357.3000000000002</v>
      </c>
      <c r="C233" s="53">
        <f>(Table26[[#This Row],[M2 Money Stock, Billions of Dollars, Weekly, Seasonally Adjusted]]-B232)/B232</f>
        <v>2.1681829776381109E-3</v>
      </c>
      <c r="D233" s="54">
        <f>((1+Table26[[#This Row],[Weekly change]])^52)-1</f>
        <v>0.11921043144150767</v>
      </c>
      <c r="E233" s="57">
        <f>(Table26[[#This Row],[M2 Money Stock, Billions of Dollars, Weekly, Seasonally Adjusted]]-B181)/B181</f>
        <v>9.7592773664850946E-2</v>
      </c>
    </row>
    <row r="234" spans="1:5" x14ac:dyDescent="0.2">
      <c r="A234" s="50">
        <v>31117</v>
      </c>
      <c r="B234" s="51">
        <v>2359</v>
      </c>
      <c r="C234" s="53">
        <f>(Table26[[#This Row],[M2 Money Stock, Billions of Dollars, Weekly, Seasonally Adjusted]]-B233)/B233</f>
        <v>7.2116404360913675E-4</v>
      </c>
      <c r="D234" s="54">
        <f>((1+Table26[[#This Row],[Weekly change]])^52)-1</f>
        <v>3.8198515725151427E-2</v>
      </c>
      <c r="E234" s="57">
        <f>(Table26[[#This Row],[M2 Money Stock, Billions of Dollars, Weekly, Seasonally Adjusted]]-B182)/B182</f>
        <v>8.8752480731065772E-2</v>
      </c>
    </row>
    <row r="235" spans="1:5" x14ac:dyDescent="0.2">
      <c r="A235" s="50">
        <v>31124</v>
      </c>
      <c r="B235" s="51">
        <v>2360.8000000000002</v>
      </c>
      <c r="C235" s="53">
        <f>(Table26[[#This Row],[M2 Money Stock, Billions of Dollars, Weekly, Seasonally Adjusted]]-B234)/B234</f>
        <v>7.6303518440024672E-4</v>
      </c>
      <c r="D235" s="54">
        <f>((1+Table26[[#This Row],[Weekly change]])^52)-1</f>
        <v>4.0459767393203228E-2</v>
      </c>
      <c r="E235" s="57">
        <f>(Table26[[#This Row],[M2 Money Stock, Billions of Dollars, Weekly, Seasonally Adjusted]]-B183)/B183</f>
        <v>8.233999633229433E-2</v>
      </c>
    </row>
    <row r="236" spans="1:5" x14ac:dyDescent="0.2">
      <c r="A236" s="50">
        <v>31131</v>
      </c>
      <c r="B236" s="51">
        <v>2366.3000000000002</v>
      </c>
      <c r="C236" s="53">
        <f>(Table26[[#This Row],[M2 Money Stock, Billions of Dollars, Weekly, Seasonally Adjusted]]-B235)/B235</f>
        <v>2.329718739410369E-3</v>
      </c>
      <c r="D236" s="54">
        <f>((1+Table26[[#This Row],[Weekly change]])^52)-1</f>
        <v>0.12862996401161064</v>
      </c>
      <c r="E236" s="57">
        <f>(Table26[[#This Row],[M2 Money Stock, Billions of Dollars, Weekly, Seasonally Adjusted]]-B184)/B184</f>
        <v>8.010772320613474E-2</v>
      </c>
    </row>
    <row r="237" spans="1:5" x14ac:dyDescent="0.2">
      <c r="A237" s="50">
        <v>31138</v>
      </c>
      <c r="B237" s="51">
        <v>2370.6</v>
      </c>
      <c r="C237" s="53">
        <f>(Table26[[#This Row],[M2 Money Stock, Billions of Dollars, Weekly, Seasonally Adjusted]]-B236)/B236</f>
        <v>1.8171829438362536E-3</v>
      </c>
      <c r="D237" s="54">
        <f>((1+Table26[[#This Row],[Weekly change]])^52)-1</f>
        <v>9.9007787021786697E-2</v>
      </c>
      <c r="E237" s="57">
        <f>(Table26[[#This Row],[M2 Money Stock, Billions of Dollars, Weekly, Seasonally Adjusted]]-B185)/B185</f>
        <v>8.1182158168384574E-2</v>
      </c>
    </row>
    <row r="238" spans="1:5" x14ac:dyDescent="0.2">
      <c r="A238" s="50">
        <v>31145</v>
      </c>
      <c r="B238" s="51">
        <v>2368.5</v>
      </c>
      <c r="C238" s="53">
        <f>(Table26[[#This Row],[M2 Money Stock, Billions of Dollars, Weekly, Seasonally Adjusted]]-B237)/B237</f>
        <v>-8.8585168311815959E-4</v>
      </c>
      <c r="D238" s="54">
        <f>((1+Table26[[#This Row],[Weekly change]])^52)-1</f>
        <v>-4.5038928961633307E-2</v>
      </c>
      <c r="E238" s="57">
        <f>(Table26[[#This Row],[M2 Money Stock, Billions of Dollars, Weekly, Seasonally Adjusted]]-B186)/B186</f>
        <v>8.0618669586641031E-2</v>
      </c>
    </row>
    <row r="239" spans="1:5" x14ac:dyDescent="0.2">
      <c r="A239" s="50">
        <v>31152</v>
      </c>
      <c r="B239" s="51">
        <v>2371.4</v>
      </c>
      <c r="C239" s="53">
        <f>(Table26[[#This Row],[M2 Money Stock, Billions of Dollars, Weekly, Seasonally Adjusted]]-B238)/B238</f>
        <v>1.2244036309901165E-3</v>
      </c>
      <c r="D239" s="54">
        <f>((1+Table26[[#This Row],[Weekly change]])^52)-1</f>
        <v>6.5698062648400724E-2</v>
      </c>
      <c r="E239" s="57">
        <f>(Table26[[#This Row],[M2 Money Stock, Billions of Dollars, Weekly, Seasonally Adjusted]]-B187)/B187</f>
        <v>8.144837650492516E-2</v>
      </c>
    </row>
    <row r="240" spans="1:5" x14ac:dyDescent="0.2">
      <c r="A240" s="50">
        <v>31159</v>
      </c>
      <c r="B240" s="51">
        <v>2375.5</v>
      </c>
      <c r="C240" s="53">
        <f>(Table26[[#This Row],[M2 Money Stock, Billions of Dollars, Weekly, Seasonally Adjusted]]-B239)/B239</f>
        <v>1.7289364932107231E-3</v>
      </c>
      <c r="D240" s="54">
        <f>((1+Table26[[#This Row],[Weekly change]])^52)-1</f>
        <v>9.3985081613743748E-2</v>
      </c>
      <c r="E240" s="57">
        <f>(Table26[[#This Row],[M2 Money Stock, Billions of Dollars, Weekly, Seasonally Adjusted]]-B188)/B188</f>
        <v>8.2725615314494072E-2</v>
      </c>
    </row>
    <row r="241" spans="1:5" x14ac:dyDescent="0.2">
      <c r="A241" s="50">
        <v>31166</v>
      </c>
      <c r="B241" s="51">
        <v>2374.5</v>
      </c>
      <c r="C241" s="53">
        <f>(Table26[[#This Row],[M2 Money Stock, Billions of Dollars, Weekly, Seasonally Adjusted]]-B240)/B240</f>
        <v>-4.2096400757735212E-4</v>
      </c>
      <c r="D241" s="54">
        <f>((1+Table26[[#This Row],[Weekly change]])^52)-1</f>
        <v>-2.1656787189130666E-2</v>
      </c>
      <c r="E241" s="57">
        <f>(Table26[[#This Row],[M2 Money Stock, Billions of Dollars, Weekly, Seasonally Adjusted]]-B189)/B189</f>
        <v>8.1924636624595704E-2</v>
      </c>
    </row>
    <row r="242" spans="1:5" x14ac:dyDescent="0.2">
      <c r="A242" s="50">
        <v>31173</v>
      </c>
      <c r="B242" s="51">
        <v>2377.6</v>
      </c>
      <c r="C242" s="53">
        <f>(Table26[[#This Row],[M2 Money Stock, Billions of Dollars, Weekly, Seasonally Adjusted]]-B241)/B241</f>
        <v>1.3055380080016462E-3</v>
      </c>
      <c r="D242" s="54">
        <f>((1+Table26[[#This Row],[Weekly change]])^52)-1</f>
        <v>7.0198023221100359E-2</v>
      </c>
      <c r="E242" s="57">
        <f>(Table26[[#This Row],[M2 Money Stock, Billions of Dollars, Weekly, Seasonally Adjusted]]-B190)/B190</f>
        <v>8.1218735788994953E-2</v>
      </c>
    </row>
    <row r="243" spans="1:5" x14ac:dyDescent="0.2">
      <c r="A243" s="50">
        <v>31180</v>
      </c>
      <c r="B243" s="51">
        <v>2381.5</v>
      </c>
      <c r="C243" s="53">
        <f>(Table26[[#This Row],[M2 Money Stock, Billions of Dollars, Weekly, Seasonally Adjusted]]-B242)/B242</f>
        <v>1.6403095558546817E-3</v>
      </c>
      <c r="D243" s="54">
        <f>((1+Table26[[#This Row],[Weekly change]])^52)-1</f>
        <v>8.8963381202417313E-2</v>
      </c>
      <c r="E243" s="57">
        <f>(Table26[[#This Row],[M2 Money Stock, Billions of Dollars, Weekly, Seasonally Adjusted]]-B191)/B191</f>
        <v>8.0094335344006493E-2</v>
      </c>
    </row>
    <row r="244" spans="1:5" x14ac:dyDescent="0.2">
      <c r="A244" s="50">
        <v>31187</v>
      </c>
      <c r="B244" s="51">
        <v>2386.8000000000002</v>
      </c>
      <c r="C244" s="53">
        <f>(Table26[[#This Row],[M2 Money Stock, Billions of Dollars, Weekly, Seasonally Adjusted]]-B243)/B243</f>
        <v>2.2254881377283989E-3</v>
      </c>
      <c r="D244" s="54">
        <f>((1+Table26[[#This Row],[Weekly change]])^52)-1</f>
        <v>0.12254317277552995</v>
      </c>
      <c r="E244" s="57">
        <f>(Table26[[#This Row],[M2 Money Stock, Billions of Dollars, Weekly, Seasonally Adjusted]]-B192)/B192</f>
        <v>8.1027220435708175E-2</v>
      </c>
    </row>
    <row r="245" spans="1:5" x14ac:dyDescent="0.2">
      <c r="A245" s="50">
        <v>31194</v>
      </c>
      <c r="B245" s="51">
        <v>2390.4</v>
      </c>
      <c r="C245" s="53">
        <f>(Table26[[#This Row],[M2 Money Stock, Billions of Dollars, Weekly, Seasonally Adjusted]]-B244)/B244</f>
        <v>1.5082956259426464E-3</v>
      </c>
      <c r="D245" s="54">
        <f>((1+Table26[[#This Row],[Weekly change]])^52)-1</f>
        <v>8.152521730366824E-2</v>
      </c>
      <c r="E245" s="57">
        <f>(Table26[[#This Row],[M2 Money Stock, Billions of Dollars, Weekly, Seasonally Adjusted]]-B193)/B193</f>
        <v>8.1971665233331784E-2</v>
      </c>
    </row>
    <row r="246" spans="1:5" x14ac:dyDescent="0.2">
      <c r="A246" s="50">
        <v>31201</v>
      </c>
      <c r="B246" s="51">
        <v>2393.1999999999998</v>
      </c>
      <c r="C246" s="53">
        <f>(Table26[[#This Row],[M2 Money Stock, Billions of Dollars, Weekly, Seasonally Adjusted]]-B245)/B245</f>
        <v>1.1713520749664186E-3</v>
      </c>
      <c r="D246" s="54">
        <f>((1+Table26[[#This Row],[Weekly change]])^52)-1</f>
        <v>6.2765700936765034E-2</v>
      </c>
      <c r="E246" s="57">
        <f>(Table26[[#This Row],[M2 Money Stock, Billions of Dollars, Weekly, Seasonally Adjusted]]-B194)/B194</f>
        <v>8.0841839038930552E-2</v>
      </c>
    </row>
    <row r="247" spans="1:5" x14ac:dyDescent="0.2">
      <c r="A247" s="50">
        <v>31208</v>
      </c>
      <c r="B247" s="51">
        <v>2403.4</v>
      </c>
      <c r="C247" s="53">
        <f>(Table26[[#This Row],[M2 Money Stock, Billions of Dollars, Weekly, Seasonally Adjusted]]-B246)/B246</f>
        <v>4.2620758816648311E-3</v>
      </c>
      <c r="D247" s="54">
        <f>((1+Table26[[#This Row],[Weekly change]])^52)-1</f>
        <v>0.2475192582368535</v>
      </c>
      <c r="E247" s="57">
        <f>(Table26[[#This Row],[M2 Money Stock, Billions of Dollars, Weekly, Seasonally Adjusted]]-B195)/B195</f>
        <v>8.417538794658963E-2</v>
      </c>
    </row>
    <row r="248" spans="1:5" x14ac:dyDescent="0.2">
      <c r="A248" s="50">
        <v>31215</v>
      </c>
      <c r="B248" s="51">
        <v>2409.3000000000002</v>
      </c>
      <c r="C248" s="53">
        <f>(Table26[[#This Row],[M2 Money Stock, Billions of Dollars, Weekly, Seasonally Adjusted]]-B247)/B247</f>
        <v>2.4548556212033333E-3</v>
      </c>
      <c r="D248" s="54">
        <f>((1+Table26[[#This Row],[Weekly change]])^52)-1</f>
        <v>0.13598039705555487</v>
      </c>
      <c r="E248" s="57">
        <f>(Table26[[#This Row],[M2 Money Stock, Billions of Dollars, Weekly, Seasonally Adjusted]]-B196)/B196</f>
        <v>8.6248872858431094E-2</v>
      </c>
    </row>
    <row r="249" spans="1:5" x14ac:dyDescent="0.2">
      <c r="A249" s="50">
        <v>31222</v>
      </c>
      <c r="B249" s="51">
        <v>2418</v>
      </c>
      <c r="C249" s="53">
        <f>(Table26[[#This Row],[M2 Money Stock, Billions of Dollars, Weekly, Seasonally Adjusted]]-B248)/B248</f>
        <v>3.6110073465321119E-3</v>
      </c>
      <c r="D249" s="54">
        <f>((1+Table26[[#This Row],[Weekly change]])^52)-1</f>
        <v>0.20615084859301502</v>
      </c>
      <c r="E249" s="57">
        <f>(Table26[[#This Row],[M2 Money Stock, Billions of Dollars, Weekly, Seasonally Adjusted]]-B197)/B197</f>
        <v>8.8747804943941605E-2</v>
      </c>
    </row>
    <row r="250" spans="1:5" x14ac:dyDescent="0.2">
      <c r="A250" s="50">
        <v>31229</v>
      </c>
      <c r="B250" s="51">
        <v>2425.3000000000002</v>
      </c>
      <c r="C250" s="53">
        <f>(Table26[[#This Row],[M2 Money Stock, Billions of Dollars, Weekly, Seasonally Adjusted]]-B249)/B249</f>
        <v>3.0190239867659975E-3</v>
      </c>
      <c r="D250" s="54">
        <f>((1+Table26[[#This Row],[Weekly change]])^52)-1</f>
        <v>0.16970636361587621</v>
      </c>
      <c r="E250" s="57">
        <f>(Table26[[#This Row],[M2 Money Stock, Billions of Dollars, Weekly, Seasonally Adjusted]]-B198)/B198</f>
        <v>9.0218466241122119E-2</v>
      </c>
    </row>
    <row r="251" spans="1:5" x14ac:dyDescent="0.2">
      <c r="A251" s="50">
        <v>31236</v>
      </c>
      <c r="B251" s="51">
        <v>2422.9</v>
      </c>
      <c r="C251" s="53">
        <f>(Table26[[#This Row],[M2 Money Stock, Billions of Dollars, Weekly, Seasonally Adjusted]]-B250)/B250</f>
        <v>-9.895683008288008E-4</v>
      </c>
      <c r="D251" s="54">
        <f>((1+Table26[[#This Row],[Weekly change]])^52)-1</f>
        <v>-5.0180230624721656E-2</v>
      </c>
      <c r="E251" s="57">
        <f>(Table26[[#This Row],[M2 Money Stock, Billions of Dollars, Weekly, Seasonally Adjusted]]-B199)/B199</f>
        <v>8.9188581703753697E-2</v>
      </c>
    </row>
    <row r="252" spans="1:5" x14ac:dyDescent="0.2">
      <c r="A252" s="50">
        <v>31243</v>
      </c>
      <c r="B252" s="51">
        <v>2427.3000000000002</v>
      </c>
      <c r="C252" s="53">
        <f>(Table26[[#This Row],[M2 Money Stock, Billions of Dollars, Weekly, Seasonally Adjusted]]-B251)/B251</f>
        <v>1.8160056131082962E-3</v>
      </c>
      <c r="D252" s="54">
        <f>((1+Table26[[#This Row],[Weekly change]])^52)-1</f>
        <v>9.8940628504172512E-2</v>
      </c>
      <c r="E252" s="57">
        <f>(Table26[[#This Row],[M2 Money Stock, Billions of Dollars, Weekly, Seasonally Adjusted]]-B200)/B200</f>
        <v>8.9061378320172288E-2</v>
      </c>
    </row>
    <row r="253" spans="1:5" x14ac:dyDescent="0.2">
      <c r="A253" s="50">
        <v>31250</v>
      </c>
      <c r="B253" s="51">
        <v>2430.1</v>
      </c>
      <c r="C253" s="53">
        <f>(Table26[[#This Row],[M2 Money Stock, Billions of Dollars, Weekly, Seasonally Adjusted]]-B252)/B252</f>
        <v>1.1535450912535437E-3</v>
      </c>
      <c r="D253" s="54">
        <f>((1+Table26[[#This Row],[Weekly change]])^52)-1</f>
        <v>6.1783216087962556E-2</v>
      </c>
      <c r="E253" s="57">
        <f>(Table26[[#This Row],[M2 Money Stock, Billions of Dollars, Weekly, Seasonally Adjusted]]-B201)/B201</f>
        <v>8.9877562003857076E-2</v>
      </c>
    </row>
    <row r="254" spans="1:5" x14ac:dyDescent="0.2">
      <c r="A254" s="50">
        <v>31257</v>
      </c>
      <c r="B254" s="51">
        <v>2432</v>
      </c>
      <c r="C254" s="53">
        <f>(Table26[[#This Row],[M2 Money Stock, Billions of Dollars, Weekly, Seasonally Adjusted]]-B253)/B253</f>
        <v>7.81860828772516E-4</v>
      </c>
      <c r="D254" s="54">
        <f>((1+Table26[[#This Row],[Weekly change]])^52)-1</f>
        <v>4.1478020094896317E-2</v>
      </c>
      <c r="E254" s="57">
        <f>(Table26[[#This Row],[M2 Money Stock, Billions of Dollars, Weekly, Seasonally Adjusted]]-B202)/B202</f>
        <v>9.0925402592742025E-2</v>
      </c>
    </row>
    <row r="255" spans="1:5" x14ac:dyDescent="0.2">
      <c r="A255" s="50">
        <v>31264</v>
      </c>
      <c r="B255" s="51">
        <v>2435.3000000000002</v>
      </c>
      <c r="C255" s="53">
        <f>(Table26[[#This Row],[M2 Money Stock, Billions of Dollars, Weekly, Seasonally Adjusted]]-B254)/B254</f>
        <v>1.3569078947369168E-3</v>
      </c>
      <c r="D255" s="54">
        <f>((1+Table26[[#This Row],[Weekly change]])^52)-1</f>
        <v>7.305678355011902E-2</v>
      </c>
      <c r="E255" s="57">
        <f>(Table26[[#This Row],[M2 Money Stock, Billions of Dollars, Weekly, Seasonally Adjusted]]-B203)/B203</f>
        <v>9.1769030754057332E-2</v>
      </c>
    </row>
    <row r="256" spans="1:5" x14ac:dyDescent="0.2">
      <c r="A256" s="50">
        <v>31271</v>
      </c>
      <c r="B256" s="51">
        <v>2437.4</v>
      </c>
      <c r="C256" s="53">
        <f>(Table26[[#This Row],[M2 Money Stock, Billions of Dollars, Weekly, Seasonally Adjusted]]-B255)/B255</f>
        <v>8.623167576889537E-4</v>
      </c>
      <c r="D256" s="54">
        <f>((1+Table26[[#This Row],[Weekly change]])^52)-1</f>
        <v>4.5840793678369796E-2</v>
      </c>
      <c r="E256" s="57">
        <f>(Table26[[#This Row],[M2 Money Stock, Billions of Dollars, Weekly, Seasonally Adjusted]]-B204)/B204</f>
        <v>9.2710481484802376E-2</v>
      </c>
    </row>
    <row r="257" spans="1:5" x14ac:dyDescent="0.2">
      <c r="A257" s="50">
        <v>31278</v>
      </c>
      <c r="B257" s="51">
        <v>2438.8000000000002</v>
      </c>
      <c r="C257" s="53">
        <f>(Table26[[#This Row],[M2 Money Stock, Billions of Dollars, Weekly, Seasonally Adjusted]]-B256)/B256</f>
        <v>5.7438253877085867E-4</v>
      </c>
      <c r="D257" s="54">
        <f>((1+Table26[[#This Row],[Weekly change]])^52)-1</f>
        <v>3.03095772317441E-2</v>
      </c>
      <c r="E257" s="57">
        <f>(Table26[[#This Row],[M2 Money Stock, Billions of Dollars, Weekly, Seasonally Adjusted]]-B205)/B205</f>
        <v>9.2603377984857432E-2</v>
      </c>
    </row>
    <row r="258" spans="1:5" x14ac:dyDescent="0.2">
      <c r="A258" s="50">
        <v>31285</v>
      </c>
      <c r="B258" s="51">
        <v>2442.3000000000002</v>
      </c>
      <c r="C258" s="53">
        <f>(Table26[[#This Row],[M2 Money Stock, Billions of Dollars, Weekly, Seasonally Adjusted]]-B257)/B257</f>
        <v>1.4351320321469574E-3</v>
      </c>
      <c r="D258" s="54">
        <f>((1+Table26[[#This Row],[Weekly change]])^52)-1</f>
        <v>7.7424388176898784E-2</v>
      </c>
      <c r="E258" s="57">
        <f>(Table26[[#This Row],[M2 Money Stock, Billions of Dollars, Weekly, Seasonally Adjusted]]-B206)/B206</f>
        <v>9.348556077904642E-2</v>
      </c>
    </row>
    <row r="259" spans="1:5" x14ac:dyDescent="0.2">
      <c r="A259" s="50">
        <v>31292</v>
      </c>
      <c r="B259" s="51">
        <v>2441.9</v>
      </c>
      <c r="C259" s="53">
        <f>(Table26[[#This Row],[M2 Money Stock, Billions of Dollars, Weekly, Seasonally Adjusted]]-B258)/B258</f>
        <v>-1.6378004340174873E-4</v>
      </c>
      <c r="D259" s="54">
        <f>((1+Table26[[#This Row],[Weekly change]])^52)-1</f>
        <v>-8.4810906576956446E-3</v>
      </c>
      <c r="E259" s="57">
        <f>(Table26[[#This Row],[M2 Money Stock, Billions of Dollars, Weekly, Seasonally Adjusted]]-B207)/B207</f>
        <v>9.1888749776426401E-2</v>
      </c>
    </row>
    <row r="260" spans="1:5" x14ac:dyDescent="0.2">
      <c r="A260" s="50">
        <v>31299</v>
      </c>
      <c r="B260" s="51">
        <v>2444.6</v>
      </c>
      <c r="C260" s="53">
        <f>(Table26[[#This Row],[M2 Money Stock, Billions of Dollars, Weekly, Seasonally Adjusted]]-B259)/B259</f>
        <v>1.1056963839632327E-3</v>
      </c>
      <c r="D260" s="54">
        <f>((1+Table26[[#This Row],[Weekly change]])^52)-1</f>
        <v>5.9147615911593565E-2</v>
      </c>
      <c r="E260" s="57">
        <f>(Table26[[#This Row],[M2 Money Stock, Billions of Dollars, Weekly, Seasonally Adjusted]]-B208)/B208</f>
        <v>9.0803623220739815E-2</v>
      </c>
    </row>
    <row r="261" spans="1:5" x14ac:dyDescent="0.2">
      <c r="A261" s="50">
        <v>31306</v>
      </c>
      <c r="B261" s="51">
        <v>2446.6999999999998</v>
      </c>
      <c r="C261" s="53">
        <f>(Table26[[#This Row],[M2 Money Stock, Billions of Dollars, Weekly, Seasonally Adjusted]]-B260)/B260</f>
        <v>8.5903624314812618E-4</v>
      </c>
      <c r="D261" s="54">
        <f>((1+Table26[[#This Row],[Weekly change]])^52)-1</f>
        <v>4.566255569815314E-2</v>
      </c>
      <c r="E261" s="57">
        <f>(Table26[[#This Row],[M2 Money Stock, Billions of Dollars, Weekly, Seasonally Adjusted]]-B209)/B209</f>
        <v>9.032976827094466E-2</v>
      </c>
    </row>
    <row r="262" spans="1:5" x14ac:dyDescent="0.2">
      <c r="A262" s="50">
        <v>31313</v>
      </c>
      <c r="B262" s="51">
        <v>2450.1999999999998</v>
      </c>
      <c r="C262" s="53">
        <f>(Table26[[#This Row],[M2 Money Stock, Billions of Dollars, Weekly, Seasonally Adjusted]]-B261)/B261</f>
        <v>1.4304982220950668E-3</v>
      </c>
      <c r="D262" s="54">
        <f>((1+Table26[[#This Row],[Weekly change]])^52)-1</f>
        <v>7.7165176651992962E-2</v>
      </c>
      <c r="E262" s="57">
        <f>(Table26[[#This Row],[M2 Money Stock, Billions of Dollars, Weekly, Seasonally Adjusted]]-B210)/B210</f>
        <v>9.0528752002848323E-2</v>
      </c>
    </row>
    <row r="263" spans="1:5" x14ac:dyDescent="0.2">
      <c r="A263" s="50">
        <v>31320</v>
      </c>
      <c r="B263" s="51">
        <v>2462.1</v>
      </c>
      <c r="C263" s="53">
        <f>(Table26[[#This Row],[M2 Money Stock, Billions of Dollars, Weekly, Seasonally Adjusted]]-B262)/B262</f>
        <v>4.8567463880499926E-3</v>
      </c>
      <c r="D263" s="54">
        <f>((1+Table26[[#This Row],[Weekly change]])^52)-1</f>
        <v>0.28651820453223564</v>
      </c>
      <c r="E263" s="57">
        <f>(Table26[[#This Row],[M2 Money Stock, Billions of Dollars, Weekly, Seasonally Adjusted]]-B211)/B211</f>
        <v>9.2567117816729494E-2</v>
      </c>
    </row>
    <row r="264" spans="1:5" x14ac:dyDescent="0.2">
      <c r="A264" s="50">
        <v>31327</v>
      </c>
      <c r="B264" s="51">
        <v>2460.8000000000002</v>
      </c>
      <c r="C264" s="53">
        <f>(Table26[[#This Row],[M2 Money Stock, Billions of Dollars, Weekly, Seasonally Adjusted]]-B263)/B263</f>
        <v>-5.2800454896215719E-4</v>
      </c>
      <c r="D264" s="54">
        <f>((1+Table26[[#This Row],[Weekly change]])^52)-1</f>
        <v>-2.7089794815719714E-2</v>
      </c>
      <c r="E264" s="57">
        <f>(Table26[[#This Row],[M2 Money Stock, Billions of Dollars, Weekly, Seasonally Adjusted]]-B212)/B212</f>
        <v>9.2184101904043442E-2</v>
      </c>
    </row>
    <row r="265" spans="1:5" x14ac:dyDescent="0.2">
      <c r="A265" s="50">
        <v>31334</v>
      </c>
      <c r="B265" s="51">
        <v>2461.4</v>
      </c>
      <c r="C265" s="53">
        <f>(Table26[[#This Row],[M2 Money Stock, Billions of Dollars, Weekly, Seasonally Adjusted]]-B264)/B264</f>
        <v>2.4382314694404626E-4</v>
      </c>
      <c r="D265" s="54">
        <f>((1+Table26[[#This Row],[Weekly change]])^52)-1</f>
        <v>1.2757955282487909E-2</v>
      </c>
      <c r="E265" s="57">
        <f>(Table26[[#This Row],[M2 Money Stock, Billions of Dollars, Weekly, Seasonally Adjusted]]-B213)/B213</f>
        <v>8.9500708215297584E-2</v>
      </c>
    </row>
    <row r="266" spans="1:5" x14ac:dyDescent="0.2">
      <c r="A266" s="50">
        <v>31341</v>
      </c>
      <c r="B266" s="51">
        <v>2467.1</v>
      </c>
      <c r="C266" s="53">
        <f>(Table26[[#This Row],[M2 Money Stock, Billions of Dollars, Weekly, Seasonally Adjusted]]-B265)/B265</f>
        <v>2.3157552612333705E-3</v>
      </c>
      <c r="D266" s="54">
        <f>((1+Table26[[#This Row],[Weekly change]])^52)-1</f>
        <v>0.1278126599590037</v>
      </c>
      <c r="E266" s="57">
        <f>(Table26[[#This Row],[M2 Money Stock, Billions of Dollars, Weekly, Seasonally Adjusted]]-B214)/B214</f>
        <v>9.2217106428191836E-2</v>
      </c>
    </row>
    <row r="267" spans="1:5" x14ac:dyDescent="0.2">
      <c r="A267" s="50">
        <v>31348</v>
      </c>
      <c r="B267" s="51">
        <v>2467.8000000000002</v>
      </c>
      <c r="C267" s="53">
        <f>(Table26[[#This Row],[M2 Money Stock, Billions of Dollars, Weekly, Seasonally Adjusted]]-B266)/B266</f>
        <v>2.8373393863251301E-4</v>
      </c>
      <c r="D267" s="54">
        <f>((1+Table26[[#This Row],[Weekly change]])^52)-1</f>
        <v>1.4861420937115177E-2</v>
      </c>
      <c r="E267" s="57">
        <f>(Table26[[#This Row],[M2 Money Stock, Billions of Dollars, Weekly, Seasonally Adjusted]]-B215)/B215</f>
        <v>8.982511923688398E-2</v>
      </c>
    </row>
    <row r="268" spans="1:5" x14ac:dyDescent="0.2">
      <c r="A268" s="50">
        <v>31355</v>
      </c>
      <c r="B268" s="51">
        <v>2469.8000000000002</v>
      </c>
      <c r="C268" s="53">
        <f>(Table26[[#This Row],[M2 Money Stock, Billions of Dollars, Weekly, Seasonally Adjusted]]-B267)/B267</f>
        <v>8.1043844719993509E-4</v>
      </c>
      <c r="D268" s="54">
        <f>((1+Table26[[#This Row],[Weekly change]])^52)-1</f>
        <v>4.3025611580346457E-2</v>
      </c>
      <c r="E268" s="57">
        <f>(Table26[[#This Row],[M2 Money Stock, Billions of Dollars, Weekly, Seasonally Adjusted]]-B216)/B216</f>
        <v>8.7634313898185656E-2</v>
      </c>
    </row>
    <row r="269" spans="1:5" x14ac:dyDescent="0.2">
      <c r="A269" s="50">
        <v>31362</v>
      </c>
      <c r="B269" s="51">
        <v>2470.1999999999998</v>
      </c>
      <c r="C269" s="53">
        <f>(Table26[[#This Row],[M2 Money Stock, Billions of Dollars, Weekly, Seasonally Adjusted]]-B268)/B268</f>
        <v>1.619564337191822E-4</v>
      </c>
      <c r="D269" s="54">
        <f>((1+Table26[[#This Row],[Weekly change]])^52)-1</f>
        <v>8.4566094523328417E-3</v>
      </c>
      <c r="E269" s="57">
        <f>(Table26[[#This Row],[M2 Money Stock, Billions of Dollars, Weekly, Seasonally Adjusted]]-B217)/B217</f>
        <v>8.5372819543916567E-2</v>
      </c>
    </row>
    <row r="270" spans="1:5" x14ac:dyDescent="0.2">
      <c r="A270" s="50">
        <v>31369</v>
      </c>
      <c r="B270" s="51">
        <v>2473.6</v>
      </c>
      <c r="C270" s="53">
        <f>(Table26[[#This Row],[M2 Money Stock, Billions of Dollars, Weekly, Seasonally Adjusted]]-B269)/B269</f>
        <v>1.3764067686827346E-3</v>
      </c>
      <c r="D270" s="54">
        <f>((1+Table26[[#This Row],[Weekly change]])^52)-1</f>
        <v>7.4143865653101049E-2</v>
      </c>
      <c r="E270" s="57">
        <f>(Table26[[#This Row],[M2 Money Stock, Billions of Dollars, Weekly, Seasonally Adjusted]]-B218)/B218</f>
        <v>8.3391730903994446E-2</v>
      </c>
    </row>
    <row r="271" spans="1:5" x14ac:dyDescent="0.2">
      <c r="A271" s="50">
        <v>31376</v>
      </c>
      <c r="B271" s="51">
        <v>2479.5</v>
      </c>
      <c r="C271" s="53">
        <f>(Table26[[#This Row],[M2 Money Stock, Billions of Dollars, Weekly, Seasonally Adjusted]]-B270)/B270</f>
        <v>2.3851875808538533E-3</v>
      </c>
      <c r="D271" s="54">
        <f>((1+Table26[[#This Row],[Weekly change]])^52)-1</f>
        <v>0.13188238236287764</v>
      </c>
      <c r="E271" s="57">
        <f>(Table26[[#This Row],[M2 Money Stock, Billions of Dollars, Weekly, Seasonally Adjusted]]-B219)/B219</f>
        <v>8.4550782958621382E-2</v>
      </c>
    </row>
    <row r="272" spans="1:5" x14ac:dyDescent="0.2">
      <c r="A272" s="50">
        <v>31383</v>
      </c>
      <c r="B272" s="51">
        <v>2482.6</v>
      </c>
      <c r="C272" s="53">
        <f>(Table26[[#This Row],[M2 Money Stock, Billions of Dollars, Weekly, Seasonally Adjusted]]-B271)/B271</f>
        <v>1.250252066948945E-3</v>
      </c>
      <c r="D272" s="54">
        <f>((1+Table26[[#This Row],[Weekly change]])^52)-1</f>
        <v>6.7129677848644542E-2</v>
      </c>
      <c r="E272" s="57">
        <f>(Table26[[#This Row],[M2 Money Stock, Billions of Dollars, Weekly, Seasonally Adjusted]]-B220)/B220</f>
        <v>8.5242175205455503E-2</v>
      </c>
    </row>
    <row r="273" spans="1:5" x14ac:dyDescent="0.2">
      <c r="A273" s="50">
        <v>31390</v>
      </c>
      <c r="B273" s="51">
        <v>2486.8000000000002</v>
      </c>
      <c r="C273" s="53">
        <f>(Table26[[#This Row],[M2 Money Stock, Billions of Dollars, Weekly, Seasonally Adjusted]]-B272)/B272</f>
        <v>1.6917747522759497E-3</v>
      </c>
      <c r="D273" s="54">
        <f>((1+Table26[[#This Row],[Weekly change]])^52)-1</f>
        <v>9.187669719789171E-2</v>
      </c>
      <c r="E273" s="57">
        <f>(Table26[[#This Row],[M2 Money Stock, Billions of Dollars, Weekly, Seasonally Adjusted]]-B221)/B221</f>
        <v>8.2582386487310214E-2</v>
      </c>
    </row>
    <row r="274" spans="1:5" x14ac:dyDescent="0.2">
      <c r="A274" s="50">
        <v>31397</v>
      </c>
      <c r="B274" s="51">
        <v>2489.6</v>
      </c>
      <c r="C274" s="53">
        <f>(Table26[[#This Row],[M2 Money Stock, Billions of Dollars, Weekly, Seasonally Adjusted]]-B273)/B273</f>
        <v>1.1259449895446867E-3</v>
      </c>
      <c r="D274" s="54">
        <f>((1+Table26[[#This Row],[Weekly change]])^52)-1</f>
        <v>6.0262164582788325E-2</v>
      </c>
      <c r="E274" s="57">
        <f>(Table26[[#This Row],[M2 Money Stock, Billions of Dollars, Weekly, Seasonally Adjusted]]-B222)/B222</f>
        <v>8.0837023530433191E-2</v>
      </c>
    </row>
    <row r="275" spans="1:5" x14ac:dyDescent="0.2">
      <c r="A275" s="50">
        <v>31404</v>
      </c>
      <c r="B275" s="51">
        <v>2495.1</v>
      </c>
      <c r="C275" s="53">
        <f>(Table26[[#This Row],[M2 Money Stock, Billions of Dollars, Weekly, Seasonally Adjusted]]-B274)/B274</f>
        <v>2.209190231362468E-3</v>
      </c>
      <c r="D275" s="54">
        <f>((1+Table26[[#This Row],[Weekly change]])^52)-1</f>
        <v>0.12159433341422043</v>
      </c>
      <c r="E275" s="57">
        <f>(Table26[[#This Row],[M2 Money Stock, Billions of Dollars, Weekly, Seasonally Adjusted]]-B223)/B223</f>
        <v>7.9475642467768365E-2</v>
      </c>
    </row>
    <row r="276" spans="1:5" x14ac:dyDescent="0.2">
      <c r="A276" s="50">
        <v>31411</v>
      </c>
      <c r="B276" s="51">
        <v>2494.3000000000002</v>
      </c>
      <c r="C276" s="53">
        <f>(Table26[[#This Row],[M2 Money Stock, Billions of Dollars, Weekly, Seasonally Adjusted]]-B275)/B275</f>
        <v>-3.2062843172607399E-4</v>
      </c>
      <c r="D276" s="54">
        <f>((1+Table26[[#This Row],[Weekly change]])^52)-1</f>
        <v>-1.6537087809128548E-2</v>
      </c>
      <c r="E276" s="57">
        <f>(Table26[[#This Row],[M2 Money Stock, Billions of Dollars, Weekly, Seasonally Adjusted]]-B224)/B224</f>
        <v>7.6614295580110486E-2</v>
      </c>
    </row>
    <row r="277" spans="1:5" x14ac:dyDescent="0.2">
      <c r="A277" s="50">
        <v>31418</v>
      </c>
      <c r="B277" s="51">
        <v>2501.1999999999998</v>
      </c>
      <c r="C277" s="53">
        <f>(Table26[[#This Row],[M2 Money Stock, Billions of Dollars, Weekly, Seasonally Adjusted]]-B276)/B276</f>
        <v>2.7663071803711004E-3</v>
      </c>
      <c r="D277" s="54">
        <f>((1+Table26[[#This Row],[Weekly change]])^52)-1</f>
        <v>0.15447924908404098</v>
      </c>
      <c r="E277" s="57">
        <f>(Table26[[#This Row],[M2 Money Stock, Billions of Dollars, Weekly, Seasonally Adjusted]]-B225)/B225</f>
        <v>7.6757501399113054E-2</v>
      </c>
    </row>
    <row r="278" spans="1:5" x14ac:dyDescent="0.2">
      <c r="A278" s="50">
        <v>31425</v>
      </c>
      <c r="B278" s="51">
        <v>2499.6</v>
      </c>
      <c r="C278" s="53">
        <f>(Table26[[#This Row],[M2 Money Stock, Billions of Dollars, Weekly, Seasonally Adjusted]]-B277)/B277</f>
        <v>-6.3969294738521875E-4</v>
      </c>
      <c r="D278" s="54">
        <f>((1+Table26[[#This Row],[Weekly change]])^52)-1</f>
        <v>-3.2727164685194987E-2</v>
      </c>
      <c r="E278" s="57">
        <f>(Table26[[#This Row],[M2 Money Stock, Billions of Dollars, Weekly, Seasonally Adjusted]]-B226)/B226</f>
        <v>7.1961574749120724E-2</v>
      </c>
    </row>
    <row r="279" spans="1:5" x14ac:dyDescent="0.2">
      <c r="A279" s="50">
        <v>31432</v>
      </c>
      <c r="B279" s="51">
        <v>2503.6999999999998</v>
      </c>
      <c r="C279" s="53">
        <f>(Table26[[#This Row],[M2 Money Stock, Billions of Dollars, Weekly, Seasonally Adjusted]]-B278)/B278</f>
        <v>1.6402624419906821E-3</v>
      </c>
      <c r="D279" s="54">
        <f>((1+Table26[[#This Row],[Weekly change]])^52)-1</f>
        <v>8.8960717700406811E-2</v>
      </c>
      <c r="E279" s="57">
        <f>(Table26[[#This Row],[M2 Money Stock, Billions of Dollars, Weekly, Seasonally Adjusted]]-B227)/B227</f>
        <v>7.119325717708451E-2</v>
      </c>
    </row>
    <row r="280" spans="1:5" x14ac:dyDescent="0.2">
      <c r="A280" s="50">
        <v>31439</v>
      </c>
      <c r="B280" s="51">
        <v>2509.1</v>
      </c>
      <c r="C280" s="53">
        <f>(Table26[[#This Row],[M2 Money Stock, Billions of Dollars, Weekly, Seasonally Adjusted]]-B279)/B279</f>
        <v>2.1568079242721139E-3</v>
      </c>
      <c r="D280" s="54">
        <f>((1+Table26[[#This Row],[Weekly change]])^52)-1</f>
        <v>0.11855003879282267</v>
      </c>
      <c r="E280" s="57">
        <f>(Table26[[#This Row],[M2 Money Stock, Billions of Dollars, Weekly, Seasonally Adjusted]]-B228)/B228</f>
        <v>7.1669585273138728E-2</v>
      </c>
    </row>
    <row r="281" spans="1:5" x14ac:dyDescent="0.2">
      <c r="A281" s="50">
        <v>31446</v>
      </c>
      <c r="B281" s="51">
        <v>2505.6999999999998</v>
      </c>
      <c r="C281" s="53">
        <f>(Table26[[#This Row],[M2 Money Stock, Billions of Dollars, Weekly, Seasonally Adjusted]]-B280)/B280</f>
        <v>-1.3550675541031012E-3</v>
      </c>
      <c r="D281" s="54">
        <f>((1+Table26[[#This Row],[Weekly change]])^52)-1</f>
        <v>-6.8082788771238301E-2</v>
      </c>
      <c r="E281" s="57">
        <f>(Table26[[#This Row],[M2 Money Stock, Billions of Dollars, Weekly, Seasonally Adjusted]]-B229)/B229</f>
        <v>6.898464163822518E-2</v>
      </c>
    </row>
    <row r="282" spans="1:5" x14ac:dyDescent="0.2">
      <c r="A282" s="50">
        <v>31453</v>
      </c>
      <c r="B282" s="51">
        <v>2510.6</v>
      </c>
      <c r="C282" s="53">
        <f>(Table26[[#This Row],[M2 Money Stock, Billions of Dollars, Weekly, Seasonally Adjusted]]-B281)/B281</f>
        <v>1.9555413656862719E-3</v>
      </c>
      <c r="D282" s="54">
        <f>((1+Table26[[#This Row],[Weekly change]])^52)-1</f>
        <v>0.10692826765019836</v>
      </c>
      <c r="E282" s="57">
        <f>(Table26[[#This Row],[M2 Money Stock, Billions of Dollars, Weekly, Seasonally Adjusted]]-B230)/B230</f>
        <v>7.0253218518202626E-2</v>
      </c>
    </row>
    <row r="283" spans="1:5" x14ac:dyDescent="0.2">
      <c r="A283" s="50">
        <v>31460</v>
      </c>
      <c r="B283" s="51">
        <v>2512.6</v>
      </c>
      <c r="C283" s="53">
        <f>(Table26[[#This Row],[M2 Money Stock, Billions of Dollars, Weekly, Seasonally Adjusted]]-B282)/B282</f>
        <v>7.9662232135744443E-4</v>
      </c>
      <c r="D283" s="54">
        <f>((1+Table26[[#This Row],[Weekly change]])^52)-1</f>
        <v>4.2277132105214887E-2</v>
      </c>
      <c r="E283" s="57">
        <f>(Table26[[#This Row],[M2 Money Stock, Billions of Dollars, Weekly, Seasonally Adjusted]]-B231)/B231</f>
        <v>6.9419025324537101E-2</v>
      </c>
    </row>
    <row r="284" spans="1:5" x14ac:dyDescent="0.2">
      <c r="A284" s="50">
        <v>31467</v>
      </c>
      <c r="B284" s="51">
        <v>2517.8000000000002</v>
      </c>
      <c r="C284" s="53">
        <f>(Table26[[#This Row],[M2 Money Stock, Billions of Dollars, Weekly, Seasonally Adjusted]]-B283)/B283</f>
        <v>2.0695693703734271E-3</v>
      </c>
      <c r="D284" s="54">
        <f>((1+Table26[[#This Row],[Weekly change]])^52)-1</f>
        <v>0.11349798668299438</v>
      </c>
      <c r="E284" s="57">
        <f>(Table26[[#This Row],[M2 Money Stock, Billions of Dollars, Weekly, Seasonally Adjusted]]-B232)/B232</f>
        <v>7.040217668565614E-2</v>
      </c>
    </row>
    <row r="285" spans="1:5" x14ac:dyDescent="0.2">
      <c r="A285" s="50">
        <v>31474</v>
      </c>
      <c r="B285" s="51">
        <v>2521</v>
      </c>
      <c r="C285" s="53">
        <f>(Table26[[#This Row],[M2 Money Stock, Billions of Dollars, Weekly, Seasonally Adjusted]]-B284)/B284</f>
        <v>1.2709508300896885E-3</v>
      </c>
      <c r="D285" s="54">
        <f>((1+Table26[[#This Row],[Weekly change]])^52)-1</f>
        <v>6.8277438308293803E-2</v>
      </c>
      <c r="E285" s="57">
        <f>(Table26[[#This Row],[M2 Money Stock, Billions of Dollars, Weekly, Seasonally Adjusted]]-B233)/B233</f>
        <v>6.9443855258134221E-2</v>
      </c>
    </row>
    <row r="286" spans="1:5" x14ac:dyDescent="0.2">
      <c r="A286" s="50">
        <v>31481</v>
      </c>
      <c r="B286" s="51">
        <v>2528.8000000000002</v>
      </c>
      <c r="C286" s="53">
        <f>(Table26[[#This Row],[M2 Money Stock, Billions of Dollars, Weekly, Seasonally Adjusted]]-B285)/B285</f>
        <v>3.0940103133677834E-3</v>
      </c>
      <c r="D286" s="54">
        <f>((1+Table26[[#This Row],[Weekly change]])^52)-1</f>
        <v>0.17426233811673786</v>
      </c>
      <c r="E286" s="57">
        <f>(Table26[[#This Row],[M2 Money Stock, Billions of Dollars, Weekly, Seasonally Adjusted]]-B234)/B234</f>
        <v>7.1979652395082735E-2</v>
      </c>
    </row>
    <row r="287" spans="1:5" x14ac:dyDescent="0.2">
      <c r="A287" s="50">
        <v>31488</v>
      </c>
      <c r="B287" s="51">
        <v>2535.3000000000002</v>
      </c>
      <c r="C287" s="53">
        <f>(Table26[[#This Row],[M2 Money Stock, Billions of Dollars, Weekly, Seasonally Adjusted]]-B286)/B286</f>
        <v>2.5703891173679216E-3</v>
      </c>
      <c r="D287" s="54">
        <f>((1+Table26[[#This Row],[Weekly change]])^52)-1</f>
        <v>0.1428084077439018</v>
      </c>
      <c r="E287" s="57">
        <f>(Table26[[#This Row],[M2 Money Stock, Billions of Dollars, Weekly, Seasonally Adjusted]]-B235)/B235</f>
        <v>7.3915621823110803E-2</v>
      </c>
    </row>
    <row r="288" spans="1:5" x14ac:dyDescent="0.2">
      <c r="A288" s="50">
        <v>31495</v>
      </c>
      <c r="B288" s="51">
        <v>2541</v>
      </c>
      <c r="C288" s="53">
        <f>(Table26[[#This Row],[M2 Money Stock, Billions of Dollars, Weekly, Seasonally Adjusted]]-B287)/B287</f>
        <v>2.2482546444207068E-3</v>
      </c>
      <c r="D288" s="54">
        <f>((1+Table26[[#This Row],[Weekly change]])^52)-1</f>
        <v>0.12386992230074489</v>
      </c>
      <c r="E288" s="57">
        <f>(Table26[[#This Row],[M2 Money Stock, Billions of Dollars, Weekly, Seasonally Adjusted]]-B236)/B236</f>
        <v>7.382833960191007E-2</v>
      </c>
    </row>
    <row r="289" spans="1:5" x14ac:dyDescent="0.2">
      <c r="A289" s="50">
        <v>31502</v>
      </c>
      <c r="B289" s="51">
        <v>2547.8000000000002</v>
      </c>
      <c r="C289" s="53">
        <f>(Table26[[#This Row],[M2 Money Stock, Billions of Dollars, Weekly, Seasonally Adjusted]]-B288)/B288</f>
        <v>2.6761117670209295E-3</v>
      </c>
      <c r="D289" s="54">
        <f>((1+Table26[[#This Row],[Weekly change]])^52)-1</f>
        <v>0.14909185889172871</v>
      </c>
      <c r="E289" s="57">
        <f>(Table26[[#This Row],[M2 Money Stock, Billions of Dollars, Weekly, Seasonally Adjusted]]-B237)/B237</f>
        <v>7.4749008689783292E-2</v>
      </c>
    </row>
    <row r="290" spans="1:5" x14ac:dyDescent="0.2">
      <c r="A290" s="50">
        <v>31509</v>
      </c>
      <c r="B290" s="51">
        <v>2553.6999999999998</v>
      </c>
      <c r="C290" s="53">
        <f>(Table26[[#This Row],[M2 Money Stock, Billions of Dollars, Weekly, Seasonally Adjusted]]-B289)/B289</f>
        <v>2.3157233691811115E-3</v>
      </c>
      <c r="D290" s="54">
        <f>((1+Table26[[#This Row],[Weekly change]])^52)-1</f>
        <v>0.12781079393224171</v>
      </c>
      <c r="E290" s="57">
        <f>(Table26[[#This Row],[M2 Money Stock, Billions of Dollars, Weekly, Seasonally Adjusted]]-B238)/B238</f>
        <v>7.8192949123918012E-2</v>
      </c>
    </row>
    <row r="291" spans="1:5" x14ac:dyDescent="0.2">
      <c r="A291" s="50">
        <v>31516</v>
      </c>
      <c r="B291" s="51">
        <v>2555.4</v>
      </c>
      <c r="C291" s="53">
        <f>(Table26[[#This Row],[M2 Money Stock, Billions of Dollars, Weekly, Seasonally Adjusted]]-B290)/B290</f>
        <v>6.6570074793447659E-4</v>
      </c>
      <c r="D291" s="54">
        <f>((1+Table26[[#This Row],[Weekly change]])^52)-1</f>
        <v>3.5210638954576545E-2</v>
      </c>
      <c r="E291" s="57">
        <f>(Table26[[#This Row],[M2 Money Stock, Billions of Dollars, Weekly, Seasonally Adjusted]]-B239)/B239</f>
        <v>7.7591296280678082E-2</v>
      </c>
    </row>
    <row r="292" spans="1:5" x14ac:dyDescent="0.2">
      <c r="A292" s="50">
        <v>31523</v>
      </c>
      <c r="B292" s="51">
        <v>2562.4</v>
      </c>
      <c r="C292" s="53">
        <f>(Table26[[#This Row],[M2 Money Stock, Billions of Dollars, Weekly, Seasonally Adjusted]]-B291)/B291</f>
        <v>2.7392971746106284E-3</v>
      </c>
      <c r="D292" s="54">
        <f>((1+Table26[[#This Row],[Weekly change]])^52)-1</f>
        <v>0.1528633428648023</v>
      </c>
      <c r="E292" s="57">
        <f>(Table26[[#This Row],[M2 Money Stock, Billions of Dollars, Weekly, Seasonally Adjusted]]-B240)/B240</f>
        <v>7.8678173016207151E-2</v>
      </c>
    </row>
    <row r="293" spans="1:5" x14ac:dyDescent="0.2">
      <c r="A293" s="50">
        <v>31530</v>
      </c>
      <c r="B293" s="51">
        <v>2568.9</v>
      </c>
      <c r="C293" s="53">
        <f>(Table26[[#This Row],[M2 Money Stock, Billions of Dollars, Weekly, Seasonally Adjusted]]-B292)/B292</f>
        <v>2.5366843584139868E-3</v>
      </c>
      <c r="D293" s="54">
        <f>((1+Table26[[#This Row],[Weekly change]])^52)-1</f>
        <v>0.14081231431582197</v>
      </c>
      <c r="E293" s="57">
        <f>(Table26[[#This Row],[M2 Money Stock, Billions of Dollars, Weekly, Seasonally Adjusted]]-B241)/B241</f>
        <v>8.1869867340492772E-2</v>
      </c>
    </row>
    <row r="294" spans="1:5" x14ac:dyDescent="0.2">
      <c r="A294" s="50">
        <v>31537</v>
      </c>
      <c r="B294" s="51">
        <v>2575.8000000000002</v>
      </c>
      <c r="C294" s="53">
        <f>(Table26[[#This Row],[M2 Money Stock, Billions of Dollars, Weekly, Seasonally Adjusted]]-B293)/B293</f>
        <v>2.6859745416326409E-3</v>
      </c>
      <c r="D294" s="54">
        <f>((1+Table26[[#This Row],[Weekly change]])^52)-1</f>
        <v>0.14967976161210883</v>
      </c>
      <c r="E294" s="57">
        <f>(Table26[[#This Row],[M2 Money Stock, Billions of Dollars, Weekly, Seasonally Adjusted]]-B242)/B242</f>
        <v>8.3361372812920706E-2</v>
      </c>
    </row>
    <row r="295" spans="1:5" x14ac:dyDescent="0.2">
      <c r="A295" s="50">
        <v>31544</v>
      </c>
      <c r="B295" s="51">
        <v>2580.3000000000002</v>
      </c>
      <c r="C295" s="53">
        <f>(Table26[[#This Row],[M2 Money Stock, Billions of Dollars, Weekly, Seasonally Adjusted]]-B294)/B294</f>
        <v>1.7470300489168412E-3</v>
      </c>
      <c r="D295" s="54">
        <f>((1+Table26[[#This Row],[Weekly change]])^52)-1</f>
        <v>9.5013070670518562E-2</v>
      </c>
      <c r="E295" s="57">
        <f>(Table26[[#This Row],[M2 Money Stock, Billions of Dollars, Weekly, Seasonally Adjusted]]-B243)/B243</f>
        <v>8.3476800335922807E-2</v>
      </c>
    </row>
    <row r="296" spans="1:5" x14ac:dyDescent="0.2">
      <c r="A296" s="50">
        <v>31551</v>
      </c>
      <c r="B296" s="51">
        <v>2585.1999999999998</v>
      </c>
      <c r="C296" s="53">
        <f>(Table26[[#This Row],[M2 Money Stock, Billions of Dollars, Weekly, Seasonally Adjusted]]-B295)/B295</f>
        <v>1.89900399178376E-3</v>
      </c>
      <c r="D296" s="54">
        <f>((1+Table26[[#This Row],[Weekly change]])^52)-1</f>
        <v>0.10368498171360652</v>
      </c>
      <c r="E296" s="57">
        <f>(Table26[[#This Row],[M2 Money Stock, Billions of Dollars, Weekly, Seasonally Adjusted]]-B244)/B244</f>
        <v>8.3123847829730022E-2</v>
      </c>
    </row>
    <row r="297" spans="1:5" x14ac:dyDescent="0.2">
      <c r="A297" s="50">
        <v>31558</v>
      </c>
      <c r="B297" s="51">
        <v>2591.1999999999998</v>
      </c>
      <c r="C297" s="53">
        <f>(Table26[[#This Row],[M2 Money Stock, Billions of Dollars, Weekly, Seasonally Adjusted]]-B296)/B296</f>
        <v>2.3209036051369336E-3</v>
      </c>
      <c r="D297" s="54">
        <f>((1+Table26[[#This Row],[Weekly change]])^52)-1</f>
        <v>0.12811393294115203</v>
      </c>
      <c r="E297" s="57">
        <f>(Table26[[#This Row],[M2 Money Stock, Billions of Dollars, Weekly, Seasonally Adjusted]]-B245)/B245</f>
        <v>8.4002677376171231E-2</v>
      </c>
    </row>
    <row r="298" spans="1:5" x14ac:dyDescent="0.2">
      <c r="A298" s="50">
        <v>31565</v>
      </c>
      <c r="B298" s="51">
        <v>2594.1999999999998</v>
      </c>
      <c r="C298" s="53">
        <f>(Table26[[#This Row],[M2 Money Stock, Billions of Dollars, Weekly, Seasonally Adjusted]]-B297)/B297</f>
        <v>1.1577647422043843E-3</v>
      </c>
      <c r="D298" s="54">
        <f>((1+Table26[[#This Row],[Weekly change]])^52)-1</f>
        <v>6.2015951096216382E-2</v>
      </c>
      <c r="E298" s="57">
        <f>(Table26[[#This Row],[M2 Money Stock, Billions of Dollars, Weekly, Seasonally Adjusted]]-B246)/B246</f>
        <v>8.3987965903392955E-2</v>
      </c>
    </row>
    <row r="299" spans="1:5" x14ac:dyDescent="0.2">
      <c r="A299" s="50">
        <v>31572</v>
      </c>
      <c r="B299" s="51">
        <v>2601.6999999999998</v>
      </c>
      <c r="C299" s="53">
        <f>(Table26[[#This Row],[M2 Money Stock, Billions of Dollars, Weekly, Seasonally Adjusted]]-B298)/B298</f>
        <v>2.8910646827538357E-3</v>
      </c>
      <c r="D299" s="54">
        <f>((1+Table26[[#This Row],[Weekly change]])^52)-1</f>
        <v>0.16197188968279885</v>
      </c>
      <c r="E299" s="57">
        <f>(Table26[[#This Row],[M2 Money Stock, Billions of Dollars, Weekly, Seasonally Adjusted]]-B247)/B247</f>
        <v>8.2508113505866579E-2</v>
      </c>
    </row>
    <row r="300" spans="1:5" x14ac:dyDescent="0.2">
      <c r="A300" s="50">
        <v>31579</v>
      </c>
      <c r="B300" s="51">
        <v>2609.6</v>
      </c>
      <c r="C300" s="53">
        <f>(Table26[[#This Row],[M2 Money Stock, Billions of Dollars, Weekly, Seasonally Adjusted]]-B299)/B299</f>
        <v>3.0364761502095134E-3</v>
      </c>
      <c r="D300" s="54">
        <f>((1+Table26[[#This Row],[Weekly change]])^52)-1</f>
        <v>0.17076516134985043</v>
      </c>
      <c r="E300" s="57">
        <f>(Table26[[#This Row],[M2 Money Stock, Billions of Dollars, Weekly, Seasonally Adjusted]]-B248)/B248</f>
        <v>8.3136180633378867E-2</v>
      </c>
    </row>
    <row r="301" spans="1:5" x14ac:dyDescent="0.2">
      <c r="A301" s="50">
        <v>31586</v>
      </c>
      <c r="B301" s="51">
        <v>2615.1999999999998</v>
      </c>
      <c r="C301" s="53">
        <f>(Table26[[#This Row],[M2 Money Stock, Billions of Dollars, Weekly, Seasonally Adjusted]]-B300)/B300</f>
        <v>2.1459227467810812E-3</v>
      </c>
      <c r="D301" s="54">
        <f>((1+Table26[[#This Row],[Weekly change]])^52)-1</f>
        <v>0.11791844433386722</v>
      </c>
      <c r="E301" s="57">
        <f>(Table26[[#This Row],[M2 Money Stock, Billions of Dollars, Weekly, Seasonally Adjusted]]-B249)/B249</f>
        <v>8.1555004135649228E-2</v>
      </c>
    </row>
    <row r="302" spans="1:5" x14ac:dyDescent="0.2">
      <c r="A302" s="50">
        <v>31593</v>
      </c>
      <c r="B302" s="51">
        <v>2620.1999999999998</v>
      </c>
      <c r="C302" s="53">
        <f>(Table26[[#This Row],[M2 Money Stock, Billions of Dollars, Weekly, Seasonally Adjusted]]-B301)/B301</f>
        <v>1.9118996635056594E-3</v>
      </c>
      <c r="D302" s="54">
        <f>((1+Table26[[#This Row],[Weekly change]])^52)-1</f>
        <v>0.10442392490256869</v>
      </c>
      <c r="E302" s="57">
        <f>(Table26[[#This Row],[M2 Money Stock, Billions of Dollars, Weekly, Seasonally Adjusted]]-B250)/B250</f>
        <v>8.0361192429802344E-2</v>
      </c>
    </row>
    <row r="303" spans="1:5" x14ac:dyDescent="0.2">
      <c r="A303" s="50">
        <v>31600</v>
      </c>
      <c r="B303" s="51">
        <v>2624</v>
      </c>
      <c r="C303" s="53">
        <f>(Table26[[#This Row],[M2 Money Stock, Billions of Dollars, Weekly, Seasonally Adjusted]]-B302)/B302</f>
        <v>1.4502709716816206E-3</v>
      </c>
      <c r="D303" s="54">
        <f>((1+Table26[[#This Row],[Weekly change]])^52)-1</f>
        <v>7.8271674513013645E-2</v>
      </c>
      <c r="E303" s="57">
        <f>(Table26[[#This Row],[M2 Money Stock, Billions of Dollars, Weekly, Seasonally Adjusted]]-B251)/B251</f>
        <v>8.2999711090016054E-2</v>
      </c>
    </row>
    <row r="304" spans="1:5" x14ac:dyDescent="0.2">
      <c r="A304" s="50">
        <v>31607</v>
      </c>
      <c r="B304" s="51">
        <v>2629.4</v>
      </c>
      <c r="C304" s="53">
        <f>(Table26[[#This Row],[M2 Money Stock, Billions of Dollars, Weekly, Seasonally Adjusted]]-B303)/B303</f>
        <v>2.0579268292683275E-3</v>
      </c>
      <c r="D304" s="54">
        <f>((1+Table26[[#This Row],[Weekly change]])^52)-1</f>
        <v>0.11282545302738667</v>
      </c>
      <c r="E304" s="57">
        <f>(Table26[[#This Row],[M2 Money Stock, Billions of Dollars, Weekly, Seasonally Adjusted]]-B252)/B252</f>
        <v>8.3261236765129934E-2</v>
      </c>
    </row>
    <row r="305" spans="1:5" x14ac:dyDescent="0.2">
      <c r="A305" s="50">
        <v>31614</v>
      </c>
      <c r="B305" s="51">
        <v>2635.1</v>
      </c>
      <c r="C305" s="53">
        <f>(Table26[[#This Row],[M2 Money Stock, Billions of Dollars, Weekly, Seasonally Adjusted]]-B304)/B304</f>
        <v>2.1677949342054528E-3</v>
      </c>
      <c r="D305" s="54">
        <f>((1+Table26[[#This Row],[Weekly change]])^52)-1</f>
        <v>0.11918789680630337</v>
      </c>
      <c r="E305" s="57">
        <f>(Table26[[#This Row],[M2 Money Stock, Billions of Dollars, Weekly, Seasonally Adjusted]]-B253)/B253</f>
        <v>8.4358668367556899E-2</v>
      </c>
    </row>
    <row r="306" spans="1:5" x14ac:dyDescent="0.2">
      <c r="A306" s="50">
        <v>31621</v>
      </c>
      <c r="B306" s="51">
        <v>2638.9</v>
      </c>
      <c r="C306" s="53">
        <f>(Table26[[#This Row],[M2 Money Stock, Billions of Dollars, Weekly, Seasonally Adjusted]]-B305)/B305</f>
        <v>1.4420705096581466E-3</v>
      </c>
      <c r="D306" s="54">
        <f>((1+Table26[[#This Row],[Weekly change]])^52)-1</f>
        <v>7.7812635293981858E-2</v>
      </c>
      <c r="E306" s="57">
        <f>(Table26[[#This Row],[M2 Money Stock, Billions of Dollars, Weekly, Seasonally Adjusted]]-B254)/B254</f>
        <v>8.5074013157894771E-2</v>
      </c>
    </row>
    <row r="307" spans="1:5" x14ac:dyDescent="0.2">
      <c r="A307" s="50">
        <v>31628</v>
      </c>
      <c r="B307" s="51">
        <v>2643.3</v>
      </c>
      <c r="C307" s="53">
        <f>(Table26[[#This Row],[M2 Money Stock, Billions of Dollars, Weekly, Seasonally Adjusted]]-B306)/B306</f>
        <v>1.667361400583611E-3</v>
      </c>
      <c r="D307" s="54">
        <f>((1+Table26[[#This Row],[Weekly change]])^52)-1</f>
        <v>9.0493766690060706E-2</v>
      </c>
      <c r="E307" s="57">
        <f>(Table26[[#This Row],[M2 Money Stock, Billions of Dollars, Weekly, Seasonally Adjusted]]-B255)/B255</f>
        <v>8.5410421713957213E-2</v>
      </c>
    </row>
    <row r="308" spans="1:5" x14ac:dyDescent="0.2">
      <c r="A308" s="50">
        <v>31635</v>
      </c>
      <c r="B308" s="51">
        <v>2647.8</v>
      </c>
      <c r="C308" s="53">
        <f>(Table26[[#This Row],[M2 Money Stock, Billions of Dollars, Weekly, Seasonally Adjusted]]-B307)/B307</f>
        <v>1.7024174327545114E-3</v>
      </c>
      <c r="D308" s="54">
        <f>((1+Table26[[#This Row],[Weekly change]])^52)-1</f>
        <v>9.2480105839224613E-2</v>
      </c>
      <c r="E308" s="57">
        <f>(Table26[[#This Row],[M2 Money Stock, Billions of Dollars, Weekly, Seasonally Adjusted]]-B256)/B256</f>
        <v>8.6321490112414898E-2</v>
      </c>
    </row>
    <row r="309" spans="1:5" x14ac:dyDescent="0.2">
      <c r="A309" s="50">
        <v>31642</v>
      </c>
      <c r="B309" s="51">
        <v>2650.5</v>
      </c>
      <c r="C309" s="53">
        <f>(Table26[[#This Row],[M2 Money Stock, Billions of Dollars, Weekly, Seasonally Adjusted]]-B308)/B308</f>
        <v>1.0197144799455465E-3</v>
      </c>
      <c r="D309" s="54">
        <f>((1+Table26[[#This Row],[Weekly change]])^52)-1</f>
        <v>5.4427679731622103E-2</v>
      </c>
      <c r="E309" s="57">
        <f>(Table26[[#This Row],[M2 Money Stock, Billions of Dollars, Weekly, Seasonally Adjusted]]-B257)/B257</f>
        <v>8.6804986058717323E-2</v>
      </c>
    </row>
    <row r="310" spans="1:5" x14ac:dyDescent="0.2">
      <c r="A310" s="50">
        <v>31649</v>
      </c>
      <c r="B310" s="51">
        <v>2653.5</v>
      </c>
      <c r="C310" s="53">
        <f>(Table26[[#This Row],[M2 Money Stock, Billions of Dollars, Weekly, Seasonally Adjusted]]-B309)/B309</f>
        <v>1.1318619128466328E-3</v>
      </c>
      <c r="D310" s="54">
        <f>((1+Table26[[#This Row],[Weekly change]])^52)-1</f>
        <v>6.0588068278649931E-2</v>
      </c>
      <c r="E310" s="57">
        <f>(Table26[[#This Row],[M2 Money Stock, Billions of Dollars, Weekly, Seasonally Adjusted]]-B258)/B258</f>
        <v>8.6475862916103596E-2</v>
      </c>
    </row>
    <row r="311" spans="1:5" x14ac:dyDescent="0.2">
      <c r="A311" s="50">
        <v>31656</v>
      </c>
      <c r="B311" s="51">
        <v>2660.9</v>
      </c>
      <c r="C311" s="53">
        <f>(Table26[[#This Row],[M2 Money Stock, Billions of Dollars, Weekly, Seasonally Adjusted]]-B310)/B310</f>
        <v>2.788769549651438E-3</v>
      </c>
      <c r="D311" s="54">
        <f>((1+Table26[[#This Row],[Weekly change]])^52)-1</f>
        <v>0.15582477912823456</v>
      </c>
      <c r="E311" s="57">
        <f>(Table26[[#This Row],[M2 Money Stock, Billions of Dollars, Weekly, Seasonally Adjusted]]-B259)/B259</f>
        <v>8.9684262254801583E-2</v>
      </c>
    </row>
    <row r="312" spans="1:5" x14ac:dyDescent="0.2">
      <c r="A312" s="50">
        <v>31663</v>
      </c>
      <c r="B312" s="51">
        <v>2663.4</v>
      </c>
      <c r="C312" s="53">
        <f>(Table26[[#This Row],[M2 Money Stock, Billions of Dollars, Weekly, Seasonally Adjusted]]-B311)/B311</f>
        <v>9.3953173738208873E-4</v>
      </c>
      <c r="D312" s="54">
        <f>((1+Table26[[#This Row],[Weekly change]])^52)-1</f>
        <v>5.0044678264228537E-2</v>
      </c>
      <c r="E312" s="57">
        <f>(Table26[[#This Row],[M2 Money Stock, Billions of Dollars, Weekly, Seasonally Adjusted]]-B260)/B260</f>
        <v>8.9503395238484898E-2</v>
      </c>
    </row>
    <row r="313" spans="1:5" x14ac:dyDescent="0.2">
      <c r="A313" s="50">
        <v>31670</v>
      </c>
      <c r="B313" s="51">
        <v>2665.6</v>
      </c>
      <c r="C313" s="53">
        <f>(Table26[[#This Row],[M2 Money Stock, Billions of Dollars, Weekly, Seasonally Adjusted]]-B312)/B312</f>
        <v>8.2601186453398593E-4</v>
      </c>
      <c r="D313" s="54">
        <f>((1+Table26[[#This Row],[Weekly change]])^52)-1</f>
        <v>4.3869923169756575E-2</v>
      </c>
      <c r="E313" s="57">
        <f>(Table26[[#This Row],[M2 Money Stock, Billions of Dollars, Weekly, Seasonally Adjusted]]-B261)/B261</f>
        <v>8.9467445947602933E-2</v>
      </c>
    </row>
    <row r="314" spans="1:5" x14ac:dyDescent="0.2">
      <c r="A314" s="50">
        <v>31677</v>
      </c>
      <c r="B314" s="51">
        <v>2674.8</v>
      </c>
      <c r="C314" s="53">
        <f>(Table26[[#This Row],[M2 Money Stock, Billions of Dollars, Weekly, Seasonally Adjusted]]-B313)/B313</f>
        <v>3.4513805522209907E-3</v>
      </c>
      <c r="D314" s="54">
        <f>((1+Table26[[#This Row],[Weekly change]])^52)-1</f>
        <v>0.19621545638101856</v>
      </c>
      <c r="E314" s="57">
        <f>(Table26[[#This Row],[M2 Money Stock, Billions of Dollars, Weekly, Seasonally Adjusted]]-B262)/B262</f>
        <v>9.1665986450085862E-2</v>
      </c>
    </row>
    <row r="315" spans="1:5" x14ac:dyDescent="0.2">
      <c r="A315" s="50">
        <v>31684</v>
      </c>
      <c r="B315" s="51">
        <v>2680.3</v>
      </c>
      <c r="C315" s="53">
        <f>(Table26[[#This Row],[M2 Money Stock, Billions of Dollars, Weekly, Seasonally Adjusted]]-B314)/B314</f>
        <v>2.0562285030656497E-3</v>
      </c>
      <c r="D315" s="54">
        <f>((1+Table26[[#This Row],[Weekly change]])^52)-1</f>
        <v>0.11272738218470635</v>
      </c>
      <c r="E315" s="57">
        <f>(Table26[[#This Row],[M2 Money Stock, Billions of Dollars, Weekly, Seasonally Adjusted]]-B263)/B263</f>
        <v>8.8623532756590018E-2</v>
      </c>
    </row>
    <row r="316" spans="1:5" x14ac:dyDescent="0.2">
      <c r="A316" s="50">
        <v>31691</v>
      </c>
      <c r="B316" s="51">
        <v>2683.1</v>
      </c>
      <c r="C316" s="53">
        <f>(Table26[[#This Row],[M2 Money Stock, Billions of Dollars, Weekly, Seasonally Adjusted]]-B315)/B315</f>
        <v>1.0446591799424419E-3</v>
      </c>
      <c r="D316" s="54">
        <f>((1+Table26[[#This Row],[Weekly change]])^52)-1</f>
        <v>5.5794878920159885E-2</v>
      </c>
      <c r="E316" s="57">
        <f>(Table26[[#This Row],[M2 Money Stock, Billions of Dollars, Weekly, Seasonally Adjusted]]-B264)/B264</f>
        <v>9.0336475942782712E-2</v>
      </c>
    </row>
    <row r="317" spans="1:5" x14ac:dyDescent="0.2">
      <c r="A317" s="50">
        <v>31698</v>
      </c>
      <c r="B317" s="51">
        <v>2683.9</v>
      </c>
      <c r="C317" s="53">
        <f>(Table26[[#This Row],[M2 Money Stock, Billions of Dollars, Weekly, Seasonally Adjusted]]-B316)/B316</f>
        <v>2.9816257314307405E-4</v>
      </c>
      <c r="D317" s="54">
        <f>((1+Table26[[#This Row],[Weekly change]])^52)-1</f>
        <v>1.5622924372257208E-2</v>
      </c>
      <c r="E317" s="57">
        <f>(Table26[[#This Row],[M2 Money Stock, Billions of Dollars, Weekly, Seasonally Adjusted]]-B265)/B265</f>
        <v>9.039570975867392E-2</v>
      </c>
    </row>
    <row r="318" spans="1:5" x14ac:dyDescent="0.2">
      <c r="A318" s="50">
        <v>31705</v>
      </c>
      <c r="B318" s="51">
        <v>2689.6</v>
      </c>
      <c r="C318" s="53">
        <f>(Table26[[#This Row],[M2 Money Stock, Billions of Dollars, Weekly, Seasonally Adjusted]]-B317)/B317</f>
        <v>2.1237751033942463E-3</v>
      </c>
      <c r="D318" s="54">
        <f>((1+Table26[[#This Row],[Weekly change]])^52)-1</f>
        <v>0.11663444353044716</v>
      </c>
      <c r="E318" s="57">
        <f>(Table26[[#This Row],[M2 Money Stock, Billions of Dollars, Weekly, Seasonally Adjusted]]-B266)/B266</f>
        <v>9.0186859065299343E-2</v>
      </c>
    </row>
    <row r="319" spans="1:5" x14ac:dyDescent="0.2">
      <c r="A319" s="50">
        <v>31712</v>
      </c>
      <c r="B319" s="51">
        <v>2693.8</v>
      </c>
      <c r="C319" s="53">
        <f>(Table26[[#This Row],[M2 Money Stock, Billions of Dollars, Weekly, Seasonally Adjusted]]-B318)/B318</f>
        <v>1.5615704937538195E-3</v>
      </c>
      <c r="D319" s="54">
        <f>((1+Table26[[#This Row],[Weekly change]])^52)-1</f>
        <v>8.4520908552617957E-2</v>
      </c>
      <c r="E319" s="57">
        <f>(Table26[[#This Row],[M2 Money Stock, Billions of Dollars, Weekly, Seasonally Adjusted]]-B267)/B267</f>
        <v>9.1579544533592669E-2</v>
      </c>
    </row>
    <row r="320" spans="1:5" x14ac:dyDescent="0.2">
      <c r="A320" s="50">
        <v>31719</v>
      </c>
      <c r="B320" s="51">
        <v>2694.9</v>
      </c>
      <c r="C320" s="53">
        <f>(Table26[[#This Row],[M2 Money Stock, Billions of Dollars, Weekly, Seasonally Adjusted]]-B319)/B319</f>
        <v>4.083450887222173E-4</v>
      </c>
      <c r="D320" s="54">
        <f>((1+Table26[[#This Row],[Weekly change]])^52)-1</f>
        <v>2.1456561768268489E-2</v>
      </c>
      <c r="E320" s="57">
        <f>(Table26[[#This Row],[M2 Money Stock, Billions of Dollars, Weekly, Seasonally Adjusted]]-B268)/B268</f>
        <v>9.1140983075552628E-2</v>
      </c>
    </row>
    <row r="321" spans="1:5" x14ac:dyDescent="0.2">
      <c r="A321" s="50">
        <v>31726</v>
      </c>
      <c r="B321" s="51">
        <v>2698.3</v>
      </c>
      <c r="C321" s="53">
        <f>(Table26[[#This Row],[M2 Money Stock, Billions of Dollars, Weekly, Seasonally Adjusted]]-B320)/B320</f>
        <v>1.2616423614976774E-3</v>
      </c>
      <c r="D321" s="54">
        <f>((1+Table26[[#This Row],[Weekly change]])^52)-1</f>
        <v>6.7761127675290966E-2</v>
      </c>
      <c r="E321" s="57">
        <f>(Table26[[#This Row],[M2 Money Stock, Billions of Dollars, Weekly, Seasonally Adjusted]]-B269)/B269</f>
        <v>9.2340701157801144E-2</v>
      </c>
    </row>
    <row r="322" spans="1:5" x14ac:dyDescent="0.2">
      <c r="A322" s="50">
        <v>31733</v>
      </c>
      <c r="B322" s="51">
        <v>2702.4</v>
      </c>
      <c r="C322" s="53">
        <f>(Table26[[#This Row],[M2 Money Stock, Billions of Dollars, Weekly, Seasonally Adjusted]]-B321)/B321</f>
        <v>1.5194752251417221E-3</v>
      </c>
      <c r="D322" s="54">
        <f>((1+Table26[[#This Row],[Weekly change]])^52)-1</f>
        <v>8.2153182109082401E-2</v>
      </c>
      <c r="E322" s="57">
        <f>(Table26[[#This Row],[M2 Money Stock, Billions of Dollars, Weekly, Seasonally Adjusted]]-B270)/B270</f>
        <v>9.2496765847348075E-2</v>
      </c>
    </row>
    <row r="323" spans="1:5" x14ac:dyDescent="0.2">
      <c r="A323" s="50">
        <v>31740</v>
      </c>
      <c r="B323" s="51">
        <v>2703.5</v>
      </c>
      <c r="C323" s="53">
        <f>(Table26[[#This Row],[M2 Money Stock, Billions of Dollars, Weekly, Seasonally Adjusted]]-B322)/B322</f>
        <v>4.0704558910594618E-4</v>
      </c>
      <c r="D323" s="54">
        <f>((1+Table26[[#This Row],[Weekly change]])^52)-1</f>
        <v>2.1387568342350338E-2</v>
      </c>
      <c r="E323" s="57">
        <f>(Table26[[#This Row],[M2 Money Stock, Billions of Dollars, Weekly, Seasonally Adjusted]]-B271)/B271</f>
        <v>9.0340794515023193E-2</v>
      </c>
    </row>
    <row r="324" spans="1:5" x14ac:dyDescent="0.2">
      <c r="A324" s="50">
        <v>31747</v>
      </c>
      <c r="B324" s="51">
        <v>2714</v>
      </c>
      <c r="C324" s="53">
        <f>(Table26[[#This Row],[M2 Money Stock, Billions of Dollars, Weekly, Seasonally Adjusted]]-B323)/B323</f>
        <v>3.8838542629924173E-3</v>
      </c>
      <c r="D324" s="54">
        <f>((1+Table26[[#This Row],[Weekly change]])^52)-1</f>
        <v>0.22332093905363148</v>
      </c>
      <c r="E324" s="57">
        <f>(Table26[[#This Row],[M2 Money Stock, Billions of Dollars, Weekly, Seasonally Adjusted]]-B272)/B272</f>
        <v>9.3208732780149878E-2</v>
      </c>
    </row>
    <row r="325" spans="1:5" x14ac:dyDescent="0.2">
      <c r="A325" s="50">
        <v>31754</v>
      </c>
      <c r="B325" s="51">
        <v>2713.1</v>
      </c>
      <c r="C325" s="53">
        <f>(Table26[[#This Row],[M2 Money Stock, Billions of Dollars, Weekly, Seasonally Adjusted]]-B324)/B324</f>
        <v>-3.3161385408993769E-4</v>
      </c>
      <c r="D325" s="54">
        <f>((1+Table26[[#This Row],[Weekly change]])^52)-1</f>
        <v>-1.709890583199325E-2</v>
      </c>
      <c r="E325" s="57">
        <f>(Table26[[#This Row],[M2 Money Stock, Billions of Dollars, Weekly, Seasonally Adjusted]]-B273)/B273</f>
        <v>9.1000482547852549E-2</v>
      </c>
    </row>
    <row r="326" spans="1:5" x14ac:dyDescent="0.2">
      <c r="A326" s="50">
        <v>31761</v>
      </c>
      <c r="B326" s="51">
        <v>2719.1</v>
      </c>
      <c r="C326" s="53">
        <f>(Table26[[#This Row],[M2 Money Stock, Billions of Dollars, Weekly, Seasonally Adjusted]]-B325)/B325</f>
        <v>2.2114923887803619E-3</v>
      </c>
      <c r="D326" s="54">
        <f>((1+Table26[[#This Row],[Weekly change]])^52)-1</f>
        <v>0.12172831380037574</v>
      </c>
      <c r="E326" s="57">
        <f>(Table26[[#This Row],[M2 Money Stock, Billions of Dollars, Weekly, Seasonally Adjusted]]-B274)/B274</f>
        <v>9.2183483290488435E-2</v>
      </c>
    </row>
    <row r="327" spans="1:5" x14ac:dyDescent="0.2">
      <c r="A327" s="50">
        <v>31768</v>
      </c>
      <c r="B327" s="51">
        <v>2730.6</v>
      </c>
      <c r="C327" s="53">
        <f>(Table26[[#This Row],[M2 Money Stock, Billions of Dollars, Weekly, Seasonally Adjusted]]-B326)/B326</f>
        <v>4.229340590636608E-3</v>
      </c>
      <c r="D327" s="54">
        <f>((1+Table26[[#This Row],[Weekly change]])^52)-1</f>
        <v>0.24540645621746959</v>
      </c>
      <c r="E327" s="57">
        <f>(Table26[[#This Row],[M2 Money Stock, Billions of Dollars, Weekly, Seasonally Adjusted]]-B275)/B275</f>
        <v>9.4384994589395213E-2</v>
      </c>
    </row>
    <row r="328" spans="1:5" x14ac:dyDescent="0.2">
      <c r="A328" s="50">
        <v>31775</v>
      </c>
      <c r="B328" s="51">
        <v>2744.1</v>
      </c>
      <c r="C328" s="53">
        <f>(Table26[[#This Row],[M2 Money Stock, Billions of Dollars, Weekly, Seasonally Adjusted]]-B327)/B327</f>
        <v>4.9439683586025053E-3</v>
      </c>
      <c r="D328" s="54">
        <f>((1+Table26[[#This Row],[Weekly change]])^52)-1</f>
        <v>0.29233793162859167</v>
      </c>
      <c r="E328" s="57">
        <f>(Table26[[#This Row],[M2 Money Stock, Billions of Dollars, Weekly, Seasonally Adjusted]]-B276)/B276</f>
        <v>0.10014833821112124</v>
      </c>
    </row>
    <row r="329" spans="1:5" x14ac:dyDescent="0.2">
      <c r="A329" s="50">
        <v>31782</v>
      </c>
      <c r="B329" s="51">
        <v>2757.9</v>
      </c>
      <c r="C329" s="53">
        <f>(Table26[[#This Row],[M2 Money Stock, Billions of Dollars, Weekly, Seasonally Adjusted]]-B328)/B328</f>
        <v>5.0289712474035865E-3</v>
      </c>
      <c r="D329" s="54">
        <f>((1+Table26[[#This Row],[Weekly change]])^52)-1</f>
        <v>0.29803443445285627</v>
      </c>
      <c r="E329" s="57">
        <f>(Table26[[#This Row],[M2 Money Stock, Billions of Dollars, Weekly, Seasonally Adjusted]]-B277)/B277</f>
        <v>0.10263073724612198</v>
      </c>
    </row>
    <row r="330" spans="1:5" x14ac:dyDescent="0.2">
      <c r="A330" s="50">
        <v>31789</v>
      </c>
      <c r="B330" s="51">
        <v>2745</v>
      </c>
      <c r="C330" s="53">
        <f>(Table26[[#This Row],[M2 Money Stock, Billions of Dollars, Weekly, Seasonally Adjusted]]-B329)/B329</f>
        <v>-4.6774719895573049E-3</v>
      </c>
      <c r="D330" s="54">
        <f>((1+Table26[[#This Row],[Weekly change]])^52)-1</f>
        <v>-0.21635500281793085</v>
      </c>
      <c r="E330" s="57">
        <f>(Table26[[#This Row],[M2 Money Stock, Billions of Dollars, Weekly, Seasonally Adjusted]]-B278)/B278</f>
        <v>9.8175708113298163E-2</v>
      </c>
    </row>
    <row r="331" spans="1:5" x14ac:dyDescent="0.2">
      <c r="A331" s="50">
        <v>31796</v>
      </c>
      <c r="B331" s="51">
        <v>2742</v>
      </c>
      <c r="C331" s="53">
        <f>(Table26[[#This Row],[M2 Money Stock, Billions of Dollars, Weekly, Seasonally Adjusted]]-B330)/B330</f>
        <v>-1.092896174863388E-3</v>
      </c>
      <c r="D331" s="54">
        <f>((1+Table26[[#This Row],[Weekly change]])^52)-1</f>
        <v>-5.527526412774042E-2</v>
      </c>
      <c r="E331" s="57">
        <f>(Table26[[#This Row],[M2 Money Stock, Billions of Dollars, Weekly, Seasonally Adjusted]]-B279)/B279</f>
        <v>9.5179134880377117E-2</v>
      </c>
    </row>
    <row r="332" spans="1:5" x14ac:dyDescent="0.2">
      <c r="A332" s="50">
        <v>31803</v>
      </c>
      <c r="B332" s="51">
        <v>2745.2</v>
      </c>
      <c r="C332" s="53">
        <f>(Table26[[#This Row],[M2 Money Stock, Billions of Dollars, Weekly, Seasonally Adjusted]]-B331)/B331</f>
        <v>1.1670313639678403E-3</v>
      </c>
      <c r="D332" s="54">
        <f>((1+Table26[[#This Row],[Weekly change]])^52)-1</f>
        <v>6.2527227569043387E-2</v>
      </c>
      <c r="E332" s="57">
        <f>(Table26[[#This Row],[M2 Money Stock, Billions of Dollars, Weekly, Seasonally Adjusted]]-B280)/B280</f>
        <v>9.4097485154039262E-2</v>
      </c>
    </row>
    <row r="333" spans="1:5" x14ac:dyDescent="0.2">
      <c r="A333" s="50">
        <v>31810</v>
      </c>
      <c r="B333" s="51">
        <v>2742.7</v>
      </c>
      <c r="C333" s="53">
        <f>(Table26[[#This Row],[M2 Money Stock, Billions of Dollars, Weekly, Seasonally Adjusted]]-B332)/B332</f>
        <v>-9.1068046044004089E-4</v>
      </c>
      <c r="D333" s="54">
        <f>((1+Table26[[#This Row],[Weekly change]])^52)-1</f>
        <v>-4.6272187277397347E-2</v>
      </c>
      <c r="E333" s="57">
        <f>(Table26[[#This Row],[M2 Money Stock, Billions of Dollars, Weekly, Seasonally Adjusted]]-B281)/B281</f>
        <v>9.4584347687273029E-2</v>
      </c>
    </row>
    <row r="334" spans="1:5" x14ac:dyDescent="0.2">
      <c r="A334" s="50">
        <v>31817</v>
      </c>
      <c r="B334" s="51">
        <v>2741.2</v>
      </c>
      <c r="C334" s="53">
        <f>(Table26[[#This Row],[M2 Money Stock, Billions of Dollars, Weekly, Seasonally Adjusted]]-B333)/B333</f>
        <v>-5.4690633317533823E-4</v>
      </c>
      <c r="D334" s="54">
        <f>((1+Table26[[#This Row],[Weekly change]])^52)-1</f>
        <v>-2.8046105153019973E-2</v>
      </c>
      <c r="E334" s="57">
        <f>(Table26[[#This Row],[M2 Money Stock, Billions of Dollars, Weekly, Seasonally Adjusted]]-B282)/B282</f>
        <v>9.1850553652513309E-2</v>
      </c>
    </row>
    <row r="335" spans="1:5" x14ac:dyDescent="0.2">
      <c r="A335" s="50">
        <v>31824</v>
      </c>
      <c r="B335" s="51">
        <v>2741.3</v>
      </c>
      <c r="C335" s="53">
        <f>(Table26[[#This Row],[M2 Money Stock, Billions of Dollars, Weekly, Seasonally Adjusted]]-B334)/B334</f>
        <v>3.6480373559157962E-5</v>
      </c>
      <c r="D335" s="54">
        <f>((1+Table26[[#This Row],[Weekly change]])^52)-1</f>
        <v>1.8987451626892859E-3</v>
      </c>
      <c r="E335" s="57">
        <f>(Table26[[#This Row],[M2 Money Stock, Billions of Dollars, Weekly, Seasonally Adjusted]]-B283)/B283</f>
        <v>9.1021252885457413E-2</v>
      </c>
    </row>
    <row r="336" spans="1:5" x14ac:dyDescent="0.2">
      <c r="A336" s="50">
        <v>31831</v>
      </c>
      <c r="B336" s="51">
        <v>2742.6</v>
      </c>
      <c r="C336" s="53">
        <f>(Table26[[#This Row],[M2 Money Stock, Billions of Dollars, Weekly, Seasonally Adjusted]]-B335)/B335</f>
        <v>4.7422755626882394E-4</v>
      </c>
      <c r="D336" s="54">
        <f>((1+Table26[[#This Row],[Weekly change]])^52)-1</f>
        <v>2.4960410136915856E-2</v>
      </c>
      <c r="E336" s="57">
        <f>(Table26[[#This Row],[M2 Money Stock, Billions of Dollars, Weekly, Seasonally Adjusted]]-B284)/B284</f>
        <v>8.9284295813805592E-2</v>
      </c>
    </row>
    <row r="337" spans="1:5" x14ac:dyDescent="0.2">
      <c r="A337" s="50">
        <v>31838</v>
      </c>
      <c r="B337" s="51">
        <v>2744.3</v>
      </c>
      <c r="C337" s="53">
        <f>(Table26[[#This Row],[M2 Money Stock, Billions of Dollars, Weekly, Seasonally Adjusted]]-B336)/B336</f>
        <v>6.1984977758341466E-4</v>
      </c>
      <c r="D337" s="54">
        <f>((1+Table26[[#This Row],[Weekly change]])^52)-1</f>
        <v>3.2746959287203836E-2</v>
      </c>
      <c r="E337" s="57">
        <f>(Table26[[#This Row],[M2 Money Stock, Billions of Dollars, Weekly, Seasonally Adjusted]]-B285)/B285</f>
        <v>8.8575961919873145E-2</v>
      </c>
    </row>
    <row r="338" spans="1:5" x14ac:dyDescent="0.2">
      <c r="A338" s="50">
        <v>31845</v>
      </c>
      <c r="B338" s="51">
        <v>2748.2</v>
      </c>
      <c r="C338" s="53">
        <f>(Table26[[#This Row],[M2 Money Stock, Billions of Dollars, Weekly, Seasonally Adjusted]]-B337)/B337</f>
        <v>1.4211274277592231E-3</v>
      </c>
      <c r="D338" s="54">
        <f>((1+Table26[[#This Row],[Weekly change]])^52)-1</f>
        <v>7.6641169015228439E-2</v>
      </c>
      <c r="E338" s="57">
        <f>(Table26[[#This Row],[M2 Money Stock, Billions of Dollars, Weekly, Seasonally Adjusted]]-B286)/B286</f>
        <v>8.6760518823157079E-2</v>
      </c>
    </row>
    <row r="339" spans="1:5" x14ac:dyDescent="0.2">
      <c r="A339" s="50">
        <v>31852</v>
      </c>
      <c r="B339" s="51">
        <v>2752</v>
      </c>
      <c r="C339" s="53">
        <f>(Table26[[#This Row],[M2 Money Stock, Billions of Dollars, Weekly, Seasonally Adjusted]]-B338)/B338</f>
        <v>1.3827232370279391E-3</v>
      </c>
      <c r="D339" s="54">
        <f>((1+Table26[[#This Row],[Weekly change]])^52)-1</f>
        <v>7.4496246765927587E-2</v>
      </c>
      <c r="E339" s="57">
        <f>(Table26[[#This Row],[M2 Money Stock, Billions of Dollars, Weekly, Seasonally Adjusted]]-B287)/B287</f>
        <v>8.5473119551926713E-2</v>
      </c>
    </row>
    <row r="340" spans="1:5" x14ac:dyDescent="0.2">
      <c r="A340" s="50">
        <v>31859</v>
      </c>
      <c r="B340" s="51">
        <v>2752.1</v>
      </c>
      <c r="C340" s="53">
        <f>(Table26[[#This Row],[M2 Money Stock, Billions of Dollars, Weekly, Seasonally Adjusted]]-B339)/B339</f>
        <v>3.6337209302292533E-5</v>
      </c>
      <c r="D340" s="54">
        <f>((1+Table26[[#This Row],[Weekly change]])^52)-1</f>
        <v>1.8912867853533299E-3</v>
      </c>
      <c r="E340" s="57">
        <f>(Table26[[#This Row],[M2 Money Stock, Billions of Dollars, Weekly, Seasonally Adjusted]]-B288)/B288</f>
        <v>8.3077528532073952E-2</v>
      </c>
    </row>
    <row r="341" spans="1:5" x14ac:dyDescent="0.2">
      <c r="A341" s="50">
        <v>31866</v>
      </c>
      <c r="B341" s="51">
        <v>2755.4</v>
      </c>
      <c r="C341" s="53">
        <f>(Table26[[#This Row],[M2 Money Stock, Billions of Dollars, Weekly, Seasonally Adjusted]]-B340)/B340</f>
        <v>1.1990843355983364E-3</v>
      </c>
      <c r="D341" s="54">
        <f>((1+Table26[[#This Row],[Weekly change]])^52)-1</f>
        <v>6.4297580166148727E-2</v>
      </c>
      <c r="E341" s="57">
        <f>(Table26[[#This Row],[M2 Money Stock, Billions of Dollars, Weekly, Seasonally Adjusted]]-B289)/B289</f>
        <v>8.1482062956275955E-2</v>
      </c>
    </row>
    <row r="342" spans="1:5" x14ac:dyDescent="0.2">
      <c r="A342" s="50">
        <v>31873</v>
      </c>
      <c r="B342" s="51">
        <v>2757.6</v>
      </c>
      <c r="C342" s="53">
        <f>(Table26[[#This Row],[M2 Money Stock, Billions of Dollars, Weekly, Seasonally Adjusted]]-B341)/B341</f>
        <v>7.9843216955789286E-4</v>
      </c>
      <c r="D342" s="54">
        <f>((1+Table26[[#This Row],[Weekly change]])^52)-1</f>
        <v>4.2375149442345217E-2</v>
      </c>
      <c r="E342" s="57">
        <f>(Table26[[#This Row],[M2 Money Stock, Billions of Dollars, Weekly, Seasonally Adjusted]]-B290)/B290</f>
        <v>7.9844930884598861E-2</v>
      </c>
    </row>
    <row r="343" spans="1:5" x14ac:dyDescent="0.2">
      <c r="A343" s="50">
        <v>31880</v>
      </c>
      <c r="B343" s="51">
        <v>2758.7</v>
      </c>
      <c r="C343" s="53">
        <f>(Table26[[#This Row],[M2 Money Stock, Billions of Dollars, Weekly, Seasonally Adjusted]]-B342)/B342</f>
        <v>3.9889759210904739E-4</v>
      </c>
      <c r="D343" s="54">
        <f>((1+Table26[[#This Row],[Weekly change]])^52)-1</f>
        <v>2.0955076585531973E-2</v>
      </c>
      <c r="E343" s="57">
        <f>(Table26[[#This Row],[M2 Money Stock, Billions of Dollars, Weekly, Seasonally Adjusted]]-B291)/B291</f>
        <v>7.9557016514048576E-2</v>
      </c>
    </row>
    <row r="344" spans="1:5" x14ac:dyDescent="0.2">
      <c r="A344" s="50">
        <v>31887</v>
      </c>
      <c r="B344" s="51">
        <v>2771.5</v>
      </c>
      <c r="C344" s="53">
        <f>(Table26[[#This Row],[M2 Money Stock, Billions of Dollars, Weekly, Seasonally Adjusted]]-B343)/B343</f>
        <v>4.6398666038352061E-3</v>
      </c>
      <c r="D344" s="54">
        <f>((1+Table26[[#This Row],[Weekly change]])^52)-1</f>
        <v>0.27215848386039476</v>
      </c>
      <c r="E344" s="57">
        <f>(Table26[[#This Row],[M2 Money Stock, Billions of Dollars, Weekly, Seasonally Adjusted]]-B292)/B292</f>
        <v>8.1603184514517604E-2</v>
      </c>
    </row>
    <row r="345" spans="1:5" x14ac:dyDescent="0.2">
      <c r="A345" s="50">
        <v>31894</v>
      </c>
      <c r="B345" s="51">
        <v>2773.5</v>
      </c>
      <c r="C345" s="53">
        <f>(Table26[[#This Row],[M2 Money Stock, Billions of Dollars, Weekly, Seasonally Adjusted]]-B344)/B344</f>
        <v>7.216308858019123E-4</v>
      </c>
      <c r="D345" s="54">
        <f>((1+Table26[[#This Row],[Weekly change]])^52)-1</f>
        <v>3.8223700955612339E-2</v>
      </c>
      <c r="E345" s="57">
        <f>(Table26[[#This Row],[M2 Money Stock, Billions of Dollars, Weekly, Seasonally Adjusted]]-B293)/B293</f>
        <v>7.9644984234497215E-2</v>
      </c>
    </row>
    <row r="346" spans="1:5" x14ac:dyDescent="0.2">
      <c r="A346" s="50">
        <v>31901</v>
      </c>
      <c r="B346" s="51">
        <v>2768.4</v>
      </c>
      <c r="C346" s="53">
        <f>(Table26[[#This Row],[M2 Money Stock, Billions of Dollars, Weekly, Seasonally Adjusted]]-B345)/B345</f>
        <v>-1.8388318009734663E-3</v>
      </c>
      <c r="D346" s="54">
        <f>((1+Table26[[#This Row],[Weekly change]])^52)-1</f>
        <v>-9.1270015270768612E-2</v>
      </c>
      <c r="E346" s="57">
        <f>(Table26[[#This Row],[M2 Money Stock, Billions of Dollars, Weekly, Seasonally Adjusted]]-B294)/B294</f>
        <v>7.4772886093640772E-2</v>
      </c>
    </row>
    <row r="347" spans="1:5" x14ac:dyDescent="0.2">
      <c r="A347" s="50">
        <v>31908</v>
      </c>
      <c r="B347" s="51">
        <v>2763</v>
      </c>
      <c r="C347" s="53">
        <f>(Table26[[#This Row],[M2 Money Stock, Billions of Dollars, Weekly, Seasonally Adjusted]]-B346)/B346</f>
        <v>-1.9505851755526986E-3</v>
      </c>
      <c r="D347" s="54">
        <f>((1+Table26[[#This Row],[Weekly change]])^52)-1</f>
        <v>-9.6545456971169119E-2</v>
      </c>
      <c r="E347" s="57">
        <f>(Table26[[#This Row],[M2 Money Stock, Billions of Dollars, Weekly, Seasonally Adjusted]]-B295)/B295</f>
        <v>7.0805720265085373E-2</v>
      </c>
    </row>
    <row r="348" spans="1:5" x14ac:dyDescent="0.2">
      <c r="A348" s="50">
        <v>31915</v>
      </c>
      <c r="B348" s="51">
        <v>2764.6</v>
      </c>
      <c r="C348" s="53">
        <f>(Table26[[#This Row],[M2 Money Stock, Billions of Dollars, Weekly, Seasonally Adjusted]]-B347)/B347</f>
        <v>5.7908070937383609E-4</v>
      </c>
      <c r="D348" s="54">
        <f>((1+Table26[[#This Row],[Weekly change]])^52)-1</f>
        <v>3.0561172509225853E-2</v>
      </c>
      <c r="E348" s="57">
        <f>(Table26[[#This Row],[M2 Money Stock, Billions of Dollars, Weekly, Seasonally Adjusted]]-B296)/B296</f>
        <v>6.9395017793594346E-2</v>
      </c>
    </row>
    <row r="349" spans="1:5" x14ac:dyDescent="0.2">
      <c r="A349" s="50">
        <v>31922</v>
      </c>
      <c r="B349" s="51">
        <v>2770</v>
      </c>
      <c r="C349" s="53">
        <f>(Table26[[#This Row],[M2 Money Stock, Billions of Dollars, Weekly, Seasonally Adjusted]]-B348)/B348</f>
        <v>1.9532662953049597E-3</v>
      </c>
      <c r="D349" s="54">
        <f>((1+Table26[[#This Row],[Weekly change]])^52)-1</f>
        <v>0.10679757713774896</v>
      </c>
      <c r="E349" s="57">
        <f>(Table26[[#This Row],[M2 Money Stock, Billions of Dollars, Weekly, Seasonally Adjusted]]-B297)/B297</f>
        <v>6.9002778635381359E-2</v>
      </c>
    </row>
    <row r="350" spans="1:5" x14ac:dyDescent="0.2">
      <c r="A350" s="50">
        <v>31929</v>
      </c>
      <c r="B350" s="51">
        <v>2773.2</v>
      </c>
      <c r="C350" s="53">
        <f>(Table26[[#This Row],[M2 Money Stock, Billions of Dollars, Weekly, Seasonally Adjusted]]-B349)/B349</f>
        <v>1.1552346570396456E-3</v>
      </c>
      <c r="D350" s="54">
        <f>((1+Table26[[#This Row],[Weekly change]])^52)-1</f>
        <v>6.187639814772905E-2</v>
      </c>
      <c r="E350" s="57">
        <f>(Table26[[#This Row],[M2 Money Stock, Billions of Dollars, Weekly, Seasonally Adjusted]]-B298)/B298</f>
        <v>6.9000077095058218E-2</v>
      </c>
    </row>
    <row r="351" spans="1:5" x14ac:dyDescent="0.2">
      <c r="A351" s="50">
        <v>31936</v>
      </c>
      <c r="B351" s="51">
        <v>2769.8</v>
      </c>
      <c r="C351" s="53">
        <f>(Table26[[#This Row],[M2 Money Stock, Billions of Dollars, Weekly, Seasonally Adjusted]]-B350)/B350</f>
        <v>-1.2260204817537994E-3</v>
      </c>
      <c r="D351" s="54">
        <f>((1+Table26[[#This Row],[Weekly change]])^52)-1</f>
        <v>-6.1800042423104551E-2</v>
      </c>
      <c r="E351" s="57">
        <f>(Table26[[#This Row],[M2 Money Stock, Billions of Dollars, Weekly, Seasonally Adjusted]]-B299)/B299</f>
        <v>6.4611600107622083E-2</v>
      </c>
    </row>
    <row r="352" spans="1:5" x14ac:dyDescent="0.2">
      <c r="A352" s="50">
        <v>31943</v>
      </c>
      <c r="B352" s="51">
        <v>2771</v>
      </c>
      <c r="C352" s="53">
        <f>(Table26[[#This Row],[M2 Money Stock, Billions of Dollars, Weekly, Seasonally Adjusted]]-B351)/B351</f>
        <v>4.3324427756510144E-4</v>
      </c>
      <c r="D352" s="54">
        <f>((1+Table26[[#This Row],[Weekly change]])^52)-1</f>
        <v>2.2779400188904786E-2</v>
      </c>
      <c r="E352" s="57">
        <f>(Table26[[#This Row],[M2 Money Stock, Billions of Dollars, Weekly, Seasonally Adjusted]]-B300)/B300</f>
        <v>6.1848559166155767E-2</v>
      </c>
    </row>
    <row r="353" spans="1:5" x14ac:dyDescent="0.2">
      <c r="A353" s="50">
        <v>31950</v>
      </c>
      <c r="B353" s="51">
        <v>2773</v>
      </c>
      <c r="C353" s="53">
        <f>(Table26[[#This Row],[M2 Money Stock, Billions of Dollars, Weekly, Seasonally Adjusted]]-B352)/B352</f>
        <v>7.217610970768675E-4</v>
      </c>
      <c r="D353" s="54">
        <f>((1+Table26[[#This Row],[Weekly change]])^52)-1</f>
        <v>3.8230725708107371E-2</v>
      </c>
      <c r="E353" s="57">
        <f>(Table26[[#This Row],[M2 Money Stock, Billions of Dollars, Weekly, Seasonally Adjusted]]-B301)/B301</f>
        <v>6.0339553380238678E-2</v>
      </c>
    </row>
    <row r="354" spans="1:5" x14ac:dyDescent="0.2">
      <c r="A354" s="50">
        <v>31957</v>
      </c>
      <c r="B354" s="51">
        <v>2772.8</v>
      </c>
      <c r="C354" s="53">
        <f>(Table26[[#This Row],[M2 Money Stock, Billions of Dollars, Weekly, Seasonally Adjusted]]-B353)/B353</f>
        <v>-7.2124053371733901E-5</v>
      </c>
      <c r="D354" s="54">
        <f>((1+Table26[[#This Row],[Weekly change]])^52)-1</f>
        <v>-3.7435613678502566E-3</v>
      </c>
      <c r="E354" s="57">
        <f>(Table26[[#This Row],[M2 Money Stock, Billions of Dollars, Weekly, Seasonally Adjusted]]-B302)/B302</f>
        <v>5.8239829020685585E-2</v>
      </c>
    </row>
    <row r="355" spans="1:5" x14ac:dyDescent="0.2">
      <c r="A355" s="50">
        <v>31964</v>
      </c>
      <c r="B355" s="51">
        <v>2778.8</v>
      </c>
      <c r="C355" s="53">
        <f>(Table26[[#This Row],[M2 Money Stock, Billions of Dollars, Weekly, Seasonally Adjusted]]-B354)/B354</f>
        <v>2.163877668782458E-3</v>
      </c>
      <c r="D355" s="54">
        <f>((1+Table26[[#This Row],[Weekly change]])^52)-1</f>
        <v>0.11896043650086008</v>
      </c>
      <c r="E355" s="57">
        <f>(Table26[[#This Row],[M2 Money Stock, Billions of Dollars, Weekly, Seasonally Adjusted]]-B303)/B303</f>
        <v>5.8993902439024457E-2</v>
      </c>
    </row>
    <row r="356" spans="1:5" x14ac:dyDescent="0.2">
      <c r="A356" s="50">
        <v>31971</v>
      </c>
      <c r="B356" s="51">
        <v>2773.3</v>
      </c>
      <c r="C356" s="53">
        <f>(Table26[[#This Row],[M2 Money Stock, Billions of Dollars, Weekly, Seasonally Adjusted]]-B355)/B355</f>
        <v>-1.9792716280408809E-3</v>
      </c>
      <c r="D356" s="54">
        <f>((1+Table26[[#This Row],[Weekly change]])^52)-1</f>
        <v>-9.7894780757905919E-2</v>
      </c>
      <c r="E356" s="57">
        <f>(Table26[[#This Row],[M2 Money Stock, Billions of Dollars, Weekly, Seasonally Adjusted]]-B304)/B304</f>
        <v>5.4727314216171025E-2</v>
      </c>
    </row>
    <row r="357" spans="1:5" x14ac:dyDescent="0.2">
      <c r="A357" s="50">
        <v>31978</v>
      </c>
      <c r="B357" s="51">
        <v>2777.5</v>
      </c>
      <c r="C357" s="53">
        <f>(Table26[[#This Row],[M2 Money Stock, Billions of Dollars, Weekly, Seasonally Adjusted]]-B356)/B356</f>
        <v>1.5144412793422341E-3</v>
      </c>
      <c r="D357" s="54">
        <f>((1+Table26[[#This Row],[Weekly change]])^52)-1</f>
        <v>8.1870378102480323E-2</v>
      </c>
      <c r="E357" s="57">
        <f>(Table26[[#This Row],[M2 Money Stock, Billions of Dollars, Weekly, Seasonally Adjusted]]-B305)/B305</f>
        <v>5.4039694888239571E-2</v>
      </c>
    </row>
    <row r="358" spans="1:5" x14ac:dyDescent="0.2">
      <c r="A358" s="50">
        <v>31985</v>
      </c>
      <c r="B358" s="51">
        <v>2781.1</v>
      </c>
      <c r="C358" s="53">
        <f>(Table26[[#This Row],[M2 Money Stock, Billions of Dollars, Weekly, Seasonally Adjusted]]-B357)/B357</f>
        <v>1.2961296129612634E-3</v>
      </c>
      <c r="D358" s="54">
        <f>((1+Table26[[#This Row],[Weekly change]])^52)-1</f>
        <v>6.9675251170416175E-2</v>
      </c>
      <c r="E358" s="57">
        <f>(Table26[[#This Row],[M2 Money Stock, Billions of Dollars, Weekly, Seasonally Adjusted]]-B306)/B306</f>
        <v>5.3886088900678239E-2</v>
      </c>
    </row>
    <row r="359" spans="1:5" x14ac:dyDescent="0.2">
      <c r="A359" s="50">
        <v>31992</v>
      </c>
      <c r="B359" s="51">
        <v>2779.1</v>
      </c>
      <c r="C359" s="53">
        <f>(Table26[[#This Row],[M2 Money Stock, Billions of Dollars, Weekly, Seasonally Adjusted]]-B358)/B358</f>
        <v>-7.1913990866923159E-4</v>
      </c>
      <c r="D359" s="54">
        <f>((1+Table26[[#This Row],[Weekly change]])^52)-1</f>
        <v>-3.6717665507350117E-2</v>
      </c>
      <c r="E359" s="57">
        <f>(Table26[[#This Row],[M2 Money Stock, Billions of Dollars, Weekly, Seasonally Adjusted]]-B307)/B307</f>
        <v>5.1375174970680483E-2</v>
      </c>
    </row>
    <row r="360" spans="1:5" x14ac:dyDescent="0.2">
      <c r="A360" s="50">
        <v>31999</v>
      </c>
      <c r="B360" s="51">
        <v>2782.8</v>
      </c>
      <c r="C360" s="53">
        <f>(Table26[[#This Row],[M2 Money Stock, Billions of Dollars, Weekly, Seasonally Adjusted]]-B359)/B359</f>
        <v>1.3313662696557422E-3</v>
      </c>
      <c r="D360" s="54">
        <f>((1+Table26[[#This Row],[Weekly change]])^52)-1</f>
        <v>7.1634444197314018E-2</v>
      </c>
      <c r="E360" s="57">
        <f>(Table26[[#This Row],[M2 Money Stock, Billions of Dollars, Weekly, Seasonally Adjusted]]-B308)/B308</f>
        <v>5.0985723997280755E-2</v>
      </c>
    </row>
    <row r="361" spans="1:5" x14ac:dyDescent="0.2">
      <c r="A361" s="50">
        <v>32006</v>
      </c>
      <c r="B361" s="51">
        <v>2783.8</v>
      </c>
      <c r="C361" s="53">
        <f>(Table26[[#This Row],[M2 Money Stock, Billions of Dollars, Weekly, Seasonally Adjusted]]-B360)/B360</f>
        <v>3.593502946672416E-4</v>
      </c>
      <c r="D361" s="54">
        <f>((1+Table26[[#This Row],[Weekly change]])^52)-1</f>
        <v>1.8858475250861595E-2</v>
      </c>
      <c r="E361" s="57">
        <f>(Table26[[#This Row],[M2 Money Stock, Billions of Dollars, Weekly, Seasonally Adjusted]]-B309)/B309</f>
        <v>5.0292397660818784E-2</v>
      </c>
    </row>
    <row r="362" spans="1:5" x14ac:dyDescent="0.2">
      <c r="A362" s="50">
        <v>32013</v>
      </c>
      <c r="B362" s="51">
        <v>2785.2</v>
      </c>
      <c r="C362" s="53">
        <f>(Table26[[#This Row],[M2 Money Stock, Billions of Dollars, Weekly, Seasonally Adjusted]]-B361)/B361</f>
        <v>5.0290969178807242E-4</v>
      </c>
      <c r="D362" s="54">
        <f>((1+Table26[[#This Row],[Weekly change]])^52)-1</f>
        <v>2.6489501861529208E-2</v>
      </c>
      <c r="E362" s="57">
        <f>(Table26[[#This Row],[M2 Money Stock, Billions of Dollars, Weekly, Seasonally Adjusted]]-B310)/B310</f>
        <v>4.9632560768795859E-2</v>
      </c>
    </row>
    <row r="363" spans="1:5" x14ac:dyDescent="0.2">
      <c r="A363" s="50">
        <v>32020</v>
      </c>
      <c r="B363" s="51">
        <v>2785.1</v>
      </c>
      <c r="C363" s="53">
        <f>(Table26[[#This Row],[M2 Money Stock, Billions of Dollars, Weekly, Seasonally Adjusted]]-B362)/B362</f>
        <v>-3.5904064340050642E-5</v>
      </c>
      <c r="D363" s="54">
        <f>((1+Table26[[#This Row],[Weekly change]])^52)-1</f>
        <v>-1.8653030190752817E-3</v>
      </c>
      <c r="E363" s="57">
        <f>(Table26[[#This Row],[M2 Money Stock, Billions of Dollars, Weekly, Seasonally Adjusted]]-B311)/B311</f>
        <v>4.6675936713142102E-2</v>
      </c>
    </row>
    <row r="364" spans="1:5" x14ac:dyDescent="0.2">
      <c r="A364" s="50">
        <v>32027</v>
      </c>
      <c r="B364" s="51">
        <v>2784.5</v>
      </c>
      <c r="C364" s="53">
        <f>(Table26[[#This Row],[M2 Money Stock, Billions of Dollars, Weekly, Seasonally Adjusted]]-B363)/B363</f>
        <v>-2.1543212092919791E-4</v>
      </c>
      <c r="D364" s="54">
        <f>((1+Table26[[#This Row],[Weekly change]])^52)-1</f>
        <v>-1.1141149687153962E-2</v>
      </c>
      <c r="E364" s="57">
        <f>(Table26[[#This Row],[M2 Money Stock, Billions of Dollars, Weekly, Seasonally Adjusted]]-B312)/B312</f>
        <v>4.5468198543215405E-2</v>
      </c>
    </row>
    <row r="365" spans="1:5" x14ac:dyDescent="0.2">
      <c r="A365" s="50">
        <v>32034</v>
      </c>
      <c r="B365" s="51">
        <v>2790.6</v>
      </c>
      <c r="C365" s="53">
        <f>(Table26[[#This Row],[M2 Money Stock, Billions of Dollars, Weekly, Seasonally Adjusted]]-B364)/B364</f>
        <v>2.1906985096067188E-3</v>
      </c>
      <c r="D365" s="54">
        <f>((1+Table26[[#This Row],[Weekly change]])^52)-1</f>
        <v>0.12051872597160718</v>
      </c>
      <c r="E365" s="57">
        <f>(Table26[[#This Row],[M2 Money Stock, Billions of Dollars, Weekly, Seasonally Adjusted]]-B313)/B313</f>
        <v>4.6893757503001204E-2</v>
      </c>
    </row>
    <row r="366" spans="1:5" x14ac:dyDescent="0.2">
      <c r="A366" s="50">
        <v>32041</v>
      </c>
      <c r="B366" s="51">
        <v>2795</v>
      </c>
      <c r="C366" s="53">
        <f>(Table26[[#This Row],[M2 Money Stock, Billions of Dollars, Weekly, Seasonally Adjusted]]-B365)/B365</f>
        <v>1.576721851931517E-3</v>
      </c>
      <c r="D366" s="54">
        <f>((1+Table26[[#This Row],[Weekly change]])^52)-1</f>
        <v>8.537436768044171E-2</v>
      </c>
      <c r="E366" s="57">
        <f>(Table26[[#This Row],[M2 Money Stock, Billions of Dollars, Weekly, Seasonally Adjusted]]-B314)/B314</f>
        <v>4.4937939285180133E-2</v>
      </c>
    </row>
    <row r="367" spans="1:5" x14ac:dyDescent="0.2">
      <c r="A367" s="50">
        <v>32048</v>
      </c>
      <c r="B367" s="51">
        <v>2797.4</v>
      </c>
      <c r="C367" s="53">
        <f>(Table26[[#This Row],[M2 Money Stock, Billions of Dollars, Weekly, Seasonally Adjusted]]-B366)/B366</f>
        <v>8.5867620751344941E-4</v>
      </c>
      <c r="D367" s="54">
        <f>((1+Table26[[#This Row],[Weekly change]])^52)-1</f>
        <v>4.5642995939606079E-2</v>
      </c>
      <c r="E367" s="57">
        <f>(Table26[[#This Row],[M2 Money Stock, Billions of Dollars, Weekly, Seasonally Adjusted]]-B315)/B315</f>
        <v>4.3689139275454203E-2</v>
      </c>
    </row>
    <row r="368" spans="1:5" x14ac:dyDescent="0.2">
      <c r="A368" s="50">
        <v>32055</v>
      </c>
      <c r="B368" s="51">
        <v>2804.3</v>
      </c>
      <c r="C368" s="53">
        <f>(Table26[[#This Row],[M2 Money Stock, Billions of Dollars, Weekly, Seasonally Adjusted]]-B367)/B367</f>
        <v>2.4665761063845325E-3</v>
      </c>
      <c r="D368" s="54">
        <f>((1+Table26[[#This Row],[Weekly change]])^52)-1</f>
        <v>0.13667124812419629</v>
      </c>
      <c r="E368" s="57">
        <f>(Table26[[#This Row],[M2 Money Stock, Billions of Dollars, Weekly, Seasonally Adjusted]]-B316)/B316</f>
        <v>4.5171629831165544E-2</v>
      </c>
    </row>
    <row r="369" spans="1:5" x14ac:dyDescent="0.2">
      <c r="A369" s="50">
        <v>32062</v>
      </c>
      <c r="B369" s="51">
        <v>2800.8</v>
      </c>
      <c r="C369" s="53">
        <f>(Table26[[#This Row],[M2 Money Stock, Billions of Dollars, Weekly, Seasonally Adjusted]]-B368)/B368</f>
        <v>-1.2480833006454372E-3</v>
      </c>
      <c r="D369" s="54">
        <f>((1+Table26[[#This Row],[Weekly change]])^52)-1</f>
        <v>-6.2877122318602208E-2</v>
      </c>
      <c r="E369" s="57">
        <f>(Table26[[#This Row],[M2 Money Stock, Billions of Dollars, Weekly, Seasonally Adjusted]]-B317)/B317</f>
        <v>4.3556019225753598E-2</v>
      </c>
    </row>
    <row r="370" spans="1:5" x14ac:dyDescent="0.2">
      <c r="A370" s="50">
        <v>32069</v>
      </c>
      <c r="B370" s="51">
        <v>2809.3</v>
      </c>
      <c r="C370" s="53">
        <f>(Table26[[#This Row],[M2 Money Stock, Billions of Dollars, Weekly, Seasonally Adjusted]]-B369)/B369</f>
        <v>3.0348471865181375E-3</v>
      </c>
      <c r="D370" s="54">
        <f>((1+Table26[[#This Row],[Weekly change]])^52)-1</f>
        <v>0.17066629469808547</v>
      </c>
      <c r="E370" s="57">
        <f>(Table26[[#This Row],[M2 Money Stock, Billions of Dollars, Weekly, Seasonally Adjusted]]-B318)/B318</f>
        <v>4.4504759071981065E-2</v>
      </c>
    </row>
    <row r="371" spans="1:5" x14ac:dyDescent="0.2">
      <c r="A371" s="50">
        <v>32076</v>
      </c>
      <c r="B371" s="51">
        <v>2827.2</v>
      </c>
      <c r="C371" s="53">
        <f>(Table26[[#This Row],[M2 Money Stock, Billions of Dollars, Weekly, Seasonally Adjusted]]-B370)/B370</f>
        <v>6.3716940163028634E-3</v>
      </c>
      <c r="D371" s="54">
        <f>((1+Table26[[#This Row],[Weekly change]])^52)-1</f>
        <v>0.39135346711298347</v>
      </c>
      <c r="E371" s="57">
        <f>(Table26[[#This Row],[M2 Money Stock, Billions of Dollars, Weekly, Seasonally Adjusted]]-B319)/B319</f>
        <v>4.952112257777104E-2</v>
      </c>
    </row>
    <row r="372" spans="1:5" x14ac:dyDescent="0.2">
      <c r="A372" s="50">
        <v>32083</v>
      </c>
      <c r="B372" s="51">
        <v>2819.3</v>
      </c>
      <c r="C372" s="53">
        <f>(Table26[[#This Row],[M2 Money Stock, Billions of Dollars, Weekly, Seasonally Adjusted]]-B371)/B371</f>
        <v>-2.7942840973399961E-3</v>
      </c>
      <c r="D372" s="54">
        <f>((1+Table26[[#This Row],[Weekly change]])^52)-1</f>
        <v>-0.13541543634176723</v>
      </c>
      <c r="E372" s="57">
        <f>(Table26[[#This Row],[M2 Money Stock, Billions of Dollars, Weekly, Seasonally Adjusted]]-B320)/B320</f>
        <v>4.6161267579502056E-2</v>
      </c>
    </row>
    <row r="373" spans="1:5" x14ac:dyDescent="0.2">
      <c r="A373" s="50">
        <v>32090</v>
      </c>
      <c r="B373" s="51">
        <v>2815.9</v>
      </c>
      <c r="C373" s="53">
        <f>(Table26[[#This Row],[M2 Money Stock, Billions of Dollars, Weekly, Seasonally Adjusted]]-B372)/B372</f>
        <v>-1.2059731138935519E-3</v>
      </c>
      <c r="D373" s="54">
        <f>((1+Table26[[#This Row],[Weekly change]])^52)-1</f>
        <v>-6.0820301615237438E-2</v>
      </c>
      <c r="E373" s="57">
        <f>(Table26[[#This Row],[M2 Money Stock, Billions of Dollars, Weekly, Seasonally Adjusted]]-B321)/B321</f>
        <v>4.3582996701626915E-2</v>
      </c>
    </row>
    <row r="374" spans="1:5" x14ac:dyDescent="0.2">
      <c r="A374" s="50">
        <v>32097</v>
      </c>
      <c r="B374" s="51">
        <v>2816.2</v>
      </c>
      <c r="C374" s="53">
        <f>(Table26[[#This Row],[M2 Money Stock, Billions of Dollars, Weekly, Seasonally Adjusted]]-B373)/B373</f>
        <v>1.0653787421418628E-4</v>
      </c>
      <c r="D374" s="54">
        <f>((1+Table26[[#This Row],[Weekly change]])^52)-1</f>
        <v>5.5550467407523563E-3</v>
      </c>
      <c r="E374" s="57">
        <f>(Table26[[#This Row],[M2 Money Stock, Billions of Dollars, Weekly, Seasonally Adjusted]]-B322)/B322</f>
        <v>4.2110716400236725E-2</v>
      </c>
    </row>
    <row r="375" spans="1:5" x14ac:dyDescent="0.2">
      <c r="A375" s="50">
        <v>32104</v>
      </c>
      <c r="B375" s="51">
        <v>2817.1</v>
      </c>
      <c r="C375" s="53">
        <f>(Table26[[#This Row],[M2 Money Stock, Billions of Dollars, Weekly, Seasonally Adjusted]]-B374)/B374</f>
        <v>3.1957957531428559E-4</v>
      </c>
      <c r="D375" s="54">
        <f>((1+Table26[[#This Row],[Weekly change]])^52)-1</f>
        <v>1.6754287916308508E-2</v>
      </c>
      <c r="E375" s="57">
        <f>(Table26[[#This Row],[M2 Money Stock, Billions of Dollars, Weekly, Seasonally Adjusted]]-B323)/B323</f>
        <v>4.2019604216756025E-2</v>
      </c>
    </row>
    <row r="376" spans="1:5" x14ac:dyDescent="0.2">
      <c r="A376" s="50">
        <v>32111</v>
      </c>
      <c r="B376" s="51">
        <v>2817.8</v>
      </c>
      <c r="C376" s="53">
        <f>(Table26[[#This Row],[M2 Money Stock, Billions of Dollars, Weekly, Seasonally Adjusted]]-B375)/B375</f>
        <v>2.4848248198511692E-4</v>
      </c>
      <c r="D376" s="54">
        <f>((1+Table26[[#This Row],[Weekly change]])^52)-1</f>
        <v>1.3003301099292264E-2</v>
      </c>
      <c r="E376" s="57">
        <f>(Table26[[#This Row],[M2 Money Stock, Billions of Dollars, Weekly, Seasonally Adjusted]]-B324)/B324</f>
        <v>3.8246131171702349E-2</v>
      </c>
    </row>
    <row r="377" spans="1:5" x14ac:dyDescent="0.2">
      <c r="A377" s="50">
        <v>32118</v>
      </c>
      <c r="B377" s="51">
        <v>2820.8</v>
      </c>
      <c r="C377" s="53">
        <f>(Table26[[#This Row],[M2 Money Stock, Billions of Dollars, Weekly, Seasonally Adjusted]]-B376)/B376</f>
        <v>1.0646603733409042E-3</v>
      </c>
      <c r="D377" s="54">
        <f>((1+Table26[[#This Row],[Weekly change]])^52)-1</f>
        <v>5.689238425669596E-2</v>
      </c>
      <c r="E377" s="57">
        <f>(Table26[[#This Row],[M2 Money Stock, Billions of Dollars, Weekly, Seasonally Adjusted]]-B325)/B325</f>
        <v>3.96962883786076E-2</v>
      </c>
    </row>
    <row r="378" spans="1:5" x14ac:dyDescent="0.2">
      <c r="A378" s="50">
        <v>32125</v>
      </c>
      <c r="B378" s="51">
        <v>2823.5</v>
      </c>
      <c r="C378" s="53">
        <f>(Table26[[#This Row],[M2 Money Stock, Billions of Dollars, Weekly, Seasonally Adjusted]]-B377)/B377</f>
        <v>9.5717526942704838E-4</v>
      </c>
      <c r="D378" s="54">
        <f>((1+Table26[[#This Row],[Weekly change]])^52)-1</f>
        <v>5.1007584577313914E-2</v>
      </c>
      <c r="E378" s="57">
        <f>(Table26[[#This Row],[M2 Money Stock, Billions of Dollars, Weekly, Seasonally Adjusted]]-B326)/B326</f>
        <v>3.8395057188040198E-2</v>
      </c>
    </row>
    <row r="379" spans="1:5" x14ac:dyDescent="0.2">
      <c r="A379" s="50">
        <v>32132</v>
      </c>
      <c r="B379" s="51">
        <v>2826.4</v>
      </c>
      <c r="C379" s="53">
        <f>(Table26[[#This Row],[M2 Money Stock, Billions of Dollars, Weekly, Seasonally Adjusted]]-B378)/B378</f>
        <v>1.0270940322295347E-3</v>
      </c>
      <c r="D379" s="54">
        <f>((1+Table26[[#This Row],[Weekly change]])^52)-1</f>
        <v>5.4831966165972856E-2</v>
      </c>
      <c r="E379" s="57">
        <f>(Table26[[#This Row],[M2 Money Stock, Billions of Dollars, Weekly, Seasonally Adjusted]]-B327)/B327</f>
        <v>3.5083864352157101E-2</v>
      </c>
    </row>
    <row r="380" spans="1:5" x14ac:dyDescent="0.2">
      <c r="A380" s="50">
        <v>32139</v>
      </c>
      <c r="B380" s="51">
        <v>2828.6</v>
      </c>
      <c r="C380" s="53">
        <f>(Table26[[#This Row],[M2 Money Stock, Billions of Dollars, Weekly, Seasonally Adjusted]]-B379)/B379</f>
        <v>7.7837531842620228E-4</v>
      </c>
      <c r="D380" s="54">
        <f>((1+Table26[[#This Row],[Weekly change]])^52)-1</f>
        <v>4.1289420031742852E-2</v>
      </c>
      <c r="E380" s="57">
        <f>(Table26[[#This Row],[M2 Money Stock, Billions of Dollars, Weekly, Seasonally Adjusted]]-B328)/B328</f>
        <v>3.0793338435188222E-2</v>
      </c>
    </row>
    <row r="381" spans="1:5" x14ac:dyDescent="0.2">
      <c r="A381" s="50">
        <v>32146</v>
      </c>
      <c r="B381" s="51">
        <v>2830</v>
      </c>
      <c r="C381" s="53">
        <f>(Table26[[#This Row],[M2 Money Stock, Billions of Dollars, Weekly, Seasonally Adjusted]]-B380)/B380</f>
        <v>4.9494449551017855E-4</v>
      </c>
      <c r="D381" s="54">
        <f>((1+Table26[[#This Row],[Weekly change]])^52)-1</f>
        <v>2.6064639930852618E-2</v>
      </c>
      <c r="E381" s="57">
        <f>(Table26[[#This Row],[M2 Money Stock, Billions of Dollars, Weekly, Seasonally Adjusted]]-B329)/B329</f>
        <v>2.6143079879618517E-2</v>
      </c>
    </row>
    <row r="382" spans="1:5" x14ac:dyDescent="0.2">
      <c r="A382" s="50">
        <v>32153</v>
      </c>
      <c r="B382" s="51">
        <v>2836</v>
      </c>
      <c r="C382" s="53">
        <f>(Table26[[#This Row],[M2 Money Stock, Billions of Dollars, Weekly, Seasonally Adjusted]]-B381)/B381</f>
        <v>2.1201413427561835E-3</v>
      </c>
      <c r="D382" s="54">
        <f>((1+Table26[[#This Row],[Weekly change]])^52)-1</f>
        <v>0.11642391587317769</v>
      </c>
      <c r="E382" s="57">
        <f>(Table26[[#This Row],[M2 Money Stock, Billions of Dollars, Weekly, Seasonally Adjusted]]-B330)/B330</f>
        <v>3.3151183970856105E-2</v>
      </c>
    </row>
    <row r="383" spans="1:5" x14ac:dyDescent="0.2">
      <c r="A383" s="50">
        <v>32160</v>
      </c>
      <c r="B383" s="51">
        <v>2846.9</v>
      </c>
      <c r="C383" s="53">
        <f>(Table26[[#This Row],[M2 Money Stock, Billions of Dollars, Weekly, Seasonally Adjusted]]-B382)/B382</f>
        <v>3.8434414668547571E-3</v>
      </c>
      <c r="D383" s="54">
        <f>((1+Table26[[#This Row],[Weekly change]])^52)-1</f>
        <v>0.22076274530326279</v>
      </c>
      <c r="E383" s="57">
        <f>(Table26[[#This Row],[M2 Money Stock, Billions of Dollars, Weekly, Seasonally Adjusted]]-B331)/B331</f>
        <v>3.8256746900072976E-2</v>
      </c>
    </row>
    <row r="384" spans="1:5" x14ac:dyDescent="0.2">
      <c r="A384" s="50">
        <v>32167</v>
      </c>
      <c r="B384" s="51">
        <v>2854.8</v>
      </c>
      <c r="C384" s="53">
        <f>(Table26[[#This Row],[M2 Money Stock, Billions of Dollars, Weekly, Seasonally Adjusted]]-B383)/B383</f>
        <v>2.7749481892585235E-3</v>
      </c>
      <c r="D384" s="54">
        <f>((1+Table26[[#This Row],[Weekly change]])^52)-1</f>
        <v>0.15499667672800288</v>
      </c>
      <c r="E384" s="57">
        <f>(Table26[[#This Row],[M2 Money Stock, Billions of Dollars, Weekly, Seasonally Adjusted]]-B332)/B332</f>
        <v>3.9924231385691525E-2</v>
      </c>
    </row>
    <row r="385" spans="1:5" x14ac:dyDescent="0.2">
      <c r="A385" s="50">
        <v>32174</v>
      </c>
      <c r="B385" s="51">
        <v>2863.2</v>
      </c>
      <c r="C385" s="53">
        <f>(Table26[[#This Row],[M2 Money Stock, Billions of Dollars, Weekly, Seasonally Adjusted]]-B384)/B384</f>
        <v>2.9424127784782247E-3</v>
      </c>
      <c r="D385" s="54">
        <f>((1+Table26[[#This Row],[Weekly change]])^52)-1</f>
        <v>0.16506957056168692</v>
      </c>
      <c r="E385" s="57">
        <f>(Table26[[#This Row],[M2 Money Stock, Billions of Dollars, Weekly, Seasonally Adjusted]]-B333)/B333</f>
        <v>4.3934808765085501E-2</v>
      </c>
    </row>
    <row r="386" spans="1:5" x14ac:dyDescent="0.2">
      <c r="A386" s="50">
        <v>32181</v>
      </c>
      <c r="B386" s="51">
        <v>2862.3</v>
      </c>
      <c r="C386" s="53">
        <f>(Table26[[#This Row],[M2 Money Stock, Billions of Dollars, Weekly, Seasonally Adjusted]]-B385)/B385</f>
        <v>-3.1433361274086204E-4</v>
      </c>
      <c r="D386" s="54">
        <f>((1+Table26[[#This Row],[Weekly change]])^52)-1</f>
        <v>-1.6215015355463658E-2</v>
      </c>
      <c r="E386" s="57">
        <f>(Table26[[#This Row],[M2 Money Stock, Billions of Dollars, Weekly, Seasonally Adjusted]]-B334)/B334</f>
        <v>4.4177732379979705E-2</v>
      </c>
    </row>
    <row r="387" spans="1:5" x14ac:dyDescent="0.2">
      <c r="A387" s="50">
        <v>32188</v>
      </c>
      <c r="B387" s="51">
        <v>2867.9</v>
      </c>
      <c r="C387" s="53">
        <f>(Table26[[#This Row],[M2 Money Stock, Billions of Dollars, Weekly, Seasonally Adjusted]]-B386)/B386</f>
        <v>1.9564685742234945E-3</v>
      </c>
      <c r="D387" s="54">
        <f>((1+Table26[[#This Row],[Weekly change]])^52)-1</f>
        <v>0.10698153511658304</v>
      </c>
      <c r="E387" s="57">
        <f>(Table26[[#This Row],[M2 Money Stock, Billions of Dollars, Weekly, Seasonally Adjusted]]-B335)/B335</f>
        <v>4.6182468172035127E-2</v>
      </c>
    </row>
    <row r="388" spans="1:5" x14ac:dyDescent="0.2">
      <c r="A388" s="50">
        <v>32195</v>
      </c>
      <c r="B388" s="51">
        <v>2875</v>
      </c>
      <c r="C388" s="53">
        <f>(Table26[[#This Row],[M2 Money Stock, Billions of Dollars, Weekly, Seasonally Adjusted]]-B387)/B387</f>
        <v>2.4756790683077893E-3</v>
      </c>
      <c r="D388" s="54">
        <f>((1+Table26[[#This Row],[Weekly change]])^52)-1</f>
        <v>0.13720809645786569</v>
      </c>
      <c r="E388" s="57">
        <f>(Table26[[#This Row],[M2 Money Stock, Billions of Dollars, Weekly, Seasonally Adjusted]]-B336)/B336</f>
        <v>4.8275359148253517E-2</v>
      </c>
    </row>
    <row r="389" spans="1:5" x14ac:dyDescent="0.2">
      <c r="A389" s="50">
        <v>32202</v>
      </c>
      <c r="B389" s="51">
        <v>2875.3</v>
      </c>
      <c r="C389" s="53">
        <f>(Table26[[#This Row],[M2 Money Stock, Billions of Dollars, Weekly, Seasonally Adjusted]]-B388)/B388</f>
        <v>1.0434782608701979E-4</v>
      </c>
      <c r="D389" s="54">
        <f>((1+Table26[[#This Row],[Weekly change]])^52)-1</f>
        <v>5.4405502080459023E-3</v>
      </c>
      <c r="E389" s="57">
        <f>(Table26[[#This Row],[M2 Money Stock, Billions of Dollars, Weekly, Seasonally Adjusted]]-B337)/B337</f>
        <v>4.7735305906788615E-2</v>
      </c>
    </row>
    <row r="390" spans="1:5" x14ac:dyDescent="0.2">
      <c r="A390" s="50">
        <v>32209</v>
      </c>
      <c r="B390" s="51">
        <v>2882.4</v>
      </c>
      <c r="C390" s="53">
        <f>(Table26[[#This Row],[M2 Money Stock, Billions of Dollars, Weekly, Seasonally Adjusted]]-B389)/B389</f>
        <v>2.4693075505164363E-3</v>
      </c>
      <c r="D390" s="54">
        <f>((1+Table26[[#This Row],[Weekly change]])^52)-1</f>
        <v>0.13683230928108725</v>
      </c>
      <c r="E390" s="57">
        <f>(Table26[[#This Row],[M2 Money Stock, Billions of Dollars, Weekly, Seasonally Adjusted]]-B338)/B338</f>
        <v>4.8831962739247607E-2</v>
      </c>
    </row>
    <row r="391" spans="1:5" x14ac:dyDescent="0.2">
      <c r="A391" s="50">
        <v>32216</v>
      </c>
      <c r="B391" s="51">
        <v>2889.4</v>
      </c>
      <c r="C391" s="53">
        <f>(Table26[[#This Row],[M2 Money Stock, Billions of Dollars, Weekly, Seasonally Adjusted]]-B390)/B390</f>
        <v>2.4285317790729948E-3</v>
      </c>
      <c r="D391" s="54">
        <f>((1+Table26[[#This Row],[Weekly change]])^52)-1</f>
        <v>0.1344302680073759</v>
      </c>
      <c r="E391" s="57">
        <f>(Table26[[#This Row],[M2 Money Stock, Billions of Dollars, Weekly, Seasonally Adjusted]]-B339)/B339</f>
        <v>4.9927325581395385E-2</v>
      </c>
    </row>
    <row r="392" spans="1:5" x14ac:dyDescent="0.2">
      <c r="A392" s="50">
        <v>32223</v>
      </c>
      <c r="B392" s="51">
        <v>2897.4</v>
      </c>
      <c r="C392" s="53">
        <f>(Table26[[#This Row],[M2 Money Stock, Billions of Dollars, Weekly, Seasonally Adjusted]]-B391)/B391</f>
        <v>2.7687409150688722E-3</v>
      </c>
      <c r="D392" s="54">
        <f>((1+Table26[[#This Row],[Weekly change]])^52)-1</f>
        <v>0.15462495925030106</v>
      </c>
      <c r="E392" s="57">
        <f>(Table26[[#This Row],[M2 Money Stock, Billions of Dollars, Weekly, Seasonally Adjusted]]-B340)/B340</f>
        <v>5.2796046655281488E-2</v>
      </c>
    </row>
    <row r="393" spans="1:5" x14ac:dyDescent="0.2">
      <c r="A393" s="50">
        <v>32230</v>
      </c>
      <c r="B393" s="51">
        <v>2901.5</v>
      </c>
      <c r="C393" s="53">
        <f>(Table26[[#This Row],[M2 Money Stock, Billions of Dollars, Weekly, Seasonally Adjusted]]-B392)/B392</f>
        <v>1.4150617795264406E-3</v>
      </c>
      <c r="D393" s="54">
        <f>((1+Table26[[#This Row],[Weekly change]])^52)-1</f>
        <v>7.6302115914997692E-2</v>
      </c>
      <c r="E393" s="57">
        <f>(Table26[[#This Row],[M2 Money Stock, Billions of Dollars, Weekly, Seasonally Adjusted]]-B341)/B341</f>
        <v>5.3023154532917144E-2</v>
      </c>
    </row>
    <row r="394" spans="1:5" x14ac:dyDescent="0.2">
      <c r="A394" s="50">
        <v>32237</v>
      </c>
      <c r="B394" s="51">
        <v>2905.1</v>
      </c>
      <c r="C394" s="53">
        <f>(Table26[[#This Row],[M2 Money Stock, Billions of Dollars, Weekly, Seasonally Adjusted]]-B393)/B393</f>
        <v>1.2407375495433082E-3</v>
      </c>
      <c r="D394" s="54">
        <f>((1+Table26[[#This Row],[Weekly change]])^52)-1</f>
        <v>6.6602497230228375E-2</v>
      </c>
      <c r="E394" s="57">
        <f>(Table26[[#This Row],[M2 Money Stock, Billions of Dollars, Weekly, Seasonally Adjusted]]-B342)/B342</f>
        <v>5.3488540760081235E-2</v>
      </c>
    </row>
    <row r="395" spans="1:5" x14ac:dyDescent="0.2">
      <c r="A395" s="50">
        <v>32244</v>
      </c>
      <c r="B395" s="51">
        <v>2909.4</v>
      </c>
      <c r="C395" s="53">
        <f>(Table26[[#This Row],[M2 Money Stock, Billions of Dollars, Weekly, Seasonally Adjusted]]-B394)/B394</f>
        <v>1.4801555884479645E-3</v>
      </c>
      <c r="D395" s="54">
        <f>((1+Table26[[#This Row],[Weekly change]])^52)-1</f>
        <v>7.9946156035961113E-2</v>
      </c>
      <c r="E395" s="57">
        <f>(Table26[[#This Row],[M2 Money Stock, Billions of Dollars, Weekly, Seasonally Adjusted]]-B343)/B343</f>
        <v>5.462717946859038E-2</v>
      </c>
    </row>
    <row r="396" spans="1:5" x14ac:dyDescent="0.2">
      <c r="A396" s="50">
        <v>32251</v>
      </c>
      <c r="B396" s="51">
        <v>2912.1</v>
      </c>
      <c r="C396" s="53">
        <f>(Table26[[#This Row],[M2 Money Stock, Billions of Dollars, Weekly, Seasonally Adjusted]]-B395)/B395</f>
        <v>9.2802639719523545E-4</v>
      </c>
      <c r="D396" s="54">
        <f>((1+Table26[[#This Row],[Weekly change]])^52)-1</f>
        <v>4.9417233566501961E-2</v>
      </c>
      <c r="E396" s="57">
        <f>(Table26[[#This Row],[M2 Money Stock, Billions of Dollars, Weekly, Seasonally Adjusted]]-B344)/B344</f>
        <v>5.0730651271874407E-2</v>
      </c>
    </row>
    <row r="397" spans="1:5" x14ac:dyDescent="0.2">
      <c r="A397" s="50">
        <v>32258</v>
      </c>
      <c r="B397" s="51">
        <v>2920</v>
      </c>
      <c r="C397" s="53">
        <f>(Table26[[#This Row],[M2 Money Stock, Billions of Dollars, Weekly, Seasonally Adjusted]]-B396)/B396</f>
        <v>2.7128189279214624E-3</v>
      </c>
      <c r="D397" s="54">
        <f>((1+Table26[[#This Row],[Weekly change]])^52)-1</f>
        <v>0.1512814030360361</v>
      </c>
      <c r="E397" s="57">
        <f>(Table26[[#This Row],[M2 Money Stock, Billions of Dollars, Weekly, Seasonally Adjusted]]-B345)/B345</f>
        <v>5.2821344871101496E-2</v>
      </c>
    </row>
    <row r="398" spans="1:5" x14ac:dyDescent="0.2">
      <c r="A398" s="50">
        <v>32265</v>
      </c>
      <c r="B398" s="51">
        <v>2917.4</v>
      </c>
      <c r="C398" s="53">
        <f>(Table26[[#This Row],[M2 Money Stock, Billions of Dollars, Weekly, Seasonally Adjusted]]-B397)/B397</f>
        <v>-8.9041095890407844E-4</v>
      </c>
      <c r="D398" s="54">
        <f>((1+Table26[[#This Row],[Weekly change]])^52)-1</f>
        <v>-4.5265507739526534E-2</v>
      </c>
      <c r="E398" s="57">
        <f>(Table26[[#This Row],[M2 Money Stock, Billions of Dollars, Weekly, Seasonally Adjusted]]-B346)/B346</f>
        <v>5.3821702066175404E-2</v>
      </c>
    </row>
    <row r="399" spans="1:5" x14ac:dyDescent="0.2">
      <c r="A399" s="50">
        <v>32272</v>
      </c>
      <c r="B399" s="51">
        <v>2918.3</v>
      </c>
      <c r="C399" s="53">
        <f>(Table26[[#This Row],[M2 Money Stock, Billions of Dollars, Weekly, Seasonally Adjusted]]-B398)/B398</f>
        <v>3.0849386439983921E-4</v>
      </c>
      <c r="D399" s="54">
        <f>((1+Table26[[#This Row],[Weekly change]])^52)-1</f>
        <v>1.6168525623204033E-2</v>
      </c>
      <c r="E399" s="57">
        <f>(Table26[[#This Row],[M2 Money Stock, Billions of Dollars, Weekly, Seasonally Adjusted]]-B347)/B347</f>
        <v>5.6207021353601221E-2</v>
      </c>
    </row>
    <row r="400" spans="1:5" x14ac:dyDescent="0.2">
      <c r="A400" s="50">
        <v>32279</v>
      </c>
      <c r="B400" s="51">
        <v>2922.7</v>
      </c>
      <c r="C400" s="53">
        <f>(Table26[[#This Row],[M2 Money Stock, Billions of Dollars, Weekly, Seasonally Adjusted]]-B399)/B399</f>
        <v>1.5077271013945227E-3</v>
      </c>
      <c r="D400" s="54">
        <f>((1+Table26[[#This Row],[Weekly change]])^52)-1</f>
        <v>8.1493292489517088E-2</v>
      </c>
      <c r="E400" s="57">
        <f>(Table26[[#This Row],[M2 Money Stock, Billions of Dollars, Weekly, Seasonally Adjusted]]-B348)/B348</f>
        <v>5.7187296534760873E-2</v>
      </c>
    </row>
    <row r="401" spans="1:5" x14ac:dyDescent="0.2">
      <c r="A401" s="50">
        <v>32286</v>
      </c>
      <c r="B401" s="51">
        <v>2927</v>
      </c>
      <c r="C401" s="53">
        <f>(Table26[[#This Row],[M2 Money Stock, Billions of Dollars, Weekly, Seasonally Adjusted]]-B400)/B400</f>
        <v>1.4712423444076307E-3</v>
      </c>
      <c r="D401" s="54">
        <f>((1+Table26[[#This Row],[Weekly change]])^52)-1</f>
        <v>7.9446466407363525E-2</v>
      </c>
      <c r="E401" s="57">
        <f>(Table26[[#This Row],[M2 Money Stock, Billions of Dollars, Weekly, Seasonally Adjusted]]-B349)/B349</f>
        <v>5.6678700361010831E-2</v>
      </c>
    </row>
    <row r="402" spans="1:5" x14ac:dyDescent="0.2">
      <c r="A402" s="50">
        <v>32293</v>
      </c>
      <c r="B402" s="51">
        <v>2929.5</v>
      </c>
      <c r="C402" s="53">
        <f>(Table26[[#This Row],[M2 Money Stock, Billions of Dollars, Weekly, Seasonally Adjusted]]-B401)/B401</f>
        <v>8.5411684318414764E-4</v>
      </c>
      <c r="D402" s="54">
        <f>((1+Table26[[#This Row],[Weekly change]])^52)-1</f>
        <v>4.5395329097480897E-2</v>
      </c>
      <c r="E402" s="57">
        <f>(Table26[[#This Row],[M2 Money Stock, Billions of Dollars, Weekly, Seasonally Adjusted]]-B350)/B350</f>
        <v>5.6360882734746931E-2</v>
      </c>
    </row>
    <row r="403" spans="1:5" x14ac:dyDescent="0.2">
      <c r="A403" s="50">
        <v>32300</v>
      </c>
      <c r="B403" s="51">
        <v>2935.2</v>
      </c>
      <c r="C403" s="53">
        <f>(Table26[[#This Row],[M2 Money Stock, Billions of Dollars, Weekly, Seasonally Adjusted]]-B402)/B402</f>
        <v>1.9457245263696256E-3</v>
      </c>
      <c r="D403" s="54">
        <f>((1+Table26[[#This Row],[Weekly change]])^52)-1</f>
        <v>0.10636445144729922</v>
      </c>
      <c r="E403" s="57">
        <f>(Table26[[#This Row],[M2 Money Stock, Billions of Dollars, Weekly, Seasonally Adjusted]]-B351)/B351</f>
        <v>5.9715502924398742E-2</v>
      </c>
    </row>
    <row r="404" spans="1:5" x14ac:dyDescent="0.2">
      <c r="A404" s="50">
        <v>32307</v>
      </c>
      <c r="B404" s="51">
        <v>2937.5</v>
      </c>
      <c r="C404" s="53">
        <f>(Table26[[#This Row],[M2 Money Stock, Billions of Dollars, Weekly, Seasonally Adjusted]]-B403)/B403</f>
        <v>7.8359225947130756E-4</v>
      </c>
      <c r="D404" s="54">
        <f>((1+Table26[[#This Row],[Weekly change]])^52)-1</f>
        <v>4.1571719816516195E-2</v>
      </c>
      <c r="E404" s="57">
        <f>(Table26[[#This Row],[M2 Money Stock, Billions of Dollars, Weekly, Seasonally Adjusted]]-B352)/B352</f>
        <v>6.0086611331649227E-2</v>
      </c>
    </row>
    <row r="405" spans="1:5" x14ac:dyDescent="0.2">
      <c r="A405" s="50">
        <v>32314</v>
      </c>
      <c r="B405" s="51">
        <v>2944.8</v>
      </c>
      <c r="C405" s="53">
        <f>(Table26[[#This Row],[M2 Money Stock, Billions of Dollars, Weekly, Seasonally Adjusted]]-B404)/B404</f>
        <v>2.4851063829787854E-3</v>
      </c>
      <c r="D405" s="54">
        <f>((1+Table26[[#This Row],[Weekly change]])^52)-1</f>
        <v>0.13776433566070057</v>
      </c>
      <c r="E405" s="57">
        <f>(Table26[[#This Row],[M2 Money Stock, Billions of Dollars, Weekly, Seasonally Adjusted]]-B353)/B353</f>
        <v>6.1954561846375829E-2</v>
      </c>
    </row>
    <row r="406" spans="1:5" x14ac:dyDescent="0.2">
      <c r="A406" s="50">
        <v>32321</v>
      </c>
      <c r="B406" s="51">
        <v>2949.1</v>
      </c>
      <c r="C406" s="53">
        <f>(Table26[[#This Row],[M2 Money Stock, Billions of Dollars, Weekly, Seasonally Adjusted]]-B405)/B405</f>
        <v>1.460201032328079E-3</v>
      </c>
      <c r="D406" s="54">
        <f>((1+Table26[[#This Row],[Weekly change]])^52)-1</f>
        <v>7.8827788564202805E-2</v>
      </c>
      <c r="E406" s="57">
        <f>(Table26[[#This Row],[M2 Money Stock, Billions of Dollars, Weekly, Seasonally Adjusted]]-B354)/B354</f>
        <v>6.358193883439113E-2</v>
      </c>
    </row>
    <row r="407" spans="1:5" x14ac:dyDescent="0.2">
      <c r="A407" s="50">
        <v>32328</v>
      </c>
      <c r="B407" s="51">
        <v>2947.5</v>
      </c>
      <c r="C407" s="53">
        <f>(Table26[[#This Row],[M2 Money Stock, Billions of Dollars, Weekly, Seasonally Adjusted]]-B406)/B406</f>
        <v>-5.4253840154620358E-4</v>
      </c>
      <c r="D407" s="54">
        <f>((1+Table26[[#This Row],[Weekly change]])^52)-1</f>
        <v>-2.7825197468674623E-2</v>
      </c>
      <c r="E407" s="57">
        <f>(Table26[[#This Row],[M2 Money Stock, Billions of Dollars, Weekly, Seasonally Adjusted]]-B355)/B355</f>
        <v>6.0709658845544773E-2</v>
      </c>
    </row>
    <row r="408" spans="1:5" x14ac:dyDescent="0.2">
      <c r="A408" s="50">
        <v>32335</v>
      </c>
      <c r="B408" s="51">
        <v>2950.1</v>
      </c>
      <c r="C408" s="53">
        <f>(Table26[[#This Row],[M2 Money Stock, Billions of Dollars, Weekly, Seasonally Adjusted]]-B407)/B407</f>
        <v>8.8210347752329399E-4</v>
      </c>
      <c r="D408" s="54">
        <f>((1+Table26[[#This Row],[Weekly change]])^52)-1</f>
        <v>4.6916484205836939E-2</v>
      </c>
      <c r="E408" s="57">
        <f>(Table26[[#This Row],[M2 Money Stock, Billions of Dollars, Weekly, Seasonally Adjusted]]-B356)/B356</f>
        <v>6.3750766235170994E-2</v>
      </c>
    </row>
    <row r="409" spans="1:5" x14ac:dyDescent="0.2">
      <c r="A409" s="50">
        <v>32342</v>
      </c>
      <c r="B409" s="51">
        <v>2952.3</v>
      </c>
      <c r="C409" s="53">
        <f>(Table26[[#This Row],[M2 Money Stock, Billions of Dollars, Weekly, Seasonally Adjusted]]-B408)/B408</f>
        <v>7.4573743262949495E-4</v>
      </c>
      <c r="D409" s="54">
        <f>((1+Table26[[#This Row],[Weekly change]])^52)-1</f>
        <v>3.9525017046311506E-2</v>
      </c>
      <c r="E409" s="57">
        <f>(Table26[[#This Row],[M2 Money Stock, Billions of Dollars, Weekly, Seasonally Adjusted]]-B357)/B357</f>
        <v>6.2934293429342994E-2</v>
      </c>
    </row>
    <row r="410" spans="1:5" x14ac:dyDescent="0.2">
      <c r="A410" s="50">
        <v>32349</v>
      </c>
      <c r="B410" s="51">
        <v>2955.4</v>
      </c>
      <c r="C410" s="53">
        <f>(Table26[[#This Row],[M2 Money Stock, Billions of Dollars, Weekly, Seasonally Adjusted]]-B409)/B409</f>
        <v>1.0500287911119836E-3</v>
      </c>
      <c r="D410" s="54">
        <f>((1+Table26[[#This Row],[Weekly change]])^52)-1</f>
        <v>5.6089410376678916E-2</v>
      </c>
      <c r="E410" s="57">
        <f>(Table26[[#This Row],[M2 Money Stock, Billions of Dollars, Weekly, Seasonally Adjusted]]-B358)/B358</f>
        <v>6.2673043040523596E-2</v>
      </c>
    </row>
    <row r="411" spans="1:5" x14ac:dyDescent="0.2">
      <c r="A411" s="50">
        <v>32356</v>
      </c>
      <c r="B411" s="51">
        <v>2958.6</v>
      </c>
      <c r="C411" s="53">
        <f>(Table26[[#This Row],[M2 Money Stock, Billions of Dollars, Weekly, Seasonally Adjusted]]-B410)/B410</f>
        <v>1.0827637544832572E-3</v>
      </c>
      <c r="D411" s="54">
        <f>((1+Table26[[#This Row],[Weekly change]])^52)-1</f>
        <v>5.7886717510657437E-2</v>
      </c>
      <c r="E411" s="57">
        <f>(Table26[[#This Row],[M2 Money Stock, Billions of Dollars, Weekly, Seasonally Adjusted]]-B359)/B359</f>
        <v>6.4589255514375166E-2</v>
      </c>
    </row>
    <row r="412" spans="1:5" x14ac:dyDescent="0.2">
      <c r="A412" s="50">
        <v>32363</v>
      </c>
      <c r="B412" s="51">
        <v>2956.2</v>
      </c>
      <c r="C412" s="53">
        <f>(Table26[[#This Row],[M2 Money Stock, Billions of Dollars, Weekly, Seasonally Adjusted]]-B411)/B411</f>
        <v>-8.1119448387754036E-4</v>
      </c>
      <c r="D412" s="54">
        <f>((1+Table26[[#This Row],[Weekly change]])^52)-1</f>
        <v>-4.1321237337083261E-2</v>
      </c>
      <c r="E412" s="57">
        <f>(Table26[[#This Row],[M2 Money Stock, Billions of Dollars, Weekly, Seasonally Adjusted]]-B360)/B360</f>
        <v>6.2311341095299566E-2</v>
      </c>
    </row>
    <row r="413" spans="1:5" x14ac:dyDescent="0.2">
      <c r="A413" s="50">
        <v>32370</v>
      </c>
      <c r="B413" s="51">
        <v>2958.4</v>
      </c>
      <c r="C413" s="53">
        <f>(Table26[[#This Row],[M2 Money Stock, Billions of Dollars, Weekly, Seasonally Adjusted]]-B412)/B412</f>
        <v>7.4419863338078375E-4</v>
      </c>
      <c r="D413" s="54">
        <f>((1+Table26[[#This Row],[Weekly change]])^52)-1</f>
        <v>3.944190203332254E-2</v>
      </c>
      <c r="E413" s="57">
        <f>(Table26[[#This Row],[M2 Money Stock, Billions of Dollars, Weekly, Seasonally Adjusted]]-B361)/B361</f>
        <v>6.2720022990157304E-2</v>
      </c>
    </row>
    <row r="414" spans="1:5" x14ac:dyDescent="0.2">
      <c r="A414" s="50">
        <v>32377</v>
      </c>
      <c r="B414" s="51">
        <v>2959.7</v>
      </c>
      <c r="C414" s="53">
        <f>(Table26[[#This Row],[M2 Money Stock, Billions of Dollars, Weekly, Seasonally Adjusted]]-B413)/B413</f>
        <v>4.3942671714431011E-4</v>
      </c>
      <c r="D414" s="54">
        <f>((1+Table26[[#This Row],[Weekly change]])^52)-1</f>
        <v>2.3108119729494891E-2</v>
      </c>
      <c r="E414" s="57">
        <f>(Table26[[#This Row],[M2 Money Stock, Billions of Dollars, Weekly, Seasonally Adjusted]]-B362)/B362</f>
        <v>6.2652592273445357E-2</v>
      </c>
    </row>
    <row r="415" spans="1:5" x14ac:dyDescent="0.2">
      <c r="A415" s="50">
        <v>32384</v>
      </c>
      <c r="B415" s="51">
        <v>2960.2</v>
      </c>
      <c r="C415" s="53">
        <f>(Table26[[#This Row],[M2 Money Stock, Billions of Dollars, Weekly, Seasonally Adjusted]]-B414)/B414</f>
        <v>1.6893604081494746E-4</v>
      </c>
      <c r="D415" s="54">
        <f>((1+Table26[[#This Row],[Weekly change]])^52)-1</f>
        <v>8.8226241203439582E-3</v>
      </c>
      <c r="E415" s="57">
        <f>(Table26[[#This Row],[M2 Money Stock, Billions of Dollars, Weekly, Seasonally Adjusted]]-B363)/B363</f>
        <v>6.2870273957847084E-2</v>
      </c>
    </row>
    <row r="416" spans="1:5" x14ac:dyDescent="0.2">
      <c r="A416" s="50">
        <v>32391</v>
      </c>
      <c r="B416" s="51">
        <v>2959.5</v>
      </c>
      <c r="C416" s="53">
        <f>(Table26[[#This Row],[M2 Money Stock, Billions of Dollars, Weekly, Seasonally Adjusted]]-B415)/B415</f>
        <v>-2.3647050874934738E-4</v>
      </c>
      <c r="D416" s="54">
        <f>((1+Table26[[#This Row],[Weekly change]])^52)-1</f>
        <v>-1.2222610171508386E-2</v>
      </c>
      <c r="E416" s="57">
        <f>(Table26[[#This Row],[M2 Money Stock, Billions of Dollars, Weekly, Seasonally Adjusted]]-B364)/B364</f>
        <v>6.2847908062488772E-2</v>
      </c>
    </row>
    <row r="417" spans="1:5" x14ac:dyDescent="0.2">
      <c r="A417" s="50">
        <v>32398</v>
      </c>
      <c r="B417" s="51">
        <v>2958.7</v>
      </c>
      <c r="C417" s="53">
        <f>(Table26[[#This Row],[M2 Money Stock, Billions of Dollars, Weekly, Seasonally Adjusted]]-B416)/B416</f>
        <v>-2.703159317452887E-4</v>
      </c>
      <c r="D417" s="54">
        <f>((1+Table26[[#This Row],[Weekly change]])^52)-1</f>
        <v>-1.3959971779962554E-2</v>
      </c>
      <c r="E417" s="57">
        <f>(Table26[[#This Row],[M2 Money Stock, Billions of Dollars, Weekly, Seasonally Adjusted]]-B365)/B365</f>
        <v>6.0237941661291448E-2</v>
      </c>
    </row>
    <row r="418" spans="1:5" x14ac:dyDescent="0.2">
      <c r="A418" s="50">
        <v>32405</v>
      </c>
      <c r="B418" s="51">
        <v>2962.5</v>
      </c>
      <c r="C418" s="53">
        <f>(Table26[[#This Row],[M2 Money Stock, Billions of Dollars, Weekly, Seasonally Adjusted]]-B417)/B417</f>
        <v>1.2843478554771292E-3</v>
      </c>
      <c r="D418" s="54">
        <f>((1+Table26[[#This Row],[Weekly change]])^52)-1</f>
        <v>6.9020957783807013E-2</v>
      </c>
      <c r="E418" s="57">
        <f>(Table26[[#This Row],[M2 Money Stock, Billions of Dollars, Weekly, Seasonally Adjusted]]-B366)/B366</f>
        <v>5.9928443649373879E-2</v>
      </c>
    </row>
    <row r="419" spans="1:5" x14ac:dyDescent="0.2">
      <c r="A419" s="50">
        <v>32412</v>
      </c>
      <c r="B419" s="51">
        <v>2964.6</v>
      </c>
      <c r="C419" s="53">
        <f>(Table26[[#This Row],[M2 Money Stock, Billions of Dollars, Weekly, Seasonally Adjusted]]-B418)/B418</f>
        <v>7.0886075949364014E-4</v>
      </c>
      <c r="D419" s="54">
        <f>((1+Table26[[#This Row],[Weekly change]])^52)-1</f>
        <v>3.7534993357610347E-2</v>
      </c>
      <c r="E419" s="57">
        <f>(Table26[[#This Row],[M2 Money Stock, Billions of Dollars, Weekly, Seasonally Adjusted]]-B367)/B367</f>
        <v>5.9769786230070711E-2</v>
      </c>
    </row>
    <row r="420" spans="1:5" x14ac:dyDescent="0.2">
      <c r="A420" s="50">
        <v>32419</v>
      </c>
      <c r="B420" s="51">
        <v>2961.9</v>
      </c>
      <c r="C420" s="53">
        <f>(Table26[[#This Row],[M2 Money Stock, Billions of Dollars, Weekly, Seasonally Adjusted]]-B419)/B419</f>
        <v>-9.1074681238609528E-4</v>
      </c>
      <c r="D420" s="54">
        <f>((1+Table26[[#This Row],[Weekly change]])^52)-1</f>
        <v>-4.6275480919490408E-2</v>
      </c>
      <c r="E420" s="57">
        <f>(Table26[[#This Row],[M2 Money Stock, Billions of Dollars, Weekly, Seasonally Adjusted]]-B368)/B368</f>
        <v>5.6199408051920231E-2</v>
      </c>
    </row>
    <row r="421" spans="1:5" x14ac:dyDescent="0.2">
      <c r="A421" s="50">
        <v>32426</v>
      </c>
      <c r="B421" s="51">
        <v>2964.6</v>
      </c>
      <c r="C421" s="53">
        <f>(Table26[[#This Row],[M2 Money Stock, Billions of Dollars, Weekly, Seasonally Adjusted]]-B420)/B420</f>
        <v>9.1157702825882649E-4</v>
      </c>
      <c r="D421" s="54">
        <f>((1+Table26[[#This Row],[Weekly change]])^52)-1</f>
        <v>4.8520804481472002E-2</v>
      </c>
      <c r="E421" s="57">
        <f>(Table26[[#This Row],[M2 Money Stock, Billions of Dollars, Weekly, Seasonally Adjusted]]-B369)/B369</f>
        <v>5.8483290488431774E-2</v>
      </c>
    </row>
    <row r="422" spans="1:5" x14ac:dyDescent="0.2">
      <c r="A422" s="50">
        <v>32433</v>
      </c>
      <c r="B422" s="51">
        <v>2969.4</v>
      </c>
      <c r="C422" s="53">
        <f>(Table26[[#This Row],[M2 Money Stock, Billions of Dollars, Weekly, Seasonally Adjusted]]-B421)/B421</f>
        <v>1.6191054442421177E-3</v>
      </c>
      <c r="D422" s="54">
        <f>((1+Table26[[#This Row],[Weekly change]])^52)-1</f>
        <v>8.7765288325370339E-2</v>
      </c>
      <c r="E422" s="57">
        <f>(Table26[[#This Row],[M2 Money Stock, Billions of Dollars, Weekly, Seasonally Adjusted]]-B370)/B370</f>
        <v>5.6989285587156907E-2</v>
      </c>
    </row>
    <row r="423" spans="1:5" x14ac:dyDescent="0.2">
      <c r="A423" s="50">
        <v>32440</v>
      </c>
      <c r="B423" s="51">
        <v>2969.1</v>
      </c>
      <c r="C423" s="53">
        <f>(Table26[[#This Row],[M2 Money Stock, Billions of Dollars, Weekly, Seasonally Adjusted]]-B422)/B422</f>
        <v>-1.01030511214448E-4</v>
      </c>
      <c r="D423" s="54">
        <f>((1+Table26[[#This Row],[Weekly change]])^52)-1</f>
        <v>-5.2400746455418812E-3</v>
      </c>
      <c r="E423" s="57">
        <f>(Table26[[#This Row],[M2 Money Stock, Billions of Dollars, Weekly, Seasonally Adjusted]]-B371)/B371</f>
        <v>5.0191001697792906E-2</v>
      </c>
    </row>
    <row r="424" spans="1:5" x14ac:dyDescent="0.2">
      <c r="A424" s="50">
        <v>32447</v>
      </c>
      <c r="B424" s="51">
        <v>2972.3</v>
      </c>
      <c r="C424" s="53">
        <f>(Table26[[#This Row],[M2 Money Stock, Billions of Dollars, Weekly, Seasonally Adjusted]]-B423)/B423</f>
        <v>1.0777676737059288E-3</v>
      </c>
      <c r="D424" s="54">
        <f>((1+Table26[[#This Row],[Weekly change]])^52)-1</f>
        <v>5.7612214755816016E-2</v>
      </c>
      <c r="E424" s="57">
        <f>(Table26[[#This Row],[M2 Money Stock, Billions of Dollars, Weekly, Seasonally Adjusted]]-B372)/B372</f>
        <v>5.4268790125208383E-2</v>
      </c>
    </row>
    <row r="425" spans="1:5" x14ac:dyDescent="0.2">
      <c r="A425" s="50">
        <v>32454</v>
      </c>
      <c r="B425" s="51">
        <v>2978.9</v>
      </c>
      <c r="C425" s="53">
        <f>(Table26[[#This Row],[M2 Money Stock, Billions of Dollars, Weekly, Seasonally Adjusted]]-B424)/B424</f>
        <v>2.2205026410523528E-3</v>
      </c>
      <c r="D425" s="54">
        <f>((1+Table26[[#This Row],[Weekly change]])^52)-1</f>
        <v>0.12225284118323088</v>
      </c>
      <c r="E425" s="57">
        <f>(Table26[[#This Row],[M2 Money Stock, Billions of Dollars, Weekly, Seasonally Adjusted]]-B373)/B373</f>
        <v>5.7885578323093857E-2</v>
      </c>
    </row>
    <row r="426" spans="1:5" x14ac:dyDescent="0.2">
      <c r="A426" s="50">
        <v>32461</v>
      </c>
      <c r="B426" s="51">
        <v>2982.1</v>
      </c>
      <c r="C426" s="53">
        <f>(Table26[[#This Row],[M2 Money Stock, Billions of Dollars, Weekly, Seasonally Adjusted]]-B425)/B425</f>
        <v>1.074222028265406E-3</v>
      </c>
      <c r="D426" s="54">
        <f>((1+Table26[[#This Row],[Weekly change]])^52)-1</f>
        <v>5.7417446548798434E-2</v>
      </c>
      <c r="E426" s="57">
        <f>(Table26[[#This Row],[M2 Money Stock, Billions of Dollars, Weekly, Seasonally Adjusted]]-B374)/B374</f>
        <v>5.8909168382927382E-2</v>
      </c>
    </row>
    <row r="427" spans="1:5" x14ac:dyDescent="0.2">
      <c r="A427" s="50">
        <v>32468</v>
      </c>
      <c r="B427" s="51">
        <v>2985.3</v>
      </c>
      <c r="C427" s="53">
        <f>(Table26[[#This Row],[M2 Money Stock, Billions of Dollars, Weekly, Seasonally Adjusted]]-B426)/B426</f>
        <v>1.073069313571065E-3</v>
      </c>
      <c r="D427" s="54">
        <f>((1+Table26[[#This Row],[Weekly change]])^52)-1</f>
        <v>5.7354133589335277E-2</v>
      </c>
      <c r="E427" s="57">
        <f>(Table26[[#This Row],[M2 Money Stock, Billions of Dollars, Weekly, Seasonally Adjusted]]-B375)/B375</f>
        <v>5.9706790671257774E-2</v>
      </c>
    </row>
    <row r="428" spans="1:5" x14ac:dyDescent="0.2">
      <c r="A428" s="50">
        <v>32475</v>
      </c>
      <c r="B428" s="51">
        <v>2988.4</v>
      </c>
      <c r="C428" s="53">
        <f>(Table26[[#This Row],[M2 Money Stock, Billions of Dollars, Weekly, Seasonally Adjusted]]-B427)/B427</f>
        <v>1.0384215991692321E-3</v>
      </c>
      <c r="D428" s="54">
        <f>((1+Table26[[#This Row],[Weekly change]])^52)-1</f>
        <v>5.5452839138877774E-2</v>
      </c>
      <c r="E428" s="57">
        <f>(Table26[[#This Row],[M2 Money Stock, Billions of Dollars, Weekly, Seasonally Adjusted]]-B376)/B376</f>
        <v>6.0543686563986052E-2</v>
      </c>
    </row>
    <row r="429" spans="1:5" x14ac:dyDescent="0.2">
      <c r="A429" s="50">
        <v>32482</v>
      </c>
      <c r="B429" s="51">
        <v>2987</v>
      </c>
      <c r="C429" s="53">
        <f>(Table26[[#This Row],[M2 Money Stock, Billions of Dollars, Weekly, Seasonally Adjusted]]-B428)/B428</f>
        <v>-4.6847811537949771E-4</v>
      </c>
      <c r="D429" s="54">
        <f>((1+Table26[[#This Row],[Weekly change]])^52)-1</f>
        <v>-2.407210175597807E-2</v>
      </c>
      <c r="E429" s="57">
        <f>(Table26[[#This Row],[M2 Money Stock, Billions of Dollars, Weekly, Seasonally Adjusted]]-B377)/B377</f>
        <v>5.8919455473624434E-2</v>
      </c>
    </row>
    <row r="430" spans="1:5" x14ac:dyDescent="0.2">
      <c r="A430" s="50">
        <v>32489</v>
      </c>
      <c r="B430" s="51">
        <v>2989</v>
      </c>
      <c r="C430" s="53">
        <f>(Table26[[#This Row],[M2 Money Stock, Billions of Dollars, Weekly, Seasonally Adjusted]]-B429)/B429</f>
        <v>6.6956812855708072E-4</v>
      </c>
      <c r="D430" s="54">
        <f>((1+Table26[[#This Row],[Weekly change]])^52)-1</f>
        <v>3.5418705748231583E-2</v>
      </c>
      <c r="E430" s="57">
        <f>(Table26[[#This Row],[M2 Money Stock, Billions of Dollars, Weekly, Seasonally Adjusted]]-B378)/B378</f>
        <v>5.8615193908269879E-2</v>
      </c>
    </row>
    <row r="431" spans="1:5" x14ac:dyDescent="0.2">
      <c r="A431" s="50">
        <v>32496</v>
      </c>
      <c r="B431" s="51">
        <v>2989.2</v>
      </c>
      <c r="C431" s="53">
        <f>(Table26[[#This Row],[M2 Money Stock, Billions of Dollars, Weekly, Seasonally Adjusted]]-B430)/B430</f>
        <v>6.6912010705860852E-5</v>
      </c>
      <c r="D431" s="54">
        <f>((1+Table26[[#This Row],[Weekly change]])^52)-1</f>
        <v>3.4853679728275022E-3</v>
      </c>
      <c r="E431" s="57">
        <f>(Table26[[#This Row],[M2 Money Stock, Billions of Dollars, Weekly, Seasonally Adjusted]]-B379)/B379</f>
        <v>5.7599773563543635E-2</v>
      </c>
    </row>
    <row r="432" spans="1:5" x14ac:dyDescent="0.2">
      <c r="A432" s="50">
        <v>32503</v>
      </c>
      <c r="B432" s="51">
        <v>2989.5</v>
      </c>
      <c r="C432" s="53">
        <f>(Table26[[#This Row],[M2 Money Stock, Billions of Dollars, Weekly, Seasonally Adjusted]]-B431)/B431</f>
        <v>1.003613006825177E-4</v>
      </c>
      <c r="D432" s="54">
        <f>((1+Table26[[#This Row],[Weekly change]])^52)-1</f>
        <v>5.2321659934240206E-3</v>
      </c>
      <c r="E432" s="57">
        <f>(Table26[[#This Row],[M2 Money Stock, Billions of Dollars, Weekly, Seasonally Adjusted]]-B380)/B380</f>
        <v>5.688326380541614E-2</v>
      </c>
    </row>
    <row r="433" spans="1:5" x14ac:dyDescent="0.2">
      <c r="A433" s="50">
        <v>32510</v>
      </c>
      <c r="B433" s="51">
        <v>2994.1</v>
      </c>
      <c r="C433" s="53">
        <f>(Table26[[#This Row],[M2 Money Stock, Billions of Dollars, Weekly, Seasonally Adjusted]]-B432)/B432</f>
        <v>1.5387188493058736E-3</v>
      </c>
      <c r="D433" s="54">
        <f>((1+Table26[[#This Row],[Weekly change]])^52)-1</f>
        <v>8.3234945695317863E-2</v>
      </c>
      <c r="E433" s="57">
        <f>(Table26[[#This Row],[M2 Money Stock, Billions of Dollars, Weekly, Seasonally Adjusted]]-B381)/B381</f>
        <v>5.7985865724381594E-2</v>
      </c>
    </row>
    <row r="434" spans="1:5" x14ac:dyDescent="0.2">
      <c r="A434" s="50">
        <v>32517</v>
      </c>
      <c r="B434" s="51">
        <v>2993.8</v>
      </c>
      <c r="C434" s="53">
        <f>(Table26[[#This Row],[M2 Money Stock, Billions of Dollars, Weekly, Seasonally Adjusted]]-B433)/B433</f>
        <v>-1.001970542065152E-4</v>
      </c>
      <c r="D434" s="54">
        <f>((1+Table26[[#This Row],[Weekly change]])^52)-1</f>
        <v>-5.1969567121165072E-3</v>
      </c>
      <c r="E434" s="57">
        <f>(Table26[[#This Row],[M2 Money Stock, Billions of Dollars, Weekly, Seasonally Adjusted]]-B382)/B382</f>
        <v>5.5641748942172137E-2</v>
      </c>
    </row>
    <row r="435" spans="1:5" x14ac:dyDescent="0.2">
      <c r="A435" s="50">
        <v>32524</v>
      </c>
      <c r="B435" s="51">
        <v>2994.7</v>
      </c>
      <c r="C435" s="53">
        <f>(Table26[[#This Row],[M2 Money Stock, Billions of Dollars, Weekly, Seasonally Adjusted]]-B434)/B434</f>
        <v>3.0062128398678471E-4</v>
      </c>
      <c r="D435" s="54">
        <f>((1+Table26[[#This Row],[Weekly change]])^52)-1</f>
        <v>1.5752744205057123E-2</v>
      </c>
      <c r="E435" s="57">
        <f>(Table26[[#This Row],[M2 Money Stock, Billions of Dollars, Weekly, Seasonally Adjusted]]-B383)/B383</f>
        <v>5.1916119287646112E-2</v>
      </c>
    </row>
    <row r="436" spans="1:5" x14ac:dyDescent="0.2">
      <c r="A436" s="50">
        <v>32531</v>
      </c>
      <c r="B436" s="51">
        <v>2994.6</v>
      </c>
      <c r="C436" s="53">
        <f>(Table26[[#This Row],[M2 Money Stock, Billions of Dollars, Weekly, Seasonally Adjusted]]-B435)/B435</f>
        <v>-3.3392326443352942E-5</v>
      </c>
      <c r="D436" s="54">
        <f>((1+Table26[[#This Row],[Weekly change]])^52)-1</f>
        <v>-1.7349232446525198E-3</v>
      </c>
      <c r="E436" s="57">
        <f>(Table26[[#This Row],[M2 Money Stock, Billions of Dollars, Weekly, Seasonally Adjusted]]-B384)/B384</f>
        <v>4.8970155527532477E-2</v>
      </c>
    </row>
    <row r="437" spans="1:5" x14ac:dyDescent="0.2">
      <c r="A437" s="50">
        <v>32538</v>
      </c>
      <c r="B437" s="51">
        <v>2989.3</v>
      </c>
      <c r="C437" s="53">
        <f>(Table26[[#This Row],[M2 Money Stock, Billions of Dollars, Weekly, Seasonally Adjusted]]-B436)/B436</f>
        <v>-1.7698524009883549E-3</v>
      </c>
      <c r="D437" s="54">
        <f>((1+Table26[[#This Row],[Weekly change]])^52)-1</f>
        <v>-8.7998699469020725E-2</v>
      </c>
      <c r="E437" s="57">
        <f>(Table26[[#This Row],[M2 Money Stock, Billions of Dollars, Weekly, Seasonally Adjusted]]-B385)/B385</f>
        <v>4.4041631740709825E-2</v>
      </c>
    </row>
    <row r="438" spans="1:5" x14ac:dyDescent="0.2">
      <c r="A438" s="50">
        <v>32545</v>
      </c>
      <c r="B438" s="51">
        <v>2987.5</v>
      </c>
      <c r="C438" s="53">
        <f>(Table26[[#This Row],[M2 Money Stock, Billions of Dollars, Weekly, Seasonally Adjusted]]-B437)/B437</f>
        <v>-6.0214765998734877E-4</v>
      </c>
      <c r="D438" s="54">
        <f>((1+Table26[[#This Row],[Weekly change]])^52)-1</f>
        <v>-3.0835684504475935E-2</v>
      </c>
      <c r="E438" s="57">
        <f>(Table26[[#This Row],[M2 Money Stock, Billions of Dollars, Weekly, Seasonally Adjusted]]-B386)/B386</f>
        <v>4.3741047409425922E-2</v>
      </c>
    </row>
    <row r="439" spans="1:5" x14ac:dyDescent="0.2">
      <c r="A439" s="50">
        <v>32552</v>
      </c>
      <c r="B439" s="51">
        <v>2985.3</v>
      </c>
      <c r="C439" s="53">
        <f>(Table26[[#This Row],[M2 Money Stock, Billions of Dollars, Weekly, Seasonally Adjusted]]-B438)/B438</f>
        <v>-7.364016736401065E-4</v>
      </c>
      <c r="D439" s="54">
        <f>((1+Table26[[#This Row],[Weekly change]])^52)-1</f>
        <v>-3.7582560293994094E-2</v>
      </c>
      <c r="E439" s="57">
        <f>(Table26[[#This Row],[M2 Money Stock, Billions of Dollars, Weekly, Seasonally Adjusted]]-B387)/B387</f>
        <v>4.0935876425258928E-2</v>
      </c>
    </row>
    <row r="440" spans="1:5" x14ac:dyDescent="0.2">
      <c r="A440" s="50">
        <v>32559</v>
      </c>
      <c r="B440" s="51">
        <v>2987.1</v>
      </c>
      <c r="C440" s="53">
        <f>(Table26[[#This Row],[M2 Money Stock, Billions of Dollars, Weekly, Seasonally Adjusted]]-B439)/B439</f>
        <v>6.0295447693689986E-4</v>
      </c>
      <c r="D440" s="54">
        <f>((1+Table26[[#This Row],[Weekly change]])^52)-1</f>
        <v>3.1840585994501014E-2</v>
      </c>
      <c r="E440" s="57">
        <f>(Table26[[#This Row],[M2 Money Stock, Billions of Dollars, Weekly, Seasonally Adjusted]]-B388)/B388</f>
        <v>3.8991304347826057E-2</v>
      </c>
    </row>
    <row r="441" spans="1:5" x14ac:dyDescent="0.2">
      <c r="A441" s="50">
        <v>32566</v>
      </c>
      <c r="B441" s="51">
        <v>2988.7</v>
      </c>
      <c r="C441" s="53">
        <f>(Table26[[#This Row],[M2 Money Stock, Billions of Dollars, Weekly, Seasonally Adjusted]]-B440)/B440</f>
        <v>5.3563657058682641E-4</v>
      </c>
      <c r="D441" s="54">
        <f>((1+Table26[[#This Row],[Weekly change]])^52)-1</f>
        <v>2.8236958412505064E-2</v>
      </c>
      <c r="E441" s="57">
        <f>(Table26[[#This Row],[M2 Money Stock, Billions of Dollars, Weekly, Seasonally Adjusted]]-B389)/B389</f>
        <v>3.9439362849093877E-2</v>
      </c>
    </row>
    <row r="442" spans="1:5" x14ac:dyDescent="0.2">
      <c r="A442" s="50">
        <v>32573</v>
      </c>
      <c r="B442" s="51">
        <v>2997.3</v>
      </c>
      <c r="C442" s="53">
        <f>(Table26[[#This Row],[M2 Money Stock, Billions of Dollars, Weekly, Seasonally Adjusted]]-B441)/B441</f>
        <v>2.8775052698498892E-3</v>
      </c>
      <c r="D442" s="54">
        <f>((1+Table26[[#This Row],[Weekly change]])^52)-1</f>
        <v>0.16115523893092476</v>
      </c>
      <c r="E442" s="57">
        <f>(Table26[[#This Row],[M2 Money Stock, Billions of Dollars, Weekly, Seasonally Adjusted]]-B390)/B390</f>
        <v>3.9862614487926759E-2</v>
      </c>
    </row>
    <row r="443" spans="1:5" x14ac:dyDescent="0.2">
      <c r="A443" s="50">
        <v>32580</v>
      </c>
      <c r="B443" s="51">
        <v>2995.8</v>
      </c>
      <c r="C443" s="53">
        <f>(Table26[[#This Row],[M2 Money Stock, Billions of Dollars, Weekly, Seasonally Adjusted]]-B442)/B442</f>
        <v>-5.0045040536482834E-4</v>
      </c>
      <c r="D443" s="54">
        <f>((1+Table26[[#This Row],[Weekly change]])^52)-1</f>
        <v>-2.5694076644556696E-2</v>
      </c>
      <c r="E443" s="57">
        <f>(Table26[[#This Row],[M2 Money Stock, Billions of Dollars, Weekly, Seasonally Adjusted]]-B391)/B391</f>
        <v>3.6824254170416036E-2</v>
      </c>
    </row>
    <row r="444" spans="1:5" x14ac:dyDescent="0.2">
      <c r="A444" s="50">
        <v>32587</v>
      </c>
      <c r="B444" s="51">
        <v>2999.5</v>
      </c>
      <c r="C444" s="53">
        <f>(Table26[[#This Row],[M2 Money Stock, Billions of Dollars, Weekly, Seasonally Adjusted]]-B443)/B443</f>
        <v>1.2350624207222839E-3</v>
      </c>
      <c r="D444" s="54">
        <f>((1+Table26[[#This Row],[Weekly change]])^52)-1</f>
        <v>6.6288171174809563E-2</v>
      </c>
      <c r="E444" s="57">
        <f>(Table26[[#This Row],[M2 Money Stock, Billions of Dollars, Weekly, Seasonally Adjusted]]-B392)/B392</f>
        <v>3.5238489680403086E-2</v>
      </c>
    </row>
    <row r="445" spans="1:5" x14ac:dyDescent="0.2">
      <c r="A445" s="50">
        <v>32594</v>
      </c>
      <c r="B445" s="51">
        <v>3002.7</v>
      </c>
      <c r="C445" s="53">
        <f>(Table26[[#This Row],[M2 Money Stock, Billions of Dollars, Weekly, Seasonally Adjusted]]-B444)/B444</f>
        <v>1.0668444740789525E-3</v>
      </c>
      <c r="D445" s="54">
        <f>((1+Table26[[#This Row],[Weekly change]])^52)-1</f>
        <v>5.7012297958444424E-2</v>
      </c>
      <c r="E445" s="57">
        <f>(Table26[[#This Row],[M2 Money Stock, Billions of Dollars, Weekly, Seasonally Adjusted]]-B393)/B393</f>
        <v>3.4878511114940489E-2</v>
      </c>
    </row>
    <row r="446" spans="1:5" x14ac:dyDescent="0.2">
      <c r="A446" s="50">
        <v>32601</v>
      </c>
      <c r="B446" s="51">
        <v>3000.6</v>
      </c>
      <c r="C446" s="53">
        <f>(Table26[[#This Row],[M2 Money Stock, Billions of Dollars, Weekly, Seasonally Adjusted]]-B445)/B445</f>
        <v>-6.9937056649012862E-4</v>
      </c>
      <c r="D446" s="54">
        <f>((1+Table26[[#This Row],[Weekly change]])^52)-1</f>
        <v>-3.5726192947369562E-2</v>
      </c>
      <c r="E446" s="57">
        <f>(Table26[[#This Row],[M2 Money Stock, Billions of Dollars, Weekly, Seasonally Adjusted]]-B394)/B394</f>
        <v>3.2873222952738292E-2</v>
      </c>
    </row>
    <row r="447" spans="1:5" x14ac:dyDescent="0.2">
      <c r="A447" s="50">
        <v>32608</v>
      </c>
      <c r="B447" s="51">
        <v>3001.5</v>
      </c>
      <c r="C447" s="53">
        <f>(Table26[[#This Row],[M2 Money Stock, Billions of Dollars, Weekly, Seasonally Adjusted]]-B446)/B446</f>
        <v>2.9994001199763081E-4</v>
      </c>
      <c r="D447" s="54">
        <f>((1+Table26[[#This Row],[Weekly change]])^52)-1</f>
        <v>1.5716771441764754E-2</v>
      </c>
      <c r="E447" s="57">
        <f>(Table26[[#This Row],[M2 Money Stock, Billions of Dollars, Weekly, Seasonally Adjusted]]-B395)/B395</f>
        <v>3.1656011548772914E-2</v>
      </c>
    </row>
    <row r="448" spans="1:5" x14ac:dyDescent="0.2">
      <c r="A448" s="50">
        <v>32615</v>
      </c>
      <c r="B448" s="51">
        <v>3004</v>
      </c>
      <c r="C448" s="53">
        <f>(Table26[[#This Row],[M2 Money Stock, Billions of Dollars, Weekly, Seasonally Adjusted]]-B447)/B447</f>
        <v>8.329168748958854E-4</v>
      </c>
      <c r="D448" s="54">
        <f>((1+Table26[[#This Row],[Weekly change]])^52)-1</f>
        <v>4.4244492217618614E-2</v>
      </c>
      <c r="E448" s="57">
        <f>(Table26[[#This Row],[M2 Money Stock, Billions of Dollars, Weekly, Seasonally Adjusted]]-B396)/B396</f>
        <v>3.1557982212149338E-2</v>
      </c>
    </row>
    <row r="449" spans="1:5" x14ac:dyDescent="0.2">
      <c r="A449" s="50">
        <v>32622</v>
      </c>
      <c r="B449" s="51">
        <v>3008.9</v>
      </c>
      <c r="C449" s="53">
        <f>(Table26[[#This Row],[M2 Money Stock, Billions of Dollars, Weekly, Seasonally Adjusted]]-B448)/B448</f>
        <v>1.6311584553928399E-3</v>
      </c>
      <c r="D449" s="54">
        <f>((1+Table26[[#This Row],[Weekly change]])^52)-1</f>
        <v>8.8446159220016085E-2</v>
      </c>
      <c r="E449" s="57">
        <f>(Table26[[#This Row],[M2 Money Stock, Billions of Dollars, Weekly, Seasonally Adjusted]]-B397)/B397</f>
        <v>3.0445205479452085E-2</v>
      </c>
    </row>
    <row r="450" spans="1:5" x14ac:dyDescent="0.2">
      <c r="A450" s="50">
        <v>32629</v>
      </c>
      <c r="B450" s="51">
        <v>3009.1</v>
      </c>
      <c r="C450" s="53">
        <f>(Table26[[#This Row],[M2 Money Stock, Billions of Dollars, Weekly, Seasonally Adjusted]]-B449)/B449</f>
        <v>6.6469473894053668E-5</v>
      </c>
      <c r="D450" s="54">
        <f>((1+Table26[[#This Row],[Weekly change]])^52)-1</f>
        <v>3.4622776592065918E-3</v>
      </c>
      <c r="E450" s="57">
        <f>(Table26[[#This Row],[M2 Money Stock, Billions of Dollars, Weekly, Seasonally Adjusted]]-B398)/B398</f>
        <v>3.1432097072735934E-2</v>
      </c>
    </row>
    <row r="451" spans="1:5" x14ac:dyDescent="0.2">
      <c r="A451" s="50">
        <v>32636</v>
      </c>
      <c r="B451" s="51">
        <v>3001.9</v>
      </c>
      <c r="C451" s="53">
        <f>(Table26[[#This Row],[M2 Money Stock, Billions of Dollars, Weekly, Seasonally Adjusted]]-B450)/B450</f>
        <v>-2.3927420158850882E-3</v>
      </c>
      <c r="D451" s="54">
        <f>((1+Table26[[#This Row],[Weekly change]])^52)-1</f>
        <v>-0.11712502385685664</v>
      </c>
      <c r="E451" s="57">
        <f>(Table26[[#This Row],[M2 Money Stock, Billions of Dollars, Weekly, Seasonally Adjusted]]-B399)/B399</f>
        <v>2.864681492649827E-2</v>
      </c>
    </row>
    <row r="452" spans="1:5" x14ac:dyDescent="0.2">
      <c r="A452" s="50">
        <v>32643</v>
      </c>
      <c r="B452" s="51">
        <v>3004.2</v>
      </c>
      <c r="C452" s="53">
        <f>(Table26[[#This Row],[M2 Money Stock, Billions of Dollars, Weekly, Seasonally Adjusted]]-B451)/B451</f>
        <v>7.6618141843490023E-4</v>
      </c>
      <c r="D452" s="54">
        <f>((1+Table26[[#This Row],[Weekly change]])^52)-1</f>
        <v>4.0629874798882026E-2</v>
      </c>
      <c r="E452" s="57">
        <f>(Table26[[#This Row],[M2 Money Stock, Billions of Dollars, Weekly, Seasonally Adjusted]]-B400)/B400</f>
        <v>2.7885174667259729E-2</v>
      </c>
    </row>
    <row r="453" spans="1:5" x14ac:dyDescent="0.2">
      <c r="A453" s="50">
        <v>32650</v>
      </c>
      <c r="B453" s="51">
        <v>3005.7</v>
      </c>
      <c r="C453" s="53">
        <f>(Table26[[#This Row],[M2 Money Stock, Billions of Dollars, Weekly, Seasonally Adjusted]]-B452)/B452</f>
        <v>4.9930097862991814E-4</v>
      </c>
      <c r="D453" s="54">
        <f>((1+Table26[[#This Row],[Weekly change]])^52)-1</f>
        <v>2.6296992471107172E-2</v>
      </c>
      <c r="E453" s="57">
        <f>(Table26[[#This Row],[M2 Money Stock, Billions of Dollars, Weekly, Seasonally Adjusted]]-B401)/B401</f>
        <v>2.6887598223436903E-2</v>
      </c>
    </row>
    <row r="454" spans="1:5" x14ac:dyDescent="0.2">
      <c r="A454" s="50">
        <v>32657</v>
      </c>
      <c r="B454" s="51">
        <v>3009.7</v>
      </c>
      <c r="C454" s="53">
        <f>(Table26[[#This Row],[M2 Money Stock, Billions of Dollars, Weekly, Seasonally Adjusted]]-B453)/B453</f>
        <v>1.3308048042053433E-3</v>
      </c>
      <c r="D454" s="54">
        <f>((1+Table26[[#This Row],[Weekly change]])^52)-1</f>
        <v>7.1603198586797312E-2</v>
      </c>
      <c r="E454" s="57">
        <f>(Table26[[#This Row],[M2 Money Stock, Billions of Dollars, Weekly, Seasonally Adjusted]]-B402)/B402</f>
        <v>2.7376685441201507E-2</v>
      </c>
    </row>
    <row r="455" spans="1:5" x14ac:dyDescent="0.2">
      <c r="A455" s="50">
        <v>32664</v>
      </c>
      <c r="B455" s="51">
        <v>3015.1</v>
      </c>
      <c r="C455" s="53">
        <f>(Table26[[#This Row],[M2 Money Stock, Billions of Dollars, Weekly, Seasonally Adjusted]]-B454)/B454</f>
        <v>1.7941987573512615E-3</v>
      </c>
      <c r="D455" s="54">
        <f>((1+Table26[[#This Row],[Weekly change]])^52)-1</f>
        <v>9.7697426743564186E-2</v>
      </c>
      <c r="E455" s="57">
        <f>(Table26[[#This Row],[M2 Money Stock, Billions of Dollars, Weekly, Seasonally Adjusted]]-B403)/B403</f>
        <v>2.7221313709457649E-2</v>
      </c>
    </row>
    <row r="456" spans="1:5" x14ac:dyDescent="0.2">
      <c r="A456" s="50">
        <v>32671</v>
      </c>
      <c r="B456" s="51">
        <v>3018.8</v>
      </c>
      <c r="C456" s="53">
        <f>(Table26[[#This Row],[M2 Money Stock, Billions of Dollars, Weekly, Seasonally Adjusted]]-B455)/B455</f>
        <v>1.2271566448874907E-3</v>
      </c>
      <c r="D456" s="54">
        <f>((1+Table26[[#This Row],[Weekly change]])^52)-1</f>
        <v>6.5850448606002754E-2</v>
      </c>
      <c r="E456" s="57">
        <f>(Table26[[#This Row],[M2 Money Stock, Billions of Dollars, Weekly, Seasonally Adjusted]]-B404)/B404</f>
        <v>2.7676595744680912E-2</v>
      </c>
    </row>
    <row r="457" spans="1:5" x14ac:dyDescent="0.2">
      <c r="A457" s="50">
        <v>32678</v>
      </c>
      <c r="B457" s="51">
        <v>3023.9</v>
      </c>
      <c r="C457" s="53">
        <f>(Table26[[#This Row],[M2 Money Stock, Billions of Dollars, Weekly, Seasonally Adjusted]]-B456)/B456</f>
        <v>1.689413011792735E-3</v>
      </c>
      <c r="D457" s="54">
        <f>((1+Table26[[#This Row],[Weekly change]])^52)-1</f>
        <v>9.1742837790907528E-2</v>
      </c>
      <c r="E457" s="57">
        <f>(Table26[[#This Row],[M2 Money Stock, Billions of Dollars, Weekly, Seasonally Adjusted]]-B405)/B405</f>
        <v>2.6860907362129822E-2</v>
      </c>
    </row>
    <row r="458" spans="1:5" x14ac:dyDescent="0.2">
      <c r="A458" s="50">
        <v>32685</v>
      </c>
      <c r="B458" s="51">
        <v>3030.6</v>
      </c>
      <c r="C458" s="53">
        <f>(Table26[[#This Row],[M2 Money Stock, Billions of Dollars, Weekly, Seasonally Adjusted]]-B457)/B457</f>
        <v>2.2156817355070664E-3</v>
      </c>
      <c r="D458" s="54">
        <f>((1+Table26[[#This Row],[Weekly change]])^52)-1</f>
        <v>0.12197216463498473</v>
      </c>
      <c r="E458" s="57">
        <f>(Table26[[#This Row],[M2 Money Stock, Billions of Dollars, Weekly, Seasonally Adjusted]]-B406)/B406</f>
        <v>2.7635549828761319E-2</v>
      </c>
    </row>
    <row r="459" spans="1:5" x14ac:dyDescent="0.2">
      <c r="A459" s="50">
        <v>32692</v>
      </c>
      <c r="B459" s="51">
        <v>3036.9</v>
      </c>
      <c r="C459" s="53">
        <f>(Table26[[#This Row],[M2 Money Stock, Billions of Dollars, Weekly, Seasonally Adjusted]]-B458)/B458</f>
        <v>2.0787962779648195E-3</v>
      </c>
      <c r="D459" s="54">
        <f>((1+Table26[[#This Row],[Weekly change]])^52)-1</f>
        <v>0.11403126392866314</v>
      </c>
      <c r="E459" s="57">
        <f>(Table26[[#This Row],[M2 Money Stock, Billions of Dollars, Weekly, Seasonally Adjusted]]-B407)/B407</f>
        <v>3.0330788804071279E-2</v>
      </c>
    </row>
    <row r="460" spans="1:5" x14ac:dyDescent="0.2">
      <c r="A460" s="50">
        <v>32699</v>
      </c>
      <c r="B460" s="51">
        <v>3048</v>
      </c>
      <c r="C460" s="53">
        <f>(Table26[[#This Row],[M2 Money Stock, Billions of Dollars, Weekly, Seasonally Adjusted]]-B459)/B459</f>
        <v>3.6550429714511208E-3</v>
      </c>
      <c r="D460" s="54">
        <f>((1+Table26[[#This Row],[Weekly change]])^52)-1</f>
        <v>0.2089059000843152</v>
      </c>
      <c r="E460" s="57">
        <f>(Table26[[#This Row],[M2 Money Stock, Billions of Dollars, Weekly, Seasonally Adjusted]]-B408)/B408</f>
        <v>3.3185315752008442E-2</v>
      </c>
    </row>
    <row r="461" spans="1:5" x14ac:dyDescent="0.2">
      <c r="A461" s="50">
        <v>32706</v>
      </c>
      <c r="B461" s="51">
        <v>3050.5</v>
      </c>
      <c r="C461" s="53">
        <f>(Table26[[#This Row],[M2 Money Stock, Billions of Dollars, Weekly, Seasonally Adjusted]]-B460)/B460</f>
        <v>8.2020997375328083E-4</v>
      </c>
      <c r="D461" s="54">
        <f>((1+Table26[[#This Row],[Weekly change]])^52)-1</f>
        <v>4.3555295803897609E-2</v>
      </c>
      <c r="E461" s="57">
        <f>(Table26[[#This Row],[M2 Money Stock, Billions of Dollars, Weekly, Seasonally Adjusted]]-B409)/B409</f>
        <v>3.3262202350709549E-2</v>
      </c>
    </row>
    <row r="462" spans="1:5" x14ac:dyDescent="0.2">
      <c r="A462" s="50">
        <v>32713</v>
      </c>
      <c r="B462" s="51">
        <v>3053.8</v>
      </c>
      <c r="C462" s="53">
        <f>(Table26[[#This Row],[M2 Money Stock, Billions of Dollars, Weekly, Seasonally Adjusted]]-B461)/B461</f>
        <v>1.0817898705130903E-3</v>
      </c>
      <c r="D462" s="54">
        <f>((1+Table26[[#This Row],[Weekly change]])^52)-1</f>
        <v>5.7833203319213489E-2</v>
      </c>
      <c r="E462" s="57">
        <f>(Table26[[#This Row],[M2 Money Stock, Billions of Dollars, Weekly, Seasonally Adjusted]]-B410)/B410</f>
        <v>3.329498545036208E-2</v>
      </c>
    </row>
    <row r="463" spans="1:5" x14ac:dyDescent="0.2">
      <c r="A463" s="50">
        <v>32720</v>
      </c>
      <c r="B463" s="51">
        <v>3056.7</v>
      </c>
      <c r="C463" s="53">
        <f>(Table26[[#This Row],[M2 Money Stock, Billions of Dollars, Weekly, Seasonally Adjusted]]-B462)/B462</f>
        <v>9.4963651843592766E-4</v>
      </c>
      <c r="D463" s="54">
        <f>((1+Table26[[#This Row],[Weekly change]])^52)-1</f>
        <v>5.0596046817154461E-2</v>
      </c>
      <c r="E463" s="57">
        <f>(Table26[[#This Row],[M2 Money Stock, Billions of Dollars, Weekly, Seasonally Adjusted]]-B411)/B411</f>
        <v>3.3157574528493175E-2</v>
      </c>
    </row>
    <row r="464" spans="1:5" x14ac:dyDescent="0.2">
      <c r="A464" s="50">
        <v>32727</v>
      </c>
      <c r="B464" s="51">
        <v>3064.4</v>
      </c>
      <c r="C464" s="53">
        <f>(Table26[[#This Row],[M2 Money Stock, Billions of Dollars, Weekly, Seasonally Adjusted]]-B463)/B463</f>
        <v>2.519056498838706E-3</v>
      </c>
      <c r="D464" s="54">
        <f>((1+Table26[[#This Row],[Weekly change]])^52)-1</f>
        <v>0.1397697037044856</v>
      </c>
      <c r="E464" s="57">
        <f>(Table26[[#This Row],[M2 Money Stock, Billions of Dollars, Weekly, Seasonally Adjusted]]-B412)/B412</f>
        <v>3.6601041878086826E-2</v>
      </c>
    </row>
    <row r="465" spans="1:5" x14ac:dyDescent="0.2">
      <c r="A465" s="50">
        <v>32734</v>
      </c>
      <c r="B465" s="51">
        <v>3068.3</v>
      </c>
      <c r="C465" s="53">
        <f>(Table26[[#This Row],[M2 Money Stock, Billions of Dollars, Weekly, Seasonally Adjusted]]-B464)/B464</f>
        <v>1.2726798068137615E-3</v>
      </c>
      <c r="D465" s="54">
        <f>((1+Table26[[#This Row],[Weekly change]])^52)-1</f>
        <v>6.8373366013111836E-2</v>
      </c>
      <c r="E465" s="57">
        <f>(Table26[[#This Row],[M2 Money Stock, Billions of Dollars, Weekly, Seasonally Adjusted]]-B413)/B413</f>
        <v>3.7148458626284506E-2</v>
      </c>
    </row>
    <row r="466" spans="1:5" x14ac:dyDescent="0.2">
      <c r="A466" s="50">
        <v>32741</v>
      </c>
      <c r="B466" s="51">
        <v>3072.6</v>
      </c>
      <c r="C466" s="53">
        <f>(Table26[[#This Row],[M2 Money Stock, Billions of Dollars, Weekly, Seasonally Adjusted]]-B465)/B465</f>
        <v>1.4014275005702593E-3</v>
      </c>
      <c r="D466" s="54">
        <f>((1+Table26[[#This Row],[Weekly change]])^52)-1</f>
        <v>7.5540379316230366E-2</v>
      </c>
      <c r="E466" s="57">
        <f>(Table26[[#This Row],[M2 Money Stock, Billions of Dollars, Weekly, Seasonally Adjusted]]-B414)/B414</f>
        <v>3.814575801601517E-2</v>
      </c>
    </row>
    <row r="467" spans="1:5" x14ac:dyDescent="0.2">
      <c r="A467" s="50">
        <v>32748</v>
      </c>
      <c r="B467" s="51">
        <v>3075.3</v>
      </c>
      <c r="C467" s="53">
        <f>(Table26[[#This Row],[M2 Money Stock, Billions of Dollars, Weekly, Seasonally Adjusted]]-B466)/B466</f>
        <v>8.7873462214420133E-4</v>
      </c>
      <c r="D467" s="54">
        <f>((1+Table26[[#This Row],[Weekly change]])^52)-1</f>
        <v>4.6733262234949891E-2</v>
      </c>
      <c r="E467" s="57">
        <f>(Table26[[#This Row],[M2 Money Stock, Billions of Dollars, Weekly, Seasonally Adjusted]]-B415)/B415</f>
        <v>3.8882507938652916E-2</v>
      </c>
    </row>
    <row r="468" spans="1:5" x14ac:dyDescent="0.2">
      <c r="A468" s="50">
        <v>32755</v>
      </c>
      <c r="B468" s="51">
        <v>3076.1</v>
      </c>
      <c r="C468" s="53">
        <f>(Table26[[#This Row],[M2 Money Stock, Billions of Dollars, Weekly, Seasonally Adjusted]]-B467)/B467</f>
        <v>2.6013722238471928E-4</v>
      </c>
      <c r="D468" s="54">
        <f>((1+Table26[[#This Row],[Weekly change]])^52)-1</f>
        <v>1.3617258094357876E-2</v>
      </c>
      <c r="E468" s="57">
        <f>(Table26[[#This Row],[M2 Money Stock, Billions of Dollars, Weekly, Seasonally Adjusted]]-B416)/B416</f>
        <v>3.9398547051866836E-2</v>
      </c>
    </row>
    <row r="469" spans="1:5" x14ac:dyDescent="0.2">
      <c r="A469" s="50">
        <v>32762</v>
      </c>
      <c r="B469" s="51">
        <v>3082.6</v>
      </c>
      <c r="C469" s="53">
        <f>(Table26[[#This Row],[M2 Money Stock, Billions of Dollars, Weekly, Seasonally Adjusted]]-B468)/B468</f>
        <v>2.1130652449530248E-3</v>
      </c>
      <c r="D469" s="54">
        <f>((1+Table26[[#This Row],[Weekly change]])^52)-1</f>
        <v>0.11601406268802084</v>
      </c>
      <c r="E469" s="57">
        <f>(Table26[[#This Row],[M2 Money Stock, Billions of Dollars, Weekly, Seasonally Adjusted]]-B417)/B417</f>
        <v>4.1876499814107578E-2</v>
      </c>
    </row>
    <row r="470" spans="1:5" x14ac:dyDescent="0.2">
      <c r="A470" s="50">
        <v>32769</v>
      </c>
      <c r="B470" s="51">
        <v>3086.4</v>
      </c>
      <c r="C470" s="53">
        <f>(Table26[[#This Row],[M2 Money Stock, Billions of Dollars, Weekly, Seasonally Adjusted]]-B469)/B469</f>
        <v>1.2327256212288919E-3</v>
      </c>
      <c r="D470" s="54">
        <f>((1+Table26[[#This Row],[Weekly change]])^52)-1</f>
        <v>6.6158770217798368E-2</v>
      </c>
      <c r="E470" s="57">
        <f>(Table26[[#This Row],[M2 Money Stock, Billions of Dollars, Weekly, Seasonally Adjusted]]-B418)/B418</f>
        <v>4.1822784810126613E-2</v>
      </c>
    </row>
    <row r="471" spans="1:5" x14ac:dyDescent="0.2">
      <c r="A471" s="50">
        <v>32776</v>
      </c>
      <c r="B471" s="51">
        <v>3090.8</v>
      </c>
      <c r="C471" s="53">
        <f>(Table26[[#This Row],[M2 Money Stock, Billions of Dollars, Weekly, Seasonally Adjusted]]-B470)/B470</f>
        <v>1.4256091238984223E-3</v>
      </c>
      <c r="D471" s="54">
        <f>((1+Table26[[#This Row],[Weekly change]])^52)-1</f>
        <v>7.6891750828378402E-2</v>
      </c>
      <c r="E471" s="57">
        <f>(Table26[[#This Row],[M2 Money Stock, Billions of Dollars, Weekly, Seasonally Adjusted]]-B419)/B419</f>
        <v>4.2568980638197487E-2</v>
      </c>
    </row>
    <row r="472" spans="1:5" x14ac:dyDescent="0.2">
      <c r="A472" s="50">
        <v>32783</v>
      </c>
      <c r="B472" s="51">
        <v>3098.9</v>
      </c>
      <c r="C472" s="53">
        <f>(Table26[[#This Row],[M2 Money Stock, Billions of Dollars, Weekly, Seasonally Adjusted]]-B471)/B471</f>
        <v>2.6206807299080847E-3</v>
      </c>
      <c r="D472" s="54">
        <f>((1+Table26[[#This Row],[Weekly change]])^52)-1</f>
        <v>0.14579319302248273</v>
      </c>
      <c r="E472" s="57">
        <f>(Table26[[#This Row],[M2 Money Stock, Billions of Dollars, Weekly, Seasonally Adjusted]]-B420)/B420</f>
        <v>4.6254093656099123E-2</v>
      </c>
    </row>
    <row r="473" spans="1:5" x14ac:dyDescent="0.2">
      <c r="A473" s="50">
        <v>32790</v>
      </c>
      <c r="B473" s="51">
        <v>3105.3</v>
      </c>
      <c r="C473" s="53">
        <f>(Table26[[#This Row],[M2 Money Stock, Billions of Dollars, Weekly, Seasonally Adjusted]]-B472)/B472</f>
        <v>2.0652489593081711E-3</v>
      </c>
      <c r="D473" s="54">
        <f>((1+Table26[[#This Row],[Weekly change]])^52)-1</f>
        <v>0.11324837079257</v>
      </c>
      <c r="E473" s="57">
        <f>(Table26[[#This Row],[M2 Money Stock, Billions of Dollars, Weekly, Seasonally Adjusted]]-B421)/B421</f>
        <v>4.7460028334345365E-2</v>
      </c>
    </row>
    <row r="474" spans="1:5" x14ac:dyDescent="0.2">
      <c r="A474" s="50">
        <v>32797</v>
      </c>
      <c r="B474" s="51">
        <v>3111.5</v>
      </c>
      <c r="C474" s="53">
        <f>(Table26[[#This Row],[M2 Money Stock, Billions of Dollars, Weekly, Seasonally Adjusted]]-B473)/B473</f>
        <v>1.9965864811772832E-3</v>
      </c>
      <c r="D474" s="54">
        <f>((1+Table26[[#This Row],[Weekly change]])^52)-1</f>
        <v>0.10928868931689362</v>
      </c>
      <c r="E474" s="57">
        <f>(Table26[[#This Row],[M2 Money Stock, Billions of Dollars, Weekly, Seasonally Adjusted]]-B422)/B422</f>
        <v>4.7854785478547823E-2</v>
      </c>
    </row>
    <row r="475" spans="1:5" x14ac:dyDescent="0.2">
      <c r="A475" s="50">
        <v>32804</v>
      </c>
      <c r="B475" s="51">
        <v>3116.6</v>
      </c>
      <c r="C475" s="53">
        <f>(Table26[[#This Row],[M2 Money Stock, Billions of Dollars, Weekly, Seasonally Adjusted]]-B474)/B474</f>
        <v>1.6390808291820373E-3</v>
      </c>
      <c r="D475" s="54">
        <f>((1+Table26[[#This Row],[Weekly change]])^52)-1</f>
        <v>8.8893919323532744E-2</v>
      </c>
      <c r="E475" s="57">
        <f>(Table26[[#This Row],[M2 Money Stock, Billions of Dollars, Weekly, Seasonally Adjusted]]-B423)/B423</f>
        <v>4.9678353709878414E-2</v>
      </c>
    </row>
    <row r="476" spans="1:5" x14ac:dyDescent="0.2">
      <c r="A476" s="50">
        <v>32811</v>
      </c>
      <c r="B476" s="51">
        <v>3118.6</v>
      </c>
      <c r="C476" s="53">
        <f>(Table26[[#This Row],[M2 Money Stock, Billions of Dollars, Weekly, Seasonally Adjusted]]-B475)/B475</f>
        <v>6.4172495668356547E-4</v>
      </c>
      <c r="D476" s="54">
        <f>((1+Table26[[#This Row],[Weekly change]])^52)-1</f>
        <v>3.3921645576064696E-2</v>
      </c>
      <c r="E476" s="57">
        <f>(Table26[[#This Row],[M2 Money Stock, Billions of Dollars, Weekly, Seasonally Adjusted]]-B424)/B424</f>
        <v>4.922114187666108E-2</v>
      </c>
    </row>
    <row r="477" spans="1:5" x14ac:dyDescent="0.2">
      <c r="A477" s="50">
        <v>32818</v>
      </c>
      <c r="B477" s="51">
        <v>3126.5</v>
      </c>
      <c r="C477" s="53">
        <f>(Table26[[#This Row],[M2 Money Stock, Billions of Dollars, Weekly, Seasonally Adjusted]]-B476)/B476</f>
        <v>2.5331879689604602E-3</v>
      </c>
      <c r="D477" s="54">
        <f>((1+Table26[[#This Row],[Weekly change]])^52)-1</f>
        <v>0.14060544387005836</v>
      </c>
      <c r="E477" s="57">
        <f>(Table26[[#This Row],[M2 Money Stock, Billions of Dollars, Weekly, Seasonally Adjusted]]-B425)/B425</f>
        <v>4.9548491053744641E-2</v>
      </c>
    </row>
    <row r="478" spans="1:5" x14ac:dyDescent="0.2">
      <c r="A478" s="50">
        <v>32825</v>
      </c>
      <c r="B478" s="51">
        <v>3129.5</v>
      </c>
      <c r="C478" s="53">
        <f>(Table26[[#This Row],[M2 Money Stock, Billions of Dollars, Weekly, Seasonally Adjusted]]-B477)/B477</f>
        <v>9.5953942107788266E-4</v>
      </c>
      <c r="D478" s="54">
        <f>((1+Table26[[#This Row],[Weekly change]])^52)-1</f>
        <v>5.1136675345448745E-2</v>
      </c>
      <c r="E478" s="57">
        <f>(Table26[[#This Row],[M2 Money Stock, Billions of Dollars, Weekly, Seasonally Adjusted]]-B426)/B426</f>
        <v>4.9428255256362998E-2</v>
      </c>
    </row>
    <row r="479" spans="1:5" x14ac:dyDescent="0.2">
      <c r="A479" s="50">
        <v>32832</v>
      </c>
      <c r="B479" s="51">
        <v>3132.5</v>
      </c>
      <c r="C479" s="53">
        <f>(Table26[[#This Row],[M2 Money Stock, Billions of Dollars, Weekly, Seasonally Adjusted]]-B478)/B478</f>
        <v>9.5861958779357723E-4</v>
      </c>
      <c r="D479" s="54">
        <f>((1+Table26[[#This Row],[Weekly change]])^52)-1</f>
        <v>5.1086447453207562E-2</v>
      </c>
      <c r="E479" s="57">
        <f>(Table26[[#This Row],[M2 Money Stock, Billions of Dollars, Weekly, Seasonally Adjusted]]-B427)/B427</f>
        <v>4.9308277225069447E-2</v>
      </c>
    </row>
    <row r="480" spans="1:5" x14ac:dyDescent="0.2">
      <c r="A480" s="50">
        <v>32839</v>
      </c>
      <c r="B480" s="51">
        <v>3138.9</v>
      </c>
      <c r="C480" s="53">
        <f>(Table26[[#This Row],[M2 Money Stock, Billions of Dollars, Weekly, Seasonally Adjusted]]-B479)/B479</f>
        <v>2.0430965682362622E-3</v>
      </c>
      <c r="D480" s="54">
        <f>((1+Table26[[#This Row],[Weekly change]])^52)-1</f>
        <v>0.1119693570224134</v>
      </c>
      <c r="E480" s="57">
        <f>(Table26[[#This Row],[M2 Money Stock, Billions of Dollars, Weekly, Seasonally Adjusted]]-B428)/B428</f>
        <v>5.0361397403292728E-2</v>
      </c>
    </row>
    <row r="481" spans="1:5" x14ac:dyDescent="0.2">
      <c r="A481" s="50">
        <v>32846</v>
      </c>
      <c r="B481" s="51">
        <v>3142.2</v>
      </c>
      <c r="C481" s="53">
        <f>(Table26[[#This Row],[M2 Money Stock, Billions of Dollars, Weekly, Seasonally Adjusted]]-B480)/B480</f>
        <v>1.0513237121283657E-3</v>
      </c>
      <c r="D481" s="54">
        <f>((1+Table26[[#This Row],[Weekly change]])^52)-1</f>
        <v>5.6160450851274968E-2</v>
      </c>
      <c r="E481" s="57">
        <f>(Table26[[#This Row],[M2 Money Stock, Billions of Dollars, Weekly, Seasonally Adjusted]]-B429)/B429</f>
        <v>5.1958486776029399E-2</v>
      </c>
    </row>
    <row r="482" spans="1:5" x14ac:dyDescent="0.2">
      <c r="A482" s="50">
        <v>32853</v>
      </c>
      <c r="B482" s="51">
        <v>3146.2</v>
      </c>
      <c r="C482" s="53">
        <f>(Table26[[#This Row],[M2 Money Stock, Billions of Dollars, Weekly, Seasonally Adjusted]]-B481)/B481</f>
        <v>1.2729934440837631E-3</v>
      </c>
      <c r="D482" s="54">
        <f>((1+Table26[[#This Row],[Weekly change]])^52)-1</f>
        <v>6.8390768253526524E-2</v>
      </c>
      <c r="E482" s="57">
        <f>(Table26[[#This Row],[M2 Money Stock, Billions of Dollars, Weekly, Seasonally Adjusted]]-B430)/B430</f>
        <v>5.2592840414854403E-2</v>
      </c>
    </row>
    <row r="483" spans="1:5" x14ac:dyDescent="0.2">
      <c r="A483" s="50">
        <v>32860</v>
      </c>
      <c r="B483" s="51">
        <v>3150.2</v>
      </c>
      <c r="C483" s="53">
        <f>(Table26[[#This Row],[M2 Money Stock, Billions of Dollars, Weekly, Seasonally Adjusted]]-B482)/B482</f>
        <v>1.2713749920539063E-3</v>
      </c>
      <c r="D483" s="54">
        <f>((1+Table26[[#This Row],[Weekly change]])^52)-1</f>
        <v>6.83009710320297E-2</v>
      </c>
      <c r="E483" s="57">
        <f>(Table26[[#This Row],[M2 Money Stock, Billions of Dollars, Weekly, Seasonally Adjusted]]-B431)/B431</f>
        <v>5.3860564699585174E-2</v>
      </c>
    </row>
    <row r="484" spans="1:5" x14ac:dyDescent="0.2">
      <c r="A484" s="50">
        <v>32867</v>
      </c>
      <c r="B484" s="51">
        <v>3157.3</v>
      </c>
      <c r="C484" s="53">
        <f>(Table26[[#This Row],[M2 Money Stock, Billions of Dollars, Weekly, Seasonally Adjusted]]-B483)/B483</f>
        <v>2.2538251539585942E-3</v>
      </c>
      <c r="D484" s="54">
        <f>((1+Table26[[#This Row],[Weekly change]])^52)-1</f>
        <v>0.12419478553170404</v>
      </c>
      <c r="E484" s="57">
        <f>(Table26[[#This Row],[M2 Money Stock, Billions of Dollars, Weekly, Seasonally Adjusted]]-B432)/B432</f>
        <v>5.6129787589898034E-2</v>
      </c>
    </row>
    <row r="485" spans="1:5" x14ac:dyDescent="0.2">
      <c r="A485" s="50">
        <v>32874</v>
      </c>
      <c r="B485" s="51">
        <v>3161.1</v>
      </c>
      <c r="C485" s="53">
        <f>(Table26[[#This Row],[M2 Money Stock, Billions of Dollars, Weekly, Seasonally Adjusted]]-B484)/B484</f>
        <v>1.2035600038006293E-3</v>
      </c>
      <c r="D485" s="54">
        <f>((1+Table26[[#This Row],[Weekly change]])^52)-1</f>
        <v>6.454501074159813E-2</v>
      </c>
      <c r="E485" s="57">
        <f>(Table26[[#This Row],[M2 Money Stock, Billions of Dollars, Weekly, Seasonally Adjusted]]-B433)/B433</f>
        <v>5.5776360175010857E-2</v>
      </c>
    </row>
    <row r="486" spans="1:5" x14ac:dyDescent="0.2">
      <c r="A486" s="50">
        <v>32881</v>
      </c>
      <c r="B486" s="51">
        <v>3164.1</v>
      </c>
      <c r="C486" s="53">
        <f>(Table26[[#This Row],[M2 Money Stock, Billions of Dollars, Weekly, Seasonally Adjusted]]-B485)/B485</f>
        <v>9.4903672772136288E-4</v>
      </c>
      <c r="D486" s="54">
        <f>((1+Table26[[#This Row],[Weekly change]])^52)-1</f>
        <v>5.0563311241552444E-2</v>
      </c>
      <c r="E486" s="57">
        <f>(Table26[[#This Row],[M2 Money Stock, Billions of Dollars, Weekly, Seasonally Adjusted]]-B434)/B434</f>
        <v>5.6884227403300062E-2</v>
      </c>
    </row>
    <row r="487" spans="1:5" x14ac:dyDescent="0.2">
      <c r="A487" s="50">
        <v>32888</v>
      </c>
      <c r="B487" s="51">
        <v>3164.4</v>
      </c>
      <c r="C487" s="53">
        <f>(Table26[[#This Row],[M2 Money Stock, Billions of Dollars, Weekly, Seasonally Adjusted]]-B486)/B486</f>
        <v>9.4813691097051902E-5</v>
      </c>
      <c r="D487" s="54">
        <f>((1+Table26[[#This Row],[Weekly change]])^52)-1</f>
        <v>4.9422510530252595E-3</v>
      </c>
      <c r="E487" s="57">
        <f>(Table26[[#This Row],[M2 Money Stock, Billions of Dollars, Weekly, Seasonally Adjusted]]-B435)/B435</f>
        <v>5.6666777974421573E-2</v>
      </c>
    </row>
    <row r="488" spans="1:5" x14ac:dyDescent="0.2">
      <c r="A488" s="50">
        <v>32895</v>
      </c>
      <c r="B488" s="51">
        <v>3166.4</v>
      </c>
      <c r="C488" s="53">
        <f>(Table26[[#This Row],[M2 Money Stock, Billions of Dollars, Weekly, Seasonally Adjusted]]-B487)/B487</f>
        <v>6.3203134875489825E-4</v>
      </c>
      <c r="D488" s="54">
        <f>((1+Table26[[#This Row],[Weekly change]])^52)-1</f>
        <v>3.340094203150934E-2</v>
      </c>
      <c r="E488" s="57">
        <f>(Table26[[#This Row],[M2 Money Stock, Billions of Dollars, Weekly, Seasonally Adjusted]]-B436)/B436</f>
        <v>5.7369932545248178E-2</v>
      </c>
    </row>
    <row r="489" spans="1:5" x14ac:dyDescent="0.2">
      <c r="A489" s="50">
        <v>32902</v>
      </c>
      <c r="B489" s="51">
        <v>3167.6</v>
      </c>
      <c r="C489" s="53">
        <f>(Table26[[#This Row],[M2 Money Stock, Billions of Dollars, Weekly, Seasonally Adjusted]]-B488)/B488</f>
        <v>3.7897928246583441E-4</v>
      </c>
      <c r="D489" s="54">
        <f>((1+Table26[[#This Row],[Weekly change]])^52)-1</f>
        <v>1.989857836174691E-2</v>
      </c>
      <c r="E489" s="57">
        <f>(Table26[[#This Row],[M2 Money Stock, Billions of Dollars, Weekly, Seasonally Adjusted]]-B437)/B437</f>
        <v>5.9646070986518487E-2</v>
      </c>
    </row>
    <row r="490" spans="1:5" x14ac:dyDescent="0.2">
      <c r="A490" s="50">
        <v>32909</v>
      </c>
      <c r="B490" s="51">
        <v>3175.4</v>
      </c>
      <c r="C490" s="53">
        <f>(Table26[[#This Row],[M2 Money Stock, Billions of Dollars, Weekly, Seasonally Adjusted]]-B489)/B489</f>
        <v>2.4624321252683995E-3</v>
      </c>
      <c r="D490" s="54">
        <f>((1+Table26[[#This Row],[Weekly change]])^52)-1</f>
        <v>0.13642693865186151</v>
      </c>
      <c r="E490" s="57">
        <f>(Table26[[#This Row],[M2 Money Stock, Billions of Dollars, Weekly, Seasonally Adjusted]]-B438)/B438</f>
        <v>6.2895397489539775E-2</v>
      </c>
    </row>
    <row r="491" spans="1:5" x14ac:dyDescent="0.2">
      <c r="A491" s="50">
        <v>32916</v>
      </c>
      <c r="B491" s="51">
        <v>3177.1</v>
      </c>
      <c r="C491" s="53">
        <f>(Table26[[#This Row],[M2 Money Stock, Billions of Dollars, Weekly, Seasonally Adjusted]]-B490)/B490</f>
        <v>5.353656232285123E-4</v>
      </c>
      <c r="D491" s="54">
        <f>((1+Table26[[#This Row],[Weekly change]])^52)-1</f>
        <v>2.8222479167602232E-2</v>
      </c>
      <c r="E491" s="57">
        <f>(Table26[[#This Row],[M2 Money Stock, Billions of Dollars, Weekly, Seasonally Adjusted]]-B439)/B439</f>
        <v>6.4248149264730423E-2</v>
      </c>
    </row>
    <row r="492" spans="1:5" x14ac:dyDescent="0.2">
      <c r="A492" s="50">
        <v>32923</v>
      </c>
      <c r="B492" s="51">
        <v>3179.9</v>
      </c>
      <c r="C492" s="53">
        <f>(Table26[[#This Row],[M2 Money Stock, Billions of Dollars, Weekly, Seasonally Adjusted]]-B491)/B491</f>
        <v>8.8130685216083278E-4</v>
      </c>
      <c r="D492" s="54">
        <f>((1+Table26[[#This Row],[Weekly change]])^52)-1</f>
        <v>4.6873155294979929E-2</v>
      </c>
      <c r="E492" s="57">
        <f>(Table26[[#This Row],[M2 Money Stock, Billions of Dollars, Weekly, Seasonally Adjusted]]-B440)/B440</f>
        <v>6.4544206755716316E-2</v>
      </c>
    </row>
    <row r="493" spans="1:5" x14ac:dyDescent="0.2">
      <c r="A493" s="50">
        <v>32930</v>
      </c>
      <c r="B493" s="51">
        <v>3185.2</v>
      </c>
      <c r="C493" s="53">
        <f>(Table26[[#This Row],[M2 Money Stock, Billions of Dollars, Weekly, Seasonally Adjusted]]-B492)/B492</f>
        <v>1.6667190792162417E-3</v>
      </c>
      <c r="D493" s="54">
        <f>((1+Table26[[#This Row],[Weekly change]])^52)-1</f>
        <v>9.045740464706209E-2</v>
      </c>
      <c r="E493" s="57">
        <f>(Table26[[#This Row],[M2 Money Stock, Billions of Dollars, Weekly, Seasonally Adjusted]]-B441)/B441</f>
        <v>6.5747649479706904E-2</v>
      </c>
    </row>
    <row r="494" spans="1:5" x14ac:dyDescent="0.2">
      <c r="A494" s="50">
        <v>32937</v>
      </c>
      <c r="B494" s="51">
        <v>3186.6</v>
      </c>
      <c r="C494" s="53">
        <f>(Table26[[#This Row],[M2 Money Stock, Billions of Dollars, Weekly, Seasonally Adjusted]]-B493)/B493</f>
        <v>4.3953283938217099E-4</v>
      </c>
      <c r="D494" s="54">
        <f>((1+Table26[[#This Row],[Weekly change]])^52)-1</f>
        <v>2.3113763140109267E-2</v>
      </c>
      <c r="E494" s="57">
        <f>(Table26[[#This Row],[M2 Money Stock, Billions of Dollars, Weekly, Seasonally Adjusted]]-B442)/B442</f>
        <v>6.3156841157041246E-2</v>
      </c>
    </row>
    <row r="495" spans="1:5" x14ac:dyDescent="0.2">
      <c r="A495" s="50">
        <v>32944</v>
      </c>
      <c r="B495" s="51">
        <v>3187.4</v>
      </c>
      <c r="C495" s="53">
        <f>(Table26[[#This Row],[M2 Money Stock, Billions of Dollars, Weekly, Seasonally Adjusted]]-B494)/B494</f>
        <v>2.5105127722342994E-4</v>
      </c>
      <c r="D495" s="54">
        <f>((1+Table26[[#This Row],[Weekly change]])^52)-1</f>
        <v>1.3138590642979064E-2</v>
      </c>
      <c r="E495" s="57">
        <f>(Table26[[#This Row],[M2 Money Stock, Billions of Dollars, Weekly, Seasonally Adjusted]]-B443)/B443</f>
        <v>6.3956205354162465E-2</v>
      </c>
    </row>
    <row r="496" spans="1:5" x14ac:dyDescent="0.2">
      <c r="A496" s="50">
        <v>32951</v>
      </c>
      <c r="B496" s="51">
        <v>3188.7</v>
      </c>
      <c r="C496" s="53">
        <f>(Table26[[#This Row],[M2 Money Stock, Billions of Dollars, Weekly, Seasonally Adjusted]]-B495)/B495</f>
        <v>4.0785593273505899E-4</v>
      </c>
      <c r="D496" s="54">
        <f>((1+Table26[[#This Row],[Weekly change]])^52)-1</f>
        <v>2.1430590814500272E-2</v>
      </c>
      <c r="E496" s="57">
        <f>(Table26[[#This Row],[M2 Money Stock, Billions of Dollars, Weekly, Seasonally Adjusted]]-B444)/B444</f>
        <v>6.307717952992159E-2</v>
      </c>
    </row>
    <row r="497" spans="1:5" x14ac:dyDescent="0.2">
      <c r="A497" s="50">
        <v>32958</v>
      </c>
      <c r="B497" s="51">
        <v>3194.2</v>
      </c>
      <c r="C497" s="53">
        <f>(Table26[[#This Row],[M2 Money Stock, Billions of Dollars, Weekly, Seasonally Adjusted]]-B496)/B496</f>
        <v>1.7248408442311915E-3</v>
      </c>
      <c r="D497" s="54">
        <f>((1+Table26[[#This Row],[Weekly change]])^52)-1</f>
        <v>9.3752517889339693E-2</v>
      </c>
      <c r="E497" s="57">
        <f>(Table26[[#This Row],[M2 Money Stock, Billions of Dollars, Weekly, Seasonally Adjusted]]-B445)/B445</f>
        <v>6.3775934991840685E-2</v>
      </c>
    </row>
    <row r="498" spans="1:5" x14ac:dyDescent="0.2">
      <c r="A498" s="50">
        <v>32965</v>
      </c>
      <c r="B498" s="51">
        <v>3196.5</v>
      </c>
      <c r="C498" s="53">
        <f>(Table26[[#This Row],[M2 Money Stock, Billions of Dollars, Weekly, Seasonally Adjusted]]-B497)/B497</f>
        <v>7.2005509986856865E-4</v>
      </c>
      <c r="D498" s="54">
        <f>((1+Table26[[#This Row],[Weekly change]])^52)-1</f>
        <v>3.8138692764243531E-2</v>
      </c>
      <c r="E498" s="57">
        <f>(Table26[[#This Row],[M2 Money Stock, Billions of Dollars, Weekly, Seasonally Adjusted]]-B446)/B446</f>
        <v>6.528694261147773E-2</v>
      </c>
    </row>
    <row r="499" spans="1:5" x14ac:dyDescent="0.2">
      <c r="A499" s="50">
        <v>32972</v>
      </c>
      <c r="B499" s="51">
        <v>3197.9</v>
      </c>
      <c r="C499" s="53">
        <f>(Table26[[#This Row],[M2 Money Stock, Billions of Dollars, Weekly, Seasonally Adjusted]]-B498)/B498</f>
        <v>4.379790395745631E-4</v>
      </c>
      <c r="D499" s="54">
        <f>((1+Table26[[#This Row],[Weekly change]])^52)-1</f>
        <v>2.3031137604215157E-2</v>
      </c>
      <c r="E499" s="57">
        <f>(Table26[[#This Row],[M2 Money Stock, Billions of Dollars, Weekly, Seasonally Adjusted]]-B447)/B447</f>
        <v>6.5433949691820786E-2</v>
      </c>
    </row>
    <row r="500" spans="1:5" x14ac:dyDescent="0.2">
      <c r="A500" s="50">
        <v>32979</v>
      </c>
      <c r="B500" s="51">
        <v>3200.6</v>
      </c>
      <c r="C500" s="53">
        <f>(Table26[[#This Row],[M2 Money Stock, Billions of Dollars, Weekly, Seasonally Adjusted]]-B499)/B499</f>
        <v>8.4430407454886582E-4</v>
      </c>
      <c r="D500" s="54">
        <f>((1+Table26[[#This Row],[Weekly change]])^52)-1</f>
        <v>4.4862489976055242E-2</v>
      </c>
      <c r="E500" s="57">
        <f>(Table26[[#This Row],[M2 Money Stock, Billions of Dollars, Weekly, Seasonally Adjusted]]-B448)/B448</f>
        <v>6.5446071904127795E-2</v>
      </c>
    </row>
    <row r="501" spans="1:5" x14ac:dyDescent="0.2">
      <c r="A501" s="50">
        <v>32986</v>
      </c>
      <c r="B501" s="51">
        <v>3202.9</v>
      </c>
      <c r="C501" s="53">
        <f>(Table26[[#This Row],[M2 Money Stock, Billions of Dollars, Weekly, Seasonally Adjusted]]-B500)/B500</f>
        <v>7.1861525963887456E-4</v>
      </c>
      <c r="D501" s="54">
        <f>((1+Table26[[#This Row],[Weekly change]])^52)-1</f>
        <v>3.8061024341091487E-2</v>
      </c>
      <c r="E501" s="57">
        <f>(Table26[[#This Row],[M2 Money Stock, Billions of Dollars, Weekly, Seasonally Adjusted]]-B449)/B449</f>
        <v>6.4475389677290704E-2</v>
      </c>
    </row>
    <row r="502" spans="1:5" x14ac:dyDescent="0.2">
      <c r="A502" s="50">
        <v>32993</v>
      </c>
      <c r="B502" s="51">
        <v>3205.9</v>
      </c>
      <c r="C502" s="53">
        <f>(Table26[[#This Row],[M2 Money Stock, Billions of Dollars, Weekly, Seasonally Adjusted]]-B501)/B501</f>
        <v>9.3665115988635301E-4</v>
      </c>
      <c r="D502" s="54">
        <f>((1+Table26[[#This Row],[Weekly change]])^52)-1</f>
        <v>4.9887551208465997E-2</v>
      </c>
      <c r="E502" s="57">
        <f>(Table26[[#This Row],[M2 Money Stock, Billions of Dollars, Weekly, Seasonally Adjusted]]-B450)/B450</f>
        <v>6.5401615100860788E-2</v>
      </c>
    </row>
    <row r="503" spans="1:5" x14ac:dyDescent="0.2">
      <c r="A503" s="50">
        <v>33000</v>
      </c>
      <c r="B503" s="51">
        <v>3199.1</v>
      </c>
      <c r="C503" s="53">
        <f>(Table26[[#This Row],[M2 Money Stock, Billions of Dollars, Weekly, Seasonally Adjusted]]-B502)/B502</f>
        <v>-2.1210892417106528E-3</v>
      </c>
      <c r="D503" s="54">
        <f>((1+Table26[[#This Row],[Weekly change]])^52)-1</f>
        <v>-0.10453646694479657</v>
      </c>
      <c r="E503" s="57">
        <f>(Table26[[#This Row],[M2 Money Stock, Billions of Dollars, Weekly, Seasonally Adjusted]]-B451)/B451</f>
        <v>6.5691728571904404E-2</v>
      </c>
    </row>
    <row r="504" spans="1:5" x14ac:dyDescent="0.2">
      <c r="A504" s="50">
        <v>33007</v>
      </c>
      <c r="B504" s="51">
        <v>3199.9</v>
      </c>
      <c r="C504" s="53">
        <f>(Table26[[#This Row],[M2 Money Stock, Billions of Dollars, Weekly, Seasonally Adjusted]]-B503)/B503</f>
        <v>2.5007033228101089E-4</v>
      </c>
      <c r="D504" s="54">
        <f>((1+Table26[[#This Row],[Weekly change]])^52)-1</f>
        <v>1.3086925580748421E-2</v>
      </c>
      <c r="E504" s="57">
        <f>(Table26[[#This Row],[M2 Money Stock, Billions of Dollars, Weekly, Seasonally Adjusted]]-B452)/B452</f>
        <v>6.5142134345250083E-2</v>
      </c>
    </row>
    <row r="505" spans="1:5" x14ac:dyDescent="0.2">
      <c r="A505" s="50">
        <v>33014</v>
      </c>
      <c r="B505" s="51">
        <v>3201.5</v>
      </c>
      <c r="C505" s="53">
        <f>(Table26[[#This Row],[M2 Money Stock, Billions of Dollars, Weekly, Seasonally Adjusted]]-B504)/B504</f>
        <v>5.0001562548826809E-4</v>
      </c>
      <c r="D505" s="54">
        <f>((1+Table26[[#This Row],[Weekly change]])^52)-1</f>
        <v>2.6335113008085109E-2</v>
      </c>
      <c r="E505" s="57">
        <f>(Table26[[#This Row],[M2 Money Stock, Billions of Dollars, Weekly, Seasonally Adjusted]]-B453)/B453</f>
        <v>6.5142895165851616E-2</v>
      </c>
    </row>
    <row r="506" spans="1:5" x14ac:dyDescent="0.2">
      <c r="A506" s="50">
        <v>33021</v>
      </c>
      <c r="B506" s="51">
        <v>3201.1</v>
      </c>
      <c r="C506" s="53">
        <f>(Table26[[#This Row],[M2 Money Stock, Billions of Dollars, Weekly, Seasonally Adjusted]]-B505)/B505</f>
        <v>-1.2494143370298015E-4</v>
      </c>
      <c r="D506" s="54">
        <f>((1+Table26[[#This Row],[Weekly change]])^52)-1</f>
        <v>-6.4762982502626354E-3</v>
      </c>
      <c r="E506" s="57">
        <f>(Table26[[#This Row],[M2 Money Stock, Billions of Dollars, Weekly, Seasonally Adjusted]]-B454)/B454</f>
        <v>6.3594378177227004E-2</v>
      </c>
    </row>
    <row r="507" spans="1:5" x14ac:dyDescent="0.2">
      <c r="A507" s="50">
        <v>33028</v>
      </c>
      <c r="B507" s="51">
        <v>3205.9</v>
      </c>
      <c r="C507" s="53">
        <f>(Table26[[#This Row],[M2 Money Stock, Billions of Dollars, Weekly, Seasonally Adjusted]]-B506)/B506</f>
        <v>1.4994845521852432E-3</v>
      </c>
      <c r="D507" s="54">
        <f>((1+Table26[[#This Row],[Weekly change]])^52)-1</f>
        <v>8.1030545847126989E-2</v>
      </c>
      <c r="E507" s="57">
        <f>(Table26[[#This Row],[M2 Money Stock, Billions of Dollars, Weekly, Seasonally Adjusted]]-B455)/B455</f>
        <v>6.3281483201220581E-2</v>
      </c>
    </row>
    <row r="508" spans="1:5" x14ac:dyDescent="0.2">
      <c r="A508" s="50">
        <v>33035</v>
      </c>
      <c r="B508" s="51">
        <v>3208.7</v>
      </c>
      <c r="C508" s="53">
        <f>(Table26[[#This Row],[M2 Money Stock, Billions of Dollars, Weekly, Seasonally Adjusted]]-B507)/B507</f>
        <v>8.7338968776310148E-4</v>
      </c>
      <c r="D508" s="54">
        <f>((1+Table26[[#This Row],[Weekly change]])^52)-1</f>
        <v>4.6442631764337161E-2</v>
      </c>
      <c r="E508" s="57">
        <f>(Table26[[#This Row],[M2 Money Stock, Billions of Dollars, Weekly, Seasonally Adjusted]]-B456)/B456</f>
        <v>6.2905790380283433E-2</v>
      </c>
    </row>
    <row r="509" spans="1:5" x14ac:dyDescent="0.2">
      <c r="A509" s="50">
        <v>33042</v>
      </c>
      <c r="B509" s="51">
        <v>3213.7</v>
      </c>
      <c r="C509" s="53">
        <f>(Table26[[#This Row],[M2 Money Stock, Billions of Dollars, Weekly, Seasonally Adjusted]]-B508)/B508</f>
        <v>1.5582634711877085E-3</v>
      </c>
      <c r="D509" s="54">
        <f>((1+Table26[[#This Row],[Weekly change]])^52)-1</f>
        <v>8.4334715182539099E-2</v>
      </c>
      <c r="E509" s="57">
        <f>(Table26[[#This Row],[M2 Money Stock, Billions of Dollars, Weekly, Seasonally Adjusted]]-B457)/B457</f>
        <v>6.2766625880485372E-2</v>
      </c>
    </row>
    <row r="510" spans="1:5" x14ac:dyDescent="0.2">
      <c r="A510" s="50">
        <v>33049</v>
      </c>
      <c r="B510" s="51">
        <v>3217.1</v>
      </c>
      <c r="C510" s="53">
        <f>(Table26[[#This Row],[M2 Money Stock, Billions of Dollars, Weekly, Seasonally Adjusted]]-B509)/B509</f>
        <v>1.0579705635249373E-3</v>
      </c>
      <c r="D510" s="54">
        <f>((1+Table26[[#This Row],[Weekly change]])^52)-1</f>
        <v>5.6525176583448467E-2</v>
      </c>
      <c r="E510" s="57">
        <f>(Table26[[#This Row],[M2 Money Stock, Billions of Dollars, Weekly, Seasonally Adjusted]]-B458)/B458</f>
        <v>6.153896918102026E-2</v>
      </c>
    </row>
    <row r="511" spans="1:5" x14ac:dyDescent="0.2">
      <c r="A511" s="50">
        <v>33056</v>
      </c>
      <c r="B511" s="51">
        <v>3223.8</v>
      </c>
      <c r="C511" s="53">
        <f>(Table26[[#This Row],[M2 Money Stock, Billions of Dollars, Weekly, Seasonally Adjusted]]-B510)/B510</f>
        <v>2.0826209940630609E-3</v>
      </c>
      <c r="D511" s="54">
        <f>((1+Table26[[#This Row],[Weekly change]])^52)-1</f>
        <v>0.11425239019005051</v>
      </c>
      <c r="E511" s="57">
        <f>(Table26[[#This Row],[M2 Money Stock, Billions of Dollars, Weekly, Seasonally Adjusted]]-B459)/B459</f>
        <v>6.154302084362346E-2</v>
      </c>
    </row>
    <row r="512" spans="1:5" x14ac:dyDescent="0.2">
      <c r="A512" s="50">
        <v>33063</v>
      </c>
      <c r="B512" s="51">
        <v>3219.3</v>
      </c>
      <c r="C512" s="53">
        <f>(Table26[[#This Row],[M2 Money Stock, Billions of Dollars, Weekly, Seasonally Adjusted]]-B511)/B511</f>
        <v>-1.3958682300390843E-3</v>
      </c>
      <c r="D512" s="54">
        <f>((1+Table26[[#This Row],[Weekly change]])^52)-1</f>
        <v>-7.0060598658099105E-2</v>
      </c>
      <c r="E512" s="57">
        <f>(Table26[[#This Row],[M2 Money Stock, Billions of Dollars, Weekly, Seasonally Adjusted]]-B460)/B460</f>
        <v>5.6200787401574866E-2</v>
      </c>
    </row>
    <row r="513" spans="1:5" x14ac:dyDescent="0.2">
      <c r="A513" s="50">
        <v>33070</v>
      </c>
      <c r="B513" s="51">
        <v>3225.1</v>
      </c>
      <c r="C513" s="53">
        <f>(Table26[[#This Row],[M2 Money Stock, Billions of Dollars, Weekly, Seasonally Adjusted]]-B512)/B512</f>
        <v>1.8016338955672746E-3</v>
      </c>
      <c r="D513" s="54">
        <f>((1+Table26[[#This Row],[Weekly change]])^52)-1</f>
        <v>9.8121146504947632E-2</v>
      </c>
      <c r="E513" s="57">
        <f>(Table26[[#This Row],[M2 Money Stock, Billions of Dollars, Weekly, Seasonally Adjusted]]-B461)/B461</f>
        <v>5.7236518603507591E-2</v>
      </c>
    </row>
    <row r="514" spans="1:5" x14ac:dyDescent="0.2">
      <c r="A514" s="50">
        <v>33077</v>
      </c>
      <c r="B514" s="51">
        <v>3224.8</v>
      </c>
      <c r="C514" s="53">
        <f>(Table26[[#This Row],[M2 Money Stock, Billions of Dollars, Weekly, Seasonally Adjusted]]-B513)/B513</f>
        <v>-9.3020371461265434E-5</v>
      </c>
      <c r="D514" s="54">
        <f>((1+Table26[[#This Row],[Weekly change]])^52)-1</f>
        <v>-4.8256034848258578E-3</v>
      </c>
      <c r="E514" s="57">
        <f>(Table26[[#This Row],[M2 Money Stock, Billions of Dollars, Weekly, Seasonally Adjusted]]-B462)/B462</f>
        <v>5.5995808500884141E-2</v>
      </c>
    </row>
    <row r="515" spans="1:5" x14ac:dyDescent="0.2">
      <c r="A515" s="50">
        <v>33084</v>
      </c>
      <c r="B515" s="51">
        <v>3228.2</v>
      </c>
      <c r="C515" s="53">
        <f>(Table26[[#This Row],[M2 Money Stock, Billions of Dollars, Weekly, Seasonally Adjusted]]-B514)/B514</f>
        <v>1.0543289506324844E-3</v>
      </c>
      <c r="D515" s="54">
        <f>((1+Table26[[#This Row],[Weekly change]])^52)-1</f>
        <v>5.6325338866995311E-2</v>
      </c>
      <c r="E515" s="57">
        <f>(Table26[[#This Row],[M2 Money Stock, Billions of Dollars, Weekly, Seasonally Adjusted]]-B463)/B463</f>
        <v>5.6106258383223744E-2</v>
      </c>
    </row>
    <row r="516" spans="1:5" x14ac:dyDescent="0.2">
      <c r="A516" s="50">
        <v>33091</v>
      </c>
      <c r="B516" s="51">
        <v>3231.3</v>
      </c>
      <c r="C516" s="53">
        <f>(Table26[[#This Row],[M2 Money Stock, Billions of Dollars, Weekly, Seasonally Adjusted]]-B515)/B515</f>
        <v>9.6028746669982157E-4</v>
      </c>
      <c r="D516" s="54">
        <f>((1+Table26[[#This Row],[Weekly change]])^52)-1</f>
        <v>5.1177524434113941E-2</v>
      </c>
      <c r="E516" s="57">
        <f>(Table26[[#This Row],[M2 Money Stock, Billions of Dollars, Weekly, Seasonally Adjusted]]-B464)/B464</f>
        <v>5.4464169168515889E-2</v>
      </c>
    </row>
    <row r="517" spans="1:5" x14ac:dyDescent="0.2">
      <c r="A517" s="50">
        <v>33098</v>
      </c>
      <c r="B517" s="51">
        <v>3240.3</v>
      </c>
      <c r="C517" s="53">
        <f>(Table26[[#This Row],[M2 Money Stock, Billions of Dollars, Weekly, Seasonally Adjusted]]-B516)/B516</f>
        <v>2.7852567078265711E-3</v>
      </c>
      <c r="D517" s="54">
        <f>((1+Table26[[#This Row],[Weekly change]])^52)-1</f>
        <v>0.15561425315505795</v>
      </c>
      <c r="E517" s="57">
        <f>(Table26[[#This Row],[M2 Money Stock, Billions of Dollars, Weekly, Seasonally Adjusted]]-B465)/B465</f>
        <v>5.605710002281393E-2</v>
      </c>
    </row>
    <row r="518" spans="1:5" x14ac:dyDescent="0.2">
      <c r="A518" s="50">
        <v>33105</v>
      </c>
      <c r="B518" s="51">
        <v>3244.6</v>
      </c>
      <c r="C518" s="53">
        <f>(Table26[[#This Row],[M2 Money Stock, Billions of Dollars, Weekly, Seasonally Adjusted]]-B517)/B517</f>
        <v>1.327037619973375E-3</v>
      </c>
      <c r="D518" s="54">
        <f>((1+Table26[[#This Row],[Weekly change]])^52)-1</f>
        <v>7.1393577502109062E-2</v>
      </c>
      <c r="E518" s="57">
        <f>(Table26[[#This Row],[M2 Money Stock, Billions of Dollars, Weekly, Seasonally Adjusted]]-B466)/B466</f>
        <v>5.5978650003254575E-2</v>
      </c>
    </row>
    <row r="519" spans="1:5" x14ac:dyDescent="0.2">
      <c r="A519" s="50">
        <v>33112</v>
      </c>
      <c r="B519" s="51">
        <v>3246.6</v>
      </c>
      <c r="C519" s="53">
        <f>(Table26[[#This Row],[M2 Money Stock, Billions of Dollars, Weekly, Seasonally Adjusted]]-B518)/B518</f>
        <v>6.1640880231769713E-4</v>
      </c>
      <c r="D519" s="54">
        <f>((1+Table26[[#This Row],[Weekly change]])^52)-1</f>
        <v>3.2562299801146111E-2</v>
      </c>
      <c r="E519" s="57">
        <f>(Table26[[#This Row],[M2 Money Stock, Billions of Dollars, Weekly, Seasonally Adjusted]]-B467)/B467</f>
        <v>5.570188274314692E-2</v>
      </c>
    </row>
    <row r="520" spans="1:5" x14ac:dyDescent="0.2">
      <c r="A520" s="50">
        <v>33119</v>
      </c>
      <c r="B520" s="51">
        <v>3250.7</v>
      </c>
      <c r="C520" s="53">
        <f>(Table26[[#This Row],[M2 Money Stock, Billions of Dollars, Weekly, Seasonally Adjusted]]-B519)/B519</f>
        <v>1.2628596069734213E-3</v>
      </c>
      <c r="D520" s="54">
        <f>((1+Table26[[#This Row],[Weekly change]])^52)-1</f>
        <v>6.7828630431094883E-2</v>
      </c>
      <c r="E520" s="57">
        <f>(Table26[[#This Row],[M2 Money Stock, Billions of Dollars, Weekly, Seasonally Adjusted]]-B468)/B468</f>
        <v>5.676018334904584E-2</v>
      </c>
    </row>
    <row r="521" spans="1:5" x14ac:dyDescent="0.2">
      <c r="A521" s="50">
        <v>33126</v>
      </c>
      <c r="B521" s="51">
        <v>3252.7</v>
      </c>
      <c r="C521" s="53">
        <f>(Table26[[#This Row],[M2 Money Stock, Billions of Dollars, Weekly, Seasonally Adjusted]]-B520)/B520</f>
        <v>6.1525209954778977E-4</v>
      </c>
      <c r="D521" s="54">
        <f>((1+Table26[[#This Row],[Weekly change]])^52)-1</f>
        <v>3.2500232771582871E-2</v>
      </c>
      <c r="E521" s="57">
        <f>(Table26[[#This Row],[M2 Money Stock, Billions of Dollars, Weekly, Seasonally Adjusted]]-B469)/B469</f>
        <v>5.5180691623953775E-2</v>
      </c>
    </row>
    <row r="522" spans="1:5" x14ac:dyDescent="0.2">
      <c r="A522" s="50">
        <v>33133</v>
      </c>
      <c r="B522" s="51">
        <v>3252.6</v>
      </c>
      <c r="C522" s="53">
        <f>(Table26[[#This Row],[M2 Money Stock, Billions of Dollars, Weekly, Seasonally Adjusted]]-B521)/B521</f>
        <v>-3.0743689857628759E-5</v>
      </c>
      <c r="D522" s="54">
        <f>((1+Table26[[#This Row],[Weekly change]])^52)-1</f>
        <v>-1.597419213199891E-3</v>
      </c>
      <c r="E522" s="57">
        <f>(Table26[[#This Row],[M2 Money Stock, Billions of Dollars, Weekly, Seasonally Adjusted]]-B470)/B470</f>
        <v>5.38491446345256E-2</v>
      </c>
    </row>
    <row r="523" spans="1:5" x14ac:dyDescent="0.2">
      <c r="A523" s="50">
        <v>33140</v>
      </c>
      <c r="B523" s="51">
        <v>3254.5</v>
      </c>
      <c r="C523" s="53">
        <f>(Table26[[#This Row],[M2 Money Stock, Billions of Dollars, Weekly, Seasonally Adjusted]]-B522)/B522</f>
        <v>5.8414806616248266E-4</v>
      </c>
      <c r="D523" s="54">
        <f>((1+Table26[[#This Row],[Weekly change]])^52)-1</f>
        <v>3.0832605899791199E-2</v>
      </c>
      <c r="E523" s="57">
        <f>(Table26[[#This Row],[M2 Money Stock, Billions of Dollars, Weekly, Seasonally Adjusted]]-B471)/B471</f>
        <v>5.2963634010612076E-2</v>
      </c>
    </row>
    <row r="524" spans="1:5" x14ac:dyDescent="0.2">
      <c r="A524" s="50">
        <v>33147</v>
      </c>
      <c r="B524" s="51">
        <v>3262.4</v>
      </c>
      <c r="C524" s="53">
        <f>(Table26[[#This Row],[M2 Money Stock, Billions of Dollars, Weekly, Seasonally Adjusted]]-B523)/B523</f>
        <v>2.4274082040252236E-3</v>
      </c>
      <c r="D524" s="54">
        <f>((1+Table26[[#This Row],[Weekly change]])^52)-1</f>
        <v>0.13436415035833638</v>
      </c>
      <c r="E524" s="57">
        <f>(Table26[[#This Row],[M2 Money Stock, Billions of Dollars, Weekly, Seasonally Adjusted]]-B472)/B472</f>
        <v>5.2760657007325178E-2</v>
      </c>
    </row>
    <row r="525" spans="1:5" x14ac:dyDescent="0.2">
      <c r="A525" s="50">
        <v>33154</v>
      </c>
      <c r="B525" s="51">
        <v>3260.4</v>
      </c>
      <c r="C525" s="53">
        <f>(Table26[[#This Row],[M2 Money Stock, Billions of Dollars, Weekly, Seasonally Adjusted]]-B524)/B524</f>
        <v>-6.1304561059342814E-4</v>
      </c>
      <c r="D525" s="54">
        <f>((1+Table26[[#This Row],[Weekly change]])^52)-1</f>
        <v>-3.1385081683412586E-2</v>
      </c>
      <c r="E525" s="57">
        <f>(Table26[[#This Row],[M2 Money Stock, Billions of Dollars, Weekly, Seasonally Adjusted]]-B473)/B473</f>
        <v>4.9946865037194442E-2</v>
      </c>
    </row>
    <row r="526" spans="1:5" x14ac:dyDescent="0.2">
      <c r="A526" s="50">
        <v>33161</v>
      </c>
      <c r="B526" s="51">
        <v>3259.4</v>
      </c>
      <c r="C526" s="53">
        <f>(Table26[[#This Row],[M2 Money Stock, Billions of Dollars, Weekly, Seasonally Adjusted]]-B525)/B525</f>
        <v>-3.0671083302662248E-4</v>
      </c>
      <c r="D526" s="54">
        <f>((1+Table26[[#This Row],[Weekly change]])^52)-1</f>
        <v>-1.5824859719084872E-2</v>
      </c>
      <c r="E526" s="57">
        <f>(Table26[[#This Row],[M2 Money Stock, Billions of Dollars, Weekly, Seasonally Adjusted]]-B474)/B474</f>
        <v>4.7533344046279957E-2</v>
      </c>
    </row>
    <row r="527" spans="1:5" x14ac:dyDescent="0.2">
      <c r="A527" s="50">
        <v>33168</v>
      </c>
      <c r="B527" s="51">
        <v>3256.8</v>
      </c>
      <c r="C527" s="53">
        <f>(Table26[[#This Row],[M2 Money Stock, Billions of Dollars, Weekly, Seasonally Adjusted]]-B526)/B526</f>
        <v>-7.9769282690062861E-4</v>
      </c>
      <c r="D527" s="54">
        <f>((1+Table26[[#This Row],[Weekly change]])^52)-1</f>
        <v>-4.0647383641932322E-2</v>
      </c>
      <c r="E527" s="57">
        <f>(Table26[[#This Row],[M2 Money Stock, Billions of Dollars, Weekly, Seasonally Adjusted]]-B475)/B475</f>
        <v>4.4984919463518028E-2</v>
      </c>
    </row>
    <row r="528" spans="1:5" x14ac:dyDescent="0.2">
      <c r="A528" s="50">
        <v>33175</v>
      </c>
      <c r="B528" s="51">
        <v>3259.8</v>
      </c>
      <c r="C528" s="53">
        <f>(Table26[[#This Row],[M2 Money Stock, Billions of Dollars, Weekly, Seasonally Adjusted]]-B527)/B527</f>
        <v>9.2114959469417825E-4</v>
      </c>
      <c r="D528" s="54">
        <f>((1+Table26[[#This Row],[Weekly change]])^52)-1</f>
        <v>4.9042382152940656E-2</v>
      </c>
      <c r="E528" s="57">
        <f>(Table26[[#This Row],[M2 Money Stock, Billions of Dollars, Weekly, Seasonally Adjusted]]-B476)/B476</f>
        <v>4.5276726736356146E-2</v>
      </c>
    </row>
    <row r="529" spans="1:5" x14ac:dyDescent="0.2">
      <c r="A529" s="50">
        <v>33182</v>
      </c>
      <c r="B529" s="51">
        <v>3259.6</v>
      </c>
      <c r="C529" s="53">
        <f>(Table26[[#This Row],[M2 Money Stock, Billions of Dollars, Weekly, Seasonally Adjusted]]-B528)/B528</f>
        <v>-6.1353457267400709E-5</v>
      </c>
      <c r="D529" s="54">
        <f>((1+Table26[[#This Row],[Weekly change]])^52)-1</f>
        <v>-3.1853934869101597E-3</v>
      </c>
      <c r="E529" s="57">
        <f>(Table26[[#This Row],[M2 Money Stock, Billions of Dollars, Weekly, Seasonally Adjusted]]-B477)/B477</f>
        <v>4.2571565648488699E-2</v>
      </c>
    </row>
    <row r="530" spans="1:5" x14ac:dyDescent="0.2">
      <c r="A530" s="50">
        <v>33189</v>
      </c>
      <c r="B530" s="51">
        <v>3261.4</v>
      </c>
      <c r="C530" s="53">
        <f>(Table26[[#This Row],[M2 Money Stock, Billions of Dollars, Weekly, Seasonally Adjusted]]-B529)/B529</f>
        <v>5.5221499570505029E-4</v>
      </c>
      <c r="D530" s="54">
        <f>((1+Table26[[#This Row],[Weekly change]])^52)-1</f>
        <v>2.912327887362931E-2</v>
      </c>
      <c r="E530" s="57">
        <f>(Table26[[#This Row],[M2 Money Stock, Billions of Dollars, Weekly, Seasonally Adjusted]]-B478)/B478</f>
        <v>4.2147307876657644E-2</v>
      </c>
    </row>
    <row r="531" spans="1:5" x14ac:dyDescent="0.2">
      <c r="A531" s="50">
        <v>33196</v>
      </c>
      <c r="B531" s="51">
        <v>3263.8</v>
      </c>
      <c r="C531" s="53">
        <f>(Table26[[#This Row],[M2 Money Stock, Billions of Dollars, Weekly, Seasonally Adjusted]]-B530)/B530</f>
        <v>7.358802968050809E-4</v>
      </c>
      <c r="D531" s="54">
        <f>((1+Table26[[#This Row],[Weekly change]])^52)-1</f>
        <v>3.8992717368121932E-2</v>
      </c>
      <c r="E531" s="57">
        <f>(Table26[[#This Row],[M2 Money Stock, Billions of Dollars, Weekly, Seasonally Adjusted]]-B479)/B479</f>
        <v>4.1915403032721524E-2</v>
      </c>
    </row>
    <row r="532" spans="1:5" x14ac:dyDescent="0.2">
      <c r="A532" s="50">
        <v>33203</v>
      </c>
      <c r="B532" s="51">
        <v>3267.2</v>
      </c>
      <c r="C532" s="53">
        <f>(Table26[[#This Row],[M2 Money Stock, Billions of Dollars, Weekly, Seasonally Adjusted]]-B531)/B531</f>
        <v>1.0417304981921796E-3</v>
      </c>
      <c r="D532" s="54">
        <f>((1+Table26[[#This Row],[Weekly change]])^52)-1</f>
        <v>5.563427016228184E-2</v>
      </c>
      <c r="E532" s="57">
        <f>(Table26[[#This Row],[M2 Money Stock, Billions of Dollars, Weekly, Seasonally Adjusted]]-B480)/B480</f>
        <v>4.0874191595781872E-2</v>
      </c>
    </row>
    <row r="533" spans="1:5" x14ac:dyDescent="0.2">
      <c r="A533" s="50">
        <v>33210</v>
      </c>
      <c r="B533" s="51">
        <v>3257.5</v>
      </c>
      <c r="C533" s="53">
        <f>(Table26[[#This Row],[M2 Money Stock, Billions of Dollars, Weekly, Seasonally Adjusted]]-B532)/B532</f>
        <v>-2.9689030362389261E-3</v>
      </c>
      <c r="D533" s="54">
        <f>((1+Table26[[#This Row],[Weekly change]])^52)-1</f>
        <v>-0.14325297144595195</v>
      </c>
      <c r="E533" s="57">
        <f>(Table26[[#This Row],[M2 Money Stock, Billions of Dollars, Weekly, Seasonally Adjusted]]-B481)/B481</f>
        <v>3.6694036025714527E-2</v>
      </c>
    </row>
    <row r="534" spans="1:5" x14ac:dyDescent="0.2">
      <c r="A534" s="50">
        <v>33217</v>
      </c>
      <c r="B534" s="51">
        <v>3266.1</v>
      </c>
      <c r="C534" s="53">
        <f>(Table26[[#This Row],[M2 Money Stock, Billions of Dollars, Weekly, Seasonally Adjusted]]-B533)/B533</f>
        <v>2.6400613967766415E-3</v>
      </c>
      <c r="D534" s="54">
        <f>((1+Table26[[#This Row],[Weekly change]])^52)-1</f>
        <v>0.14694546692613719</v>
      </c>
      <c r="E534" s="57">
        <f>(Table26[[#This Row],[M2 Money Stock, Billions of Dollars, Weekly, Seasonally Adjusted]]-B482)/B482</f>
        <v>3.8109465386815873E-2</v>
      </c>
    </row>
    <row r="535" spans="1:5" x14ac:dyDescent="0.2">
      <c r="A535" s="50">
        <v>33224</v>
      </c>
      <c r="B535" s="51">
        <v>3270.7</v>
      </c>
      <c r="C535" s="53">
        <f>(Table26[[#This Row],[M2 Money Stock, Billions of Dollars, Weekly, Seasonally Adjusted]]-B534)/B534</f>
        <v>1.4084075809068643E-3</v>
      </c>
      <c r="D535" s="54">
        <f>((1+Table26[[#This Row],[Weekly change]])^52)-1</f>
        <v>7.5930284916774005E-2</v>
      </c>
      <c r="E535" s="57">
        <f>(Table26[[#This Row],[M2 Money Stock, Billions of Dollars, Weekly, Seasonally Adjusted]]-B483)/B483</f>
        <v>3.8251539584788267E-2</v>
      </c>
    </row>
    <row r="536" spans="1:5" x14ac:dyDescent="0.2">
      <c r="A536" s="50">
        <v>33231</v>
      </c>
      <c r="B536" s="51">
        <v>3276.1</v>
      </c>
      <c r="C536" s="53">
        <f>(Table26[[#This Row],[M2 Money Stock, Billions of Dollars, Weekly, Seasonally Adjusted]]-B535)/B535</f>
        <v>1.651022716849632E-3</v>
      </c>
      <c r="D536" s="54">
        <f>((1+Table26[[#This Row],[Weekly change]])^52)-1</f>
        <v>8.9569197441951909E-2</v>
      </c>
      <c r="E536" s="57">
        <f>(Table26[[#This Row],[M2 Money Stock, Billions of Dollars, Weekly, Seasonally Adjusted]]-B484)/B484</f>
        <v>3.762708643461176E-2</v>
      </c>
    </row>
    <row r="537" spans="1:5" x14ac:dyDescent="0.2">
      <c r="A537" s="50">
        <v>33238</v>
      </c>
      <c r="B537" s="51">
        <v>3280.6</v>
      </c>
      <c r="C537" s="53">
        <f>(Table26[[#This Row],[M2 Money Stock, Billions of Dollars, Weekly, Seasonally Adjusted]]-B536)/B536</f>
        <v>1.3735844449192637E-3</v>
      </c>
      <c r="D537" s="54">
        <f>((1+Table26[[#This Row],[Weekly change]])^52)-1</f>
        <v>7.3986451397024311E-2</v>
      </c>
      <c r="E537" s="57">
        <f>(Table26[[#This Row],[M2 Money Stock, Billions of Dollars, Weekly, Seasonally Adjusted]]-B485)/B485</f>
        <v>3.7803296320900952E-2</v>
      </c>
    </row>
    <row r="538" spans="1:5" x14ac:dyDescent="0.2">
      <c r="A538" s="50">
        <v>33245</v>
      </c>
      <c r="B538" s="51">
        <v>3280.1</v>
      </c>
      <c r="C538" s="53">
        <f>(Table26[[#This Row],[M2 Money Stock, Billions of Dollars, Weekly, Seasonally Adjusted]]-B537)/B537</f>
        <v>-1.5241114430287144E-4</v>
      </c>
      <c r="D538" s="54">
        <f>((1+Table26[[#This Row],[Weekly change]])^52)-1</f>
        <v>-7.8946557382721938E-3</v>
      </c>
      <c r="E538" s="57">
        <f>(Table26[[#This Row],[M2 Money Stock, Billions of Dollars, Weekly, Seasonally Adjusted]]-B486)/B486</f>
        <v>3.6661293890837839E-2</v>
      </c>
    </row>
    <row r="539" spans="1:5" x14ac:dyDescent="0.2">
      <c r="A539" s="50">
        <v>33252</v>
      </c>
      <c r="B539" s="51">
        <v>3282.6</v>
      </c>
      <c r="C539" s="53">
        <f>(Table26[[#This Row],[M2 Money Stock, Billions of Dollars, Weekly, Seasonally Adjusted]]-B538)/B538</f>
        <v>7.6217188500350599E-4</v>
      </c>
      <c r="D539" s="54">
        <f>((1+Table26[[#This Row],[Weekly change]])^52)-1</f>
        <v>4.0413096161364015E-2</v>
      </c>
      <c r="E539" s="57">
        <f>(Table26[[#This Row],[M2 Money Stock, Billions of Dollars, Weekly, Seasonally Adjusted]]-B487)/B487</f>
        <v>3.7353052711414425E-2</v>
      </c>
    </row>
    <row r="540" spans="1:5" x14ac:dyDescent="0.2">
      <c r="A540" s="50">
        <v>33259</v>
      </c>
      <c r="B540" s="51">
        <v>3289.1</v>
      </c>
      <c r="C540" s="53">
        <f>(Table26[[#This Row],[M2 Money Stock, Billions of Dollars, Weekly, Seasonally Adjusted]]-B539)/B539</f>
        <v>1.9801376957289956E-3</v>
      </c>
      <c r="D540" s="54">
        <f>((1+Table26[[#This Row],[Weekly change]])^52)-1</f>
        <v>0.10834216073055747</v>
      </c>
      <c r="E540" s="57">
        <f>(Table26[[#This Row],[M2 Money Stock, Billions of Dollars, Weekly, Seasonally Adjusted]]-B488)/B488</f>
        <v>3.8750631632137385E-2</v>
      </c>
    </row>
    <row r="541" spans="1:5" x14ac:dyDescent="0.2">
      <c r="A541" s="50">
        <v>33266</v>
      </c>
      <c r="B541" s="51">
        <v>3294.4</v>
      </c>
      <c r="C541" s="53">
        <f>(Table26[[#This Row],[M2 Money Stock, Billions of Dollars, Weekly, Seasonally Adjusted]]-B540)/B540</f>
        <v>1.6113830531148891E-3</v>
      </c>
      <c r="D541" s="54">
        <f>((1+Table26[[#This Row],[Weekly change]])^52)-1</f>
        <v>8.732927239908217E-2</v>
      </c>
      <c r="E541" s="57">
        <f>(Table26[[#This Row],[M2 Money Stock, Billions of Dollars, Weekly, Seasonally Adjusted]]-B489)/B489</f>
        <v>4.0030306856926441E-2</v>
      </c>
    </row>
    <row r="542" spans="1:5" x14ac:dyDescent="0.2">
      <c r="A542" s="50">
        <v>33273</v>
      </c>
      <c r="B542" s="51">
        <v>3298.8</v>
      </c>
      <c r="C542" s="53">
        <f>(Table26[[#This Row],[M2 Money Stock, Billions of Dollars, Weekly, Seasonally Adjusted]]-B541)/B541</f>
        <v>1.3355998057309648E-3</v>
      </c>
      <c r="D542" s="54">
        <f>((1+Table26[[#This Row],[Weekly change]])^52)-1</f>
        <v>7.1870069689629501E-2</v>
      </c>
      <c r="E542" s="57">
        <f>(Table26[[#This Row],[M2 Money Stock, Billions of Dollars, Weekly, Seasonally Adjusted]]-B490)/B490</f>
        <v>3.8861245827297379E-2</v>
      </c>
    </row>
    <row r="543" spans="1:5" x14ac:dyDescent="0.2">
      <c r="A543" s="50">
        <v>33280</v>
      </c>
      <c r="B543" s="51">
        <v>3303.7</v>
      </c>
      <c r="C543" s="53">
        <f>(Table26[[#This Row],[M2 Money Stock, Billions of Dollars, Weekly, Seasonally Adjusted]]-B542)/B542</f>
        <v>1.4853886261669807E-3</v>
      </c>
      <c r="D543" s="54">
        <f>((1+Table26[[#This Row],[Weekly change]])^52)-1</f>
        <v>8.0239633550518219E-2</v>
      </c>
      <c r="E543" s="57">
        <f>(Table26[[#This Row],[M2 Money Stock, Billions of Dollars, Weekly, Seasonally Adjusted]]-B491)/B491</f>
        <v>3.9847659815555041E-2</v>
      </c>
    </row>
    <row r="544" spans="1:5" x14ac:dyDescent="0.2">
      <c r="A544" s="50">
        <v>33287</v>
      </c>
      <c r="B544" s="51">
        <v>3303</v>
      </c>
      <c r="C544" s="53">
        <f>(Table26[[#This Row],[M2 Money Stock, Billions of Dollars, Weekly, Seasonally Adjusted]]-B543)/B543</f>
        <v>-2.1188364560941313E-4</v>
      </c>
      <c r="D544" s="54">
        <f>((1+Table26[[#This Row],[Weekly change]])^52)-1</f>
        <v>-1.0958628907529189E-2</v>
      </c>
      <c r="E544" s="57">
        <f>(Table26[[#This Row],[M2 Money Stock, Billions of Dollars, Weekly, Seasonally Adjusted]]-B492)/B492</f>
        <v>3.8711909179533918E-2</v>
      </c>
    </row>
    <row r="545" spans="1:5" x14ac:dyDescent="0.2">
      <c r="A545" s="50">
        <v>33294</v>
      </c>
      <c r="B545" s="51">
        <v>3306.7</v>
      </c>
      <c r="C545" s="53">
        <f>(Table26[[#This Row],[M2 Money Stock, Billions of Dollars, Weekly, Seasonally Adjusted]]-B544)/B544</f>
        <v>1.1201937632454792E-3</v>
      </c>
      <c r="D545" s="54">
        <f>((1+Table26[[#This Row],[Weekly change]])^52)-1</f>
        <v>5.994548159877211E-2</v>
      </c>
      <c r="E545" s="57">
        <f>(Table26[[#This Row],[M2 Money Stock, Billions of Dollars, Weekly, Seasonally Adjusted]]-B493)/B493</f>
        <v>3.8145171417807364E-2</v>
      </c>
    </row>
    <row r="546" spans="1:5" x14ac:dyDescent="0.2">
      <c r="A546" s="50">
        <v>33301</v>
      </c>
      <c r="B546" s="51">
        <v>3312.2</v>
      </c>
      <c r="C546" s="53">
        <f>(Table26[[#This Row],[M2 Money Stock, Billions of Dollars, Weekly, Seasonally Adjusted]]-B545)/B545</f>
        <v>1.6632896845797927E-3</v>
      </c>
      <c r="D546" s="54">
        <f>((1+Table26[[#This Row],[Weekly change]])^52)-1</f>
        <v>9.026328550899021E-2</v>
      </c>
      <c r="E546" s="57">
        <f>(Table26[[#This Row],[M2 Money Stock, Billions of Dollars, Weekly, Seasonally Adjusted]]-B494)/B494</f>
        <v>3.9415050524069517E-2</v>
      </c>
    </row>
    <row r="547" spans="1:5" x14ac:dyDescent="0.2">
      <c r="A547" s="50">
        <v>33308</v>
      </c>
      <c r="B547" s="51">
        <v>3316.1</v>
      </c>
      <c r="C547" s="53">
        <f>(Table26[[#This Row],[M2 Money Stock, Billions of Dollars, Weekly, Seasonally Adjusted]]-B546)/B546</f>
        <v>1.1774651289173635E-3</v>
      </c>
      <c r="D547" s="54">
        <f>((1+Table26[[#This Row],[Weekly change]])^52)-1</f>
        <v>6.310318891676947E-2</v>
      </c>
      <c r="E547" s="57">
        <f>(Table26[[#This Row],[M2 Money Stock, Billions of Dollars, Weekly, Seasonally Adjusted]]-B495)/B495</f>
        <v>4.0377737340779263E-2</v>
      </c>
    </row>
    <row r="548" spans="1:5" x14ac:dyDescent="0.2">
      <c r="A548" s="50">
        <v>33315</v>
      </c>
      <c r="B548" s="51">
        <v>3319.3</v>
      </c>
      <c r="C548" s="53">
        <f>(Table26[[#This Row],[M2 Money Stock, Billions of Dollars, Weekly, Seasonally Adjusted]]-B547)/B547</f>
        <v>9.649889930943798E-4</v>
      </c>
      <c r="D548" s="54">
        <f>((1+Table26[[#This Row],[Weekly change]])^52)-1</f>
        <v>5.1434299860709132E-2</v>
      </c>
      <c r="E548" s="57">
        <f>(Table26[[#This Row],[M2 Money Stock, Billions of Dollars, Weekly, Seasonally Adjusted]]-B496)/B496</f>
        <v>4.0957129864835316E-2</v>
      </c>
    </row>
    <row r="549" spans="1:5" x14ac:dyDescent="0.2">
      <c r="A549" s="50">
        <v>33322</v>
      </c>
      <c r="B549" s="51">
        <v>3327.1</v>
      </c>
      <c r="C549" s="53">
        <f>(Table26[[#This Row],[M2 Money Stock, Billions of Dollars, Weekly, Seasonally Adjusted]]-B548)/B548</f>
        <v>2.3498930497393208E-3</v>
      </c>
      <c r="D549" s="54">
        <f>((1+Table26[[#This Row],[Weekly change]])^52)-1</f>
        <v>0.12981182372381661</v>
      </c>
      <c r="E549" s="57">
        <f>(Table26[[#This Row],[M2 Money Stock, Billions of Dollars, Weekly, Seasonally Adjusted]]-B497)/B497</f>
        <v>4.1606662075010986E-2</v>
      </c>
    </row>
    <row r="550" spans="1:5" x14ac:dyDescent="0.2">
      <c r="A550" s="50">
        <v>33329</v>
      </c>
      <c r="B550" s="51">
        <v>3332.1</v>
      </c>
      <c r="C550" s="53">
        <f>(Table26[[#This Row],[M2 Money Stock, Billions of Dollars, Weekly, Seasonally Adjusted]]-B549)/B549</f>
        <v>1.5028102551771813E-3</v>
      </c>
      <c r="D550" s="54">
        <f>((1+Table26[[#This Row],[Weekly change]])^52)-1</f>
        <v>8.1217231445528393E-2</v>
      </c>
      <c r="E550" s="57">
        <f>(Table26[[#This Row],[M2 Money Stock, Billions of Dollars, Weekly, Seasonally Adjusted]]-B498)/B498</f>
        <v>4.2421398404504901E-2</v>
      </c>
    </row>
    <row r="551" spans="1:5" x14ac:dyDescent="0.2">
      <c r="A551" s="50">
        <v>33336</v>
      </c>
      <c r="B551" s="51">
        <v>3330.7</v>
      </c>
      <c r="C551" s="53">
        <f>(Table26[[#This Row],[M2 Money Stock, Billions of Dollars, Weekly, Seasonally Adjusted]]-B550)/B550</f>
        <v>-4.2015545751930946E-4</v>
      </c>
      <c r="D551" s="54">
        <f>((1+Table26[[#This Row],[Weekly change]])^52)-1</f>
        <v>-2.1615634965051034E-2</v>
      </c>
      <c r="E551" s="57">
        <f>(Table26[[#This Row],[M2 Money Stock, Billions of Dollars, Weekly, Seasonally Adjusted]]-B499)/B499</f>
        <v>4.1527252259295079E-2</v>
      </c>
    </row>
    <row r="552" spans="1:5" x14ac:dyDescent="0.2">
      <c r="A552" s="50">
        <v>33343</v>
      </c>
      <c r="B552" s="51">
        <v>3334.6</v>
      </c>
      <c r="C552" s="53">
        <f>(Table26[[#This Row],[M2 Money Stock, Billions of Dollars, Weekly, Seasonally Adjusted]]-B551)/B551</f>
        <v>1.170925030774339E-3</v>
      </c>
      <c r="D552" s="54">
        <f>((1+Table26[[#This Row],[Weekly change]])^52)-1</f>
        <v>6.2742128712988343E-2</v>
      </c>
      <c r="E552" s="57">
        <f>(Table26[[#This Row],[M2 Money Stock, Billions of Dollars, Weekly, Seasonally Adjusted]]-B500)/B500</f>
        <v>4.1867149909391992E-2</v>
      </c>
    </row>
    <row r="553" spans="1:5" x14ac:dyDescent="0.2">
      <c r="A553" s="50">
        <v>33350</v>
      </c>
      <c r="B553" s="51">
        <v>3331.9</v>
      </c>
      <c r="C553" s="53">
        <f>(Table26[[#This Row],[M2 Money Stock, Billions of Dollars, Weekly, Seasonally Adjusted]]-B552)/B552</f>
        <v>-8.0969231691951601E-4</v>
      </c>
      <c r="D553" s="54">
        <f>((1+Table26[[#This Row],[Weekly change]])^52)-1</f>
        <v>-4.124628869911684E-2</v>
      </c>
      <c r="E553" s="57">
        <f>(Table26[[#This Row],[M2 Money Stock, Billions of Dollars, Weekly, Seasonally Adjusted]]-B501)/B501</f>
        <v>4.0275999875113176E-2</v>
      </c>
    </row>
    <row r="554" spans="1:5" x14ac:dyDescent="0.2">
      <c r="A554" s="50">
        <v>33357</v>
      </c>
      <c r="B554" s="51">
        <v>3331.7</v>
      </c>
      <c r="C554" s="53">
        <f>(Table26[[#This Row],[M2 Money Stock, Billions of Dollars, Weekly, Seasonally Adjusted]]-B553)/B553</f>
        <v>-6.0025811098854363E-5</v>
      </c>
      <c r="D554" s="54">
        <f>((1+Table26[[#This Row],[Weekly change]])^52)-1</f>
        <v>-3.1165692454461214E-3</v>
      </c>
      <c r="E554" s="57">
        <f>(Table26[[#This Row],[M2 Money Stock, Billions of Dollars, Weekly, Seasonally Adjusted]]-B502)/B502</f>
        <v>3.9240150971645939E-2</v>
      </c>
    </row>
    <row r="555" spans="1:5" x14ac:dyDescent="0.2">
      <c r="A555" s="50">
        <v>33364</v>
      </c>
      <c r="B555" s="51">
        <v>3337.6</v>
      </c>
      <c r="C555" s="53">
        <f>(Table26[[#This Row],[M2 Money Stock, Billions of Dollars, Weekly, Seasonally Adjusted]]-B554)/B554</f>
        <v>1.7708677251853681E-3</v>
      </c>
      <c r="D555" s="54">
        <f>((1+Table26[[#This Row],[Weekly change]])^52)-1</f>
        <v>9.6368859512855343E-2</v>
      </c>
      <c r="E555" s="57">
        <f>(Table26[[#This Row],[M2 Money Stock, Billions of Dollars, Weekly, Seasonally Adjusted]]-B503)/B503</f>
        <v>4.3293426276140162E-2</v>
      </c>
    </row>
    <row r="556" spans="1:5" x14ac:dyDescent="0.2">
      <c r="A556" s="50">
        <v>33371</v>
      </c>
      <c r="B556" s="51">
        <v>3342.9</v>
      </c>
      <c r="C556" s="53">
        <f>(Table26[[#This Row],[M2 Money Stock, Billions of Dollars, Weekly, Seasonally Adjusted]]-B555)/B555</f>
        <v>1.5879674017258455E-3</v>
      </c>
      <c r="D556" s="54">
        <f>((1+Table26[[#This Row],[Weekly change]])^52)-1</f>
        <v>8.6008242826468573E-2</v>
      </c>
      <c r="E556" s="57">
        <f>(Table26[[#This Row],[M2 Money Stock, Billions of Dollars, Weekly, Seasonally Adjusted]]-B504)/B504</f>
        <v>4.4688896528016497E-2</v>
      </c>
    </row>
    <row r="557" spans="1:5" x14ac:dyDescent="0.2">
      <c r="A557" s="50">
        <v>33378</v>
      </c>
      <c r="B557" s="51">
        <v>3345.7</v>
      </c>
      <c r="C557" s="53">
        <f>(Table26[[#This Row],[M2 Money Stock, Billions of Dollars, Weekly, Seasonally Adjusted]]-B556)/B556</f>
        <v>8.3759609919522779E-4</v>
      </c>
      <c r="D557" s="54">
        <f>((1+Table26[[#This Row],[Weekly change]])^52)-1</f>
        <v>4.449839624982399E-2</v>
      </c>
      <c r="E557" s="57">
        <f>(Table26[[#This Row],[M2 Money Stock, Billions of Dollars, Weekly, Seasonally Adjusted]]-B505)/B505</f>
        <v>4.5041386849914045E-2</v>
      </c>
    </row>
    <row r="558" spans="1:5" x14ac:dyDescent="0.2">
      <c r="A558" s="50">
        <v>33385</v>
      </c>
      <c r="B558" s="51">
        <v>3345.6</v>
      </c>
      <c r="C558" s="53">
        <f>(Table26[[#This Row],[M2 Money Stock, Billions of Dollars, Weekly, Seasonally Adjusted]]-B557)/B557</f>
        <v>-2.9889111396690993E-5</v>
      </c>
      <c r="D558" s="54">
        <f>((1+Table26[[#This Row],[Weekly change]])^52)-1</f>
        <v>-1.5530497885125616E-3</v>
      </c>
      <c r="E558" s="57">
        <f>(Table26[[#This Row],[M2 Money Stock, Billions of Dollars, Weekly, Seasonally Adjusted]]-B506)/B506</f>
        <v>4.5140732873074879E-2</v>
      </c>
    </row>
    <row r="559" spans="1:5" x14ac:dyDescent="0.2">
      <c r="A559" s="50">
        <v>33392</v>
      </c>
      <c r="B559" s="51">
        <v>3342.1</v>
      </c>
      <c r="C559" s="53">
        <f>(Table26[[#This Row],[M2 Money Stock, Billions of Dollars, Weekly, Seasonally Adjusted]]-B558)/B558</f>
        <v>-1.0461501673840268E-3</v>
      </c>
      <c r="D559" s="54">
        <f>((1+Table26[[#This Row],[Weekly change]])^52)-1</f>
        <v>-5.2973576393410382E-2</v>
      </c>
      <c r="E559" s="57">
        <f>(Table26[[#This Row],[M2 Money Stock, Billions of Dollars, Weekly, Seasonally Adjusted]]-B507)/B507</f>
        <v>4.2484169811909236E-2</v>
      </c>
    </row>
    <row r="560" spans="1:5" x14ac:dyDescent="0.2">
      <c r="A560" s="50">
        <v>33399</v>
      </c>
      <c r="B560" s="51">
        <v>3351</v>
      </c>
      <c r="C560" s="53">
        <f>(Table26[[#This Row],[M2 Money Stock, Billions of Dollars, Weekly, Seasonally Adjusted]]-B559)/B559</f>
        <v>2.6629963196792708E-3</v>
      </c>
      <c r="D560" s="54">
        <f>((1+Table26[[#This Row],[Weekly change]])^52)-1</f>
        <v>0.14831052676994849</v>
      </c>
      <c r="E560" s="57">
        <f>(Table26[[#This Row],[M2 Money Stock, Billions of Dollars, Weekly, Seasonally Adjusted]]-B508)/B508</f>
        <v>4.4348178390002241E-2</v>
      </c>
    </row>
    <row r="561" spans="1:5" x14ac:dyDescent="0.2">
      <c r="A561" s="50">
        <v>33406</v>
      </c>
      <c r="B561" s="51">
        <v>3351.8</v>
      </c>
      <c r="C561" s="53">
        <f>(Table26[[#This Row],[M2 Money Stock, Billions of Dollars, Weekly, Seasonally Adjusted]]-B560)/B560</f>
        <v>2.3873470605794745E-4</v>
      </c>
      <c r="D561" s="54">
        <f>((1+Table26[[#This Row],[Weekly change]])^52)-1</f>
        <v>1.2490080688864369E-2</v>
      </c>
      <c r="E561" s="57">
        <f>(Table26[[#This Row],[M2 Money Stock, Billions of Dollars, Weekly, Seasonally Adjusted]]-B509)/B509</f>
        <v>4.2972274947879509E-2</v>
      </c>
    </row>
    <row r="562" spans="1:5" x14ac:dyDescent="0.2">
      <c r="A562" s="50">
        <v>33413</v>
      </c>
      <c r="B562" s="51">
        <v>3351.1</v>
      </c>
      <c r="C562" s="53">
        <f>(Table26[[#This Row],[M2 Money Stock, Billions of Dollars, Weekly, Seasonally Adjusted]]-B561)/B561</f>
        <v>-2.0884300972619869E-4</v>
      </c>
      <c r="D562" s="54">
        <f>((1+Table26[[#This Row],[Weekly change]])^52)-1</f>
        <v>-1.0802203271658484E-2</v>
      </c>
      <c r="E562" s="57">
        <f>(Table26[[#This Row],[M2 Money Stock, Billions of Dollars, Weekly, Seasonally Adjusted]]-B510)/B510</f>
        <v>4.165241988125952E-2</v>
      </c>
    </row>
    <row r="563" spans="1:5" x14ac:dyDescent="0.2">
      <c r="A563" s="50">
        <v>33420</v>
      </c>
      <c r="B563" s="51">
        <v>3359.1</v>
      </c>
      <c r="C563" s="53">
        <f>(Table26[[#This Row],[M2 Money Stock, Billions of Dollars, Weekly, Seasonally Adjusted]]-B562)/B562</f>
        <v>2.3872758198800396E-3</v>
      </c>
      <c r="D563" s="54">
        <f>((1+Table26[[#This Row],[Weekly change]])^52)-1</f>
        <v>0.13200500574281904</v>
      </c>
      <c r="E563" s="57">
        <f>(Table26[[#This Row],[M2 Money Stock, Billions of Dollars, Weekly, Seasonally Adjusted]]-B511)/B511</f>
        <v>4.1969104783175046E-2</v>
      </c>
    </row>
    <row r="564" spans="1:5" x14ac:dyDescent="0.2">
      <c r="A564" s="50">
        <v>33427</v>
      </c>
      <c r="B564" s="51">
        <v>3355.2</v>
      </c>
      <c r="C564" s="53">
        <f>(Table26[[#This Row],[M2 Money Stock, Billions of Dollars, Weekly, Seasonally Adjusted]]-B563)/B563</f>
        <v>-1.1610252746271593E-3</v>
      </c>
      <c r="D564" s="54">
        <f>((1+Table26[[#This Row],[Weekly change]])^52)-1</f>
        <v>-5.8619994077203419E-2</v>
      </c>
      <c r="E564" s="57">
        <f>(Table26[[#This Row],[M2 Money Stock, Billions of Dollars, Weekly, Seasonally Adjusted]]-B512)/B512</f>
        <v>4.2214145932345425E-2</v>
      </c>
    </row>
    <row r="565" spans="1:5" x14ac:dyDescent="0.2">
      <c r="A565" s="50">
        <v>33434</v>
      </c>
      <c r="B565" s="51">
        <v>3357</v>
      </c>
      <c r="C565" s="53">
        <f>(Table26[[#This Row],[M2 Money Stock, Billions of Dollars, Weekly, Seasonally Adjusted]]-B564)/B564</f>
        <v>5.3648068669533318E-4</v>
      </c>
      <c r="D565" s="54">
        <f>((1+Table26[[#This Row],[Weekly change]])^52)-1</f>
        <v>2.8282068692545348E-2</v>
      </c>
      <c r="E565" s="57">
        <f>(Table26[[#This Row],[M2 Money Stock, Billions of Dollars, Weekly, Seasonally Adjusted]]-B513)/B513</f>
        <v>4.089795665250693E-2</v>
      </c>
    </row>
    <row r="566" spans="1:5" x14ac:dyDescent="0.2">
      <c r="A566" s="50">
        <v>33441</v>
      </c>
      <c r="B566" s="51">
        <v>3356.8</v>
      </c>
      <c r="C566" s="53">
        <f>(Table26[[#This Row],[M2 Money Stock, Billions of Dollars, Weekly, Seasonally Adjusted]]-B565)/B565</f>
        <v>-5.9577003276680992E-5</v>
      </c>
      <c r="D566" s="54">
        <f>((1+Table26[[#This Row],[Weekly change]])^52)-1</f>
        <v>-3.0933023103073554E-3</v>
      </c>
      <c r="E566" s="57">
        <f>(Table26[[#This Row],[M2 Money Stock, Billions of Dollars, Weekly, Seasonally Adjusted]]-B514)/B514</f>
        <v>4.093277102455966E-2</v>
      </c>
    </row>
    <row r="567" spans="1:5" x14ac:dyDescent="0.2">
      <c r="A567" s="50">
        <v>33448</v>
      </c>
      <c r="B567" s="51">
        <v>3355.4</v>
      </c>
      <c r="C567" s="53">
        <f>(Table26[[#This Row],[M2 Money Stock, Billions of Dollars, Weekly, Seasonally Adjusted]]-B566)/B566</f>
        <v>-4.1706387035274394E-4</v>
      </c>
      <c r="D567" s="54">
        <f>((1+Table26[[#This Row],[Weekly change]])^52)-1</f>
        <v>-2.1458268892713073E-2</v>
      </c>
      <c r="E567" s="57">
        <f>(Table26[[#This Row],[M2 Money Stock, Billions of Dollars, Weekly, Seasonally Adjusted]]-B515)/B515</f>
        <v>3.9402763149742975E-2</v>
      </c>
    </row>
    <row r="568" spans="1:5" x14ac:dyDescent="0.2">
      <c r="A568" s="50">
        <v>33455</v>
      </c>
      <c r="B568" s="51">
        <v>3354.5</v>
      </c>
      <c r="C568" s="53">
        <f>(Table26[[#This Row],[M2 Money Stock, Billions of Dollars, Weekly, Seasonally Adjusted]]-B567)/B567</f>
        <v>-2.6822435477144032E-4</v>
      </c>
      <c r="D568" s="54">
        <f>((1+Table26[[#This Row],[Weekly change]])^52)-1</f>
        <v>-1.3852693371136149E-2</v>
      </c>
      <c r="E568" s="57">
        <f>(Table26[[#This Row],[M2 Money Stock, Billions of Dollars, Weekly, Seasonally Adjusted]]-B516)/B516</f>
        <v>3.812706960047034E-2</v>
      </c>
    </row>
    <row r="569" spans="1:5" x14ac:dyDescent="0.2">
      <c r="A569" s="50">
        <v>33462</v>
      </c>
      <c r="B569" s="51">
        <v>3354.6</v>
      </c>
      <c r="C569" s="53">
        <f>(Table26[[#This Row],[M2 Money Stock, Billions of Dollars, Weekly, Seasonally Adjusted]]-B568)/B568</f>
        <v>2.9810702042005978E-5</v>
      </c>
      <c r="D569" s="54">
        <f>((1+Table26[[#This Row],[Weekly change]])^52)-1</f>
        <v>1.5513354788452283E-3</v>
      </c>
      <c r="E569" s="57">
        <f>(Table26[[#This Row],[M2 Money Stock, Billions of Dollars, Weekly, Seasonally Adjusted]]-B517)/B517</f>
        <v>3.5274511619294423E-2</v>
      </c>
    </row>
    <row r="570" spans="1:5" x14ac:dyDescent="0.2">
      <c r="A570" s="50">
        <v>33469</v>
      </c>
      <c r="B570" s="51">
        <v>3353.4</v>
      </c>
      <c r="C570" s="53">
        <f>(Table26[[#This Row],[M2 Money Stock, Billions of Dollars, Weekly, Seasonally Adjusted]]-B569)/B569</f>
        <v>-3.5771776068676387E-4</v>
      </c>
      <c r="D570" s="54">
        <f>((1+Table26[[#This Row],[Weekly change]])^52)-1</f>
        <v>-1.8432653142416155E-2</v>
      </c>
      <c r="E570" s="57">
        <f>(Table26[[#This Row],[M2 Money Stock, Billions of Dollars, Weekly, Seasonally Adjusted]]-B518)/B518</f>
        <v>3.3532638846082777E-2</v>
      </c>
    </row>
    <row r="571" spans="1:5" x14ac:dyDescent="0.2">
      <c r="A571" s="50">
        <v>33476</v>
      </c>
      <c r="B571" s="51">
        <v>3358.5</v>
      </c>
      <c r="C571" s="53">
        <f>(Table26[[#This Row],[M2 Money Stock, Billions of Dollars, Weekly, Seasonally Adjusted]]-B570)/B570</f>
        <v>1.520844516013571E-3</v>
      </c>
      <c r="D571" s="54">
        <f>((1+Table26[[#This Row],[Weekly change]])^52)-1</f>
        <v>8.2230120578064669E-2</v>
      </c>
      <c r="E571" s="57">
        <f>(Table26[[#This Row],[M2 Money Stock, Billions of Dollars, Weekly, Seasonally Adjusted]]-B519)/B519</f>
        <v>3.4466826834226603E-2</v>
      </c>
    </row>
    <row r="572" spans="1:5" x14ac:dyDescent="0.2">
      <c r="A572" s="50">
        <v>33483</v>
      </c>
      <c r="B572" s="51">
        <v>3353.5</v>
      </c>
      <c r="C572" s="53">
        <f>(Table26[[#This Row],[M2 Money Stock, Billions of Dollars, Weekly, Seasonally Adjusted]]-B571)/B571</f>
        <v>-1.4887598630340926E-3</v>
      </c>
      <c r="D572" s="54">
        <f>((1+Table26[[#This Row],[Weekly change]])^52)-1</f>
        <v>-7.4548170764094035E-2</v>
      </c>
      <c r="E572" s="57">
        <f>(Table26[[#This Row],[M2 Money Stock, Billions of Dollars, Weekly, Seasonally Adjusted]]-B520)/B520</f>
        <v>3.162395791675645E-2</v>
      </c>
    </row>
    <row r="573" spans="1:5" x14ac:dyDescent="0.2">
      <c r="A573" s="50">
        <v>33490</v>
      </c>
      <c r="B573" s="51">
        <v>3356.5</v>
      </c>
      <c r="C573" s="53">
        <f>(Table26[[#This Row],[M2 Money Stock, Billions of Dollars, Weekly, Seasonally Adjusted]]-B572)/B572</f>
        <v>8.9458774414790515E-4</v>
      </c>
      <c r="D573" s="54">
        <f>((1+Table26[[#This Row],[Weekly change]])^52)-1</f>
        <v>4.7595740443308054E-2</v>
      </c>
      <c r="E573" s="57">
        <f>(Table26[[#This Row],[M2 Money Stock, Billions of Dollars, Weekly, Seasonally Adjusted]]-B521)/B521</f>
        <v>3.191195007224773E-2</v>
      </c>
    </row>
    <row r="574" spans="1:5" x14ac:dyDescent="0.2">
      <c r="A574" s="50">
        <v>33497</v>
      </c>
      <c r="B574" s="51">
        <v>3355.4</v>
      </c>
      <c r="C574" s="53">
        <f>(Table26[[#This Row],[M2 Money Stock, Billions of Dollars, Weekly, Seasonally Adjusted]]-B573)/B573</f>
        <v>-3.2772232980780847E-4</v>
      </c>
      <c r="D574" s="54">
        <f>((1+Table26[[#This Row],[Weekly change]])^52)-1</f>
        <v>-1.6899920959796866E-2</v>
      </c>
      <c r="E574" s="57">
        <f>(Table26[[#This Row],[M2 Money Stock, Billions of Dollars, Weekly, Seasonally Adjusted]]-B522)/B522</f>
        <v>3.1605484842894972E-2</v>
      </c>
    </row>
    <row r="575" spans="1:5" x14ac:dyDescent="0.2">
      <c r="A575" s="50">
        <v>33504</v>
      </c>
      <c r="B575" s="51">
        <v>3354.5</v>
      </c>
      <c r="C575" s="53">
        <f>(Table26[[#This Row],[M2 Money Stock, Billions of Dollars, Weekly, Seasonally Adjusted]]-B574)/B574</f>
        <v>-2.6822435477144032E-4</v>
      </c>
      <c r="D575" s="54">
        <f>((1+Table26[[#This Row],[Weekly change]])^52)-1</f>
        <v>-1.3852693371136149E-2</v>
      </c>
      <c r="E575" s="57">
        <f>(Table26[[#This Row],[M2 Money Stock, Billions of Dollars, Weekly, Seasonally Adjusted]]-B523)/B523</f>
        <v>3.0726686126901215E-2</v>
      </c>
    </row>
    <row r="576" spans="1:5" x14ac:dyDescent="0.2">
      <c r="A576" s="50">
        <v>33511</v>
      </c>
      <c r="B576" s="51">
        <v>3353.8</v>
      </c>
      <c r="C576" s="53">
        <f>(Table26[[#This Row],[M2 Money Stock, Billions of Dollars, Weekly, Seasonally Adjusted]]-B575)/B575</f>
        <v>-2.086749142941774E-4</v>
      </c>
      <c r="D576" s="54">
        <f>((1+Table26[[#This Row],[Weekly change]])^52)-1</f>
        <v>-1.0793554887622125E-2</v>
      </c>
      <c r="E576" s="57">
        <f>(Table26[[#This Row],[M2 Money Stock, Billions of Dollars, Weekly, Seasonally Adjusted]]-B524)/B524</f>
        <v>2.8016184404119692E-2</v>
      </c>
    </row>
    <row r="577" spans="1:5" x14ac:dyDescent="0.2">
      <c r="A577" s="50">
        <v>33518</v>
      </c>
      <c r="B577" s="51">
        <v>3356.8</v>
      </c>
      <c r="C577" s="53">
        <f>(Table26[[#This Row],[M2 Money Stock, Billions of Dollars, Weekly, Seasonally Adjusted]]-B576)/B576</f>
        <v>8.9450772258333822E-4</v>
      </c>
      <c r="D577" s="54">
        <f>((1+Table26[[#This Row],[Weekly change]])^52)-1</f>
        <v>4.7591385175342449E-2</v>
      </c>
      <c r="E577" s="57">
        <f>(Table26[[#This Row],[M2 Money Stock, Billions of Dollars, Weekly, Seasonally Adjusted]]-B525)/B525</f>
        <v>2.9566924303766437E-2</v>
      </c>
    </row>
    <row r="578" spans="1:5" x14ac:dyDescent="0.2">
      <c r="A578" s="50">
        <v>33525</v>
      </c>
      <c r="B578" s="51">
        <v>3358.1</v>
      </c>
      <c r="C578" s="53">
        <f>(Table26[[#This Row],[M2 Money Stock, Billions of Dollars, Weekly, Seasonally Adjusted]]-B577)/B577</f>
        <v>3.8727359389887007E-4</v>
      </c>
      <c r="D578" s="54">
        <f>((1+Table26[[#This Row],[Weekly change]])^52)-1</f>
        <v>2.0338391232394226E-2</v>
      </c>
      <c r="E578" s="57">
        <f>(Table26[[#This Row],[M2 Money Stock, Billions of Dollars, Weekly, Seasonally Adjusted]]-B526)/B526</f>
        <v>3.028164692888256E-2</v>
      </c>
    </row>
    <row r="579" spans="1:5" x14ac:dyDescent="0.2">
      <c r="A579" s="50">
        <v>33532</v>
      </c>
      <c r="B579" s="51">
        <v>3362.4</v>
      </c>
      <c r="C579" s="53">
        <f>(Table26[[#This Row],[M2 Money Stock, Billions of Dollars, Weekly, Seasonally Adjusted]]-B578)/B578</f>
        <v>1.280485989101034E-3</v>
      </c>
      <c r="D579" s="54">
        <f>((1+Table26[[#This Row],[Weekly change]])^52)-1</f>
        <v>6.8806576599492963E-2</v>
      </c>
      <c r="E579" s="57">
        <f>(Table26[[#This Row],[M2 Money Stock, Billions of Dollars, Weekly, Seasonally Adjusted]]-B527)/B527</f>
        <v>3.2424465733235049E-2</v>
      </c>
    </row>
    <row r="580" spans="1:5" x14ac:dyDescent="0.2">
      <c r="A580" s="50">
        <v>33539</v>
      </c>
      <c r="B580" s="51">
        <v>3363.2</v>
      </c>
      <c r="C580" s="53">
        <f>(Table26[[#This Row],[M2 Money Stock, Billions of Dollars, Weekly, Seasonally Adjusted]]-B579)/B579</f>
        <v>2.3792529145840089E-4</v>
      </c>
      <c r="D580" s="54">
        <f>((1+Table26[[#This Row],[Weekly change]])^52)-1</f>
        <v>1.244747647816058E-2</v>
      </c>
      <c r="E580" s="57">
        <f>(Table26[[#This Row],[M2 Money Stock, Billions of Dollars, Weekly, Seasonally Adjusted]]-B528)/B528</f>
        <v>3.1719737407202783E-2</v>
      </c>
    </row>
    <row r="581" spans="1:5" x14ac:dyDescent="0.2">
      <c r="A581" s="50">
        <v>33546</v>
      </c>
      <c r="B581" s="51">
        <v>3360.3</v>
      </c>
      <c r="C581" s="53">
        <f>(Table26[[#This Row],[M2 Money Stock, Billions of Dollars, Weekly, Seasonally Adjusted]]-B580)/B580</f>
        <v>-8.6227402473823631E-4</v>
      </c>
      <c r="D581" s="54">
        <f>((1+Table26[[#This Row],[Weekly change]])^52)-1</f>
        <v>-4.3866366625526898E-2</v>
      </c>
      <c r="E581" s="57">
        <f>(Table26[[#This Row],[M2 Money Stock, Billions of Dollars, Weekly, Seasonally Adjusted]]-B529)/B529</f>
        <v>3.0893361148607277E-2</v>
      </c>
    </row>
    <row r="582" spans="1:5" x14ac:dyDescent="0.2">
      <c r="A582" s="50">
        <v>33553</v>
      </c>
      <c r="B582" s="51">
        <v>3365.2</v>
      </c>
      <c r="C582" s="53">
        <f>(Table26[[#This Row],[M2 Money Stock, Billions of Dollars, Weekly, Seasonally Adjusted]]-B581)/B581</f>
        <v>1.4582031366245978E-3</v>
      </c>
      <c r="D582" s="54">
        <f>((1+Table26[[#This Row],[Weekly change]])^52)-1</f>
        <v>7.8715877637215215E-2</v>
      </c>
      <c r="E582" s="57">
        <f>(Table26[[#This Row],[M2 Money Stock, Billions of Dollars, Weekly, Seasonally Adjusted]]-B530)/B530</f>
        <v>3.1826822836818459E-2</v>
      </c>
    </row>
    <row r="583" spans="1:5" x14ac:dyDescent="0.2">
      <c r="A583" s="50">
        <v>33560</v>
      </c>
      <c r="B583" s="51">
        <v>3365</v>
      </c>
      <c r="C583" s="53">
        <f>(Table26[[#This Row],[M2 Money Stock, Billions of Dollars, Weekly, Seasonally Adjusted]]-B582)/B582</f>
        <v>-5.9431831688998609E-5</v>
      </c>
      <c r="D583" s="54">
        <f>((1+Table26[[#This Row],[Weekly change]])^52)-1</f>
        <v>-3.0857762626116392E-3</v>
      </c>
      <c r="E583" s="57">
        <f>(Table26[[#This Row],[M2 Money Stock, Billions of Dollars, Weekly, Seasonally Adjusted]]-B531)/B531</f>
        <v>3.1006801887370494E-2</v>
      </c>
    </row>
    <row r="584" spans="1:5" x14ac:dyDescent="0.2">
      <c r="A584" s="50">
        <v>33567</v>
      </c>
      <c r="B584" s="51">
        <v>3366.5</v>
      </c>
      <c r="C584" s="53">
        <f>(Table26[[#This Row],[M2 Money Stock, Billions of Dollars, Weekly, Seasonally Adjusted]]-B583)/B583</f>
        <v>4.4576523031203565E-4</v>
      </c>
      <c r="D584" s="54">
        <f>((1+Table26[[#This Row],[Weekly change]])^52)-1</f>
        <v>2.3445245257800673E-2</v>
      </c>
      <c r="E584" s="57">
        <f>(Table26[[#This Row],[M2 Money Stock, Billions of Dollars, Weekly, Seasonally Adjusted]]-B532)/B532</f>
        <v>3.0392997061704268E-2</v>
      </c>
    </row>
    <row r="585" spans="1:5" x14ac:dyDescent="0.2">
      <c r="A585" s="50">
        <v>33574</v>
      </c>
      <c r="B585" s="51">
        <v>3369.4</v>
      </c>
      <c r="C585" s="53">
        <f>(Table26[[#This Row],[M2 Money Stock, Billions of Dollars, Weekly, Seasonally Adjusted]]-B584)/B584</f>
        <v>8.6142878360317564E-4</v>
      </c>
      <c r="D585" s="54">
        <f>((1+Table26[[#This Row],[Weekly change]])^52)-1</f>
        <v>4.5792545041315025E-2</v>
      </c>
      <c r="E585" s="57">
        <f>(Table26[[#This Row],[M2 Money Stock, Billions of Dollars, Weekly, Seasonally Adjusted]]-B533)/B533</f>
        <v>3.435149654643134E-2</v>
      </c>
    </row>
    <row r="586" spans="1:5" x14ac:dyDescent="0.2">
      <c r="A586" s="50">
        <v>33581</v>
      </c>
      <c r="B586" s="51">
        <v>3372.4</v>
      </c>
      <c r="C586" s="53">
        <f>(Table26[[#This Row],[M2 Money Stock, Billions of Dollars, Weekly, Seasonally Adjusted]]-B585)/B585</f>
        <v>8.9036623731228112E-4</v>
      </c>
      <c r="D586" s="54">
        <f>((1+Table26[[#This Row],[Weekly change]])^52)-1</f>
        <v>4.7366004200076972E-2</v>
      </c>
      <c r="E586" s="57">
        <f>(Table26[[#This Row],[M2 Money Stock, Billions of Dollars, Weekly, Seasonally Adjusted]]-B534)/B534</f>
        <v>3.2546462141391931E-2</v>
      </c>
    </row>
    <row r="587" spans="1:5" x14ac:dyDescent="0.2">
      <c r="A587" s="50">
        <v>33588</v>
      </c>
      <c r="B587" s="51">
        <v>3379.5</v>
      </c>
      <c r="C587" s="53">
        <f>(Table26[[#This Row],[M2 Money Stock, Billions of Dollars, Weekly, Seasonally Adjusted]]-B586)/B586</f>
        <v>2.1053255841536915E-3</v>
      </c>
      <c r="D587" s="54">
        <f>((1+Table26[[#This Row],[Weekly change]])^52)-1</f>
        <v>0.11556594438328927</v>
      </c>
      <c r="E587" s="57">
        <f>(Table26[[#This Row],[M2 Money Stock, Billions of Dollars, Weekly, Seasonally Adjusted]]-B535)/B535</f>
        <v>3.3265050295043931E-2</v>
      </c>
    </row>
    <row r="588" spans="1:5" x14ac:dyDescent="0.2">
      <c r="A588" s="50">
        <v>33595</v>
      </c>
      <c r="B588" s="51">
        <v>3371.1</v>
      </c>
      <c r="C588" s="53">
        <f>(Table26[[#This Row],[M2 Money Stock, Billions of Dollars, Weekly, Seasonally Adjusted]]-B587)/B587</f>
        <v>-2.4855747891700227E-3</v>
      </c>
      <c r="D588" s="54">
        <f>((1+Table26[[#This Row],[Weekly change]])^52)-1</f>
        <v>-0.12138703036124021</v>
      </c>
      <c r="E588" s="57">
        <f>(Table26[[#This Row],[M2 Money Stock, Billions of Dollars, Weekly, Seasonally Adjusted]]-B536)/B536</f>
        <v>2.8997893837184457E-2</v>
      </c>
    </row>
    <row r="589" spans="1:5" x14ac:dyDescent="0.2">
      <c r="A589" s="50">
        <v>33602</v>
      </c>
      <c r="B589" s="51">
        <v>3367.7</v>
      </c>
      <c r="C589" s="53">
        <f>(Table26[[#This Row],[M2 Money Stock, Billions of Dollars, Weekly, Seasonally Adjusted]]-B588)/B588</f>
        <v>-1.0085728693898404E-3</v>
      </c>
      <c r="D589" s="54">
        <f>((1+Table26[[#This Row],[Weekly change]])^52)-1</f>
        <v>-5.1119352335687762E-2</v>
      </c>
      <c r="E589" s="57">
        <f>(Table26[[#This Row],[M2 Money Stock, Billions of Dollars, Weekly, Seasonally Adjusted]]-B537)/B537</f>
        <v>2.6550021337560174E-2</v>
      </c>
    </row>
    <row r="590" spans="1:5" x14ac:dyDescent="0.2">
      <c r="A590" s="50">
        <v>33609</v>
      </c>
      <c r="B590" s="51">
        <v>3365.7</v>
      </c>
      <c r="C590" s="53">
        <f>(Table26[[#This Row],[M2 Money Stock, Billions of Dollars, Weekly, Seasonally Adjusted]]-B589)/B589</f>
        <v>-5.9387712682246044E-4</v>
      </c>
      <c r="D590" s="54">
        <f>((1+Table26[[#This Row],[Weekly change]])^52)-1</f>
        <v>-3.0418539060464322E-2</v>
      </c>
      <c r="E590" s="57">
        <f>(Table26[[#This Row],[M2 Money Stock, Billions of Dollars, Weekly, Seasonally Adjusted]]-B538)/B538</f>
        <v>2.6096765342520017E-2</v>
      </c>
    </row>
    <row r="591" spans="1:5" x14ac:dyDescent="0.2">
      <c r="A591" s="50">
        <v>33616</v>
      </c>
      <c r="B591" s="51">
        <v>3374.9</v>
      </c>
      <c r="C591" s="53">
        <f>(Table26[[#This Row],[M2 Money Stock, Billions of Dollars, Weekly, Seasonally Adjusted]]-B590)/B590</f>
        <v>2.7334581216389678E-3</v>
      </c>
      <c r="D591" s="54">
        <f>((1+Table26[[#This Row],[Weekly change]])^52)-1</f>
        <v>0.15251430618611894</v>
      </c>
      <c r="E591" s="57">
        <f>(Table26[[#This Row],[M2 Money Stock, Billions of Dollars, Weekly, Seasonally Adjusted]]-B539)/B539</f>
        <v>2.8117955279351788E-2</v>
      </c>
    </row>
    <row r="592" spans="1:5" x14ac:dyDescent="0.2">
      <c r="A592" s="50">
        <v>33623</v>
      </c>
      <c r="B592" s="51">
        <v>3381.7</v>
      </c>
      <c r="C592" s="53">
        <f>(Table26[[#This Row],[M2 Money Stock, Billions of Dollars, Weekly, Seasonally Adjusted]]-B591)/B591</f>
        <v>2.0148745148003576E-3</v>
      </c>
      <c r="D592" s="54">
        <f>((1+Table26[[#This Row],[Weekly change]])^52)-1</f>
        <v>0.11034198629890546</v>
      </c>
      <c r="E592" s="57">
        <f>(Table26[[#This Row],[M2 Money Stock, Billions of Dollars, Weekly, Seasonally Adjusted]]-B540)/B540</f>
        <v>2.8153598248761031E-2</v>
      </c>
    </row>
    <row r="593" spans="1:5" x14ac:dyDescent="0.2">
      <c r="A593" s="50">
        <v>33630</v>
      </c>
      <c r="B593" s="51">
        <v>3393.5</v>
      </c>
      <c r="C593" s="53">
        <f>(Table26[[#This Row],[M2 Money Stock, Billions of Dollars, Weekly, Seasonally Adjusted]]-B592)/B592</f>
        <v>3.4893692521513388E-3</v>
      </c>
      <c r="D593" s="54">
        <f>((1+Table26[[#This Row],[Weekly change]])^52)-1</f>
        <v>0.19857262239640816</v>
      </c>
      <c r="E593" s="57">
        <f>(Table26[[#This Row],[M2 Money Stock, Billions of Dollars, Weekly, Seasonally Adjusted]]-B541)/B541</f>
        <v>3.0081350169985401E-2</v>
      </c>
    </row>
    <row r="594" spans="1:5" x14ac:dyDescent="0.2">
      <c r="A594" s="50">
        <v>33637</v>
      </c>
      <c r="B594" s="51">
        <v>3392.9</v>
      </c>
      <c r="C594" s="53">
        <f>(Table26[[#This Row],[M2 Money Stock, Billions of Dollars, Weekly, Seasonally Adjusted]]-B593)/B593</f>
        <v>-1.7680860468540123E-4</v>
      </c>
      <c r="D594" s="54">
        <f>((1+Table26[[#This Row],[Weekly change]])^52)-1</f>
        <v>-9.1527168711992291E-3</v>
      </c>
      <c r="E594" s="57">
        <f>(Table26[[#This Row],[M2 Money Stock, Billions of Dollars, Weekly, Seasonally Adjusted]]-B542)/B542</f>
        <v>2.852552443312717E-2</v>
      </c>
    </row>
    <row r="595" spans="1:5" x14ac:dyDescent="0.2">
      <c r="A595" s="50">
        <v>33644</v>
      </c>
      <c r="B595" s="51">
        <v>3398.9</v>
      </c>
      <c r="C595" s="53">
        <f>(Table26[[#This Row],[M2 Money Stock, Billions of Dollars, Weekly, Seasonally Adjusted]]-B594)/B594</f>
        <v>1.7683987149636005E-3</v>
      </c>
      <c r="D595" s="54">
        <f>((1+Table26[[#This Row],[Weekly change]])^52)-1</f>
        <v>9.6228355984397274E-2</v>
      </c>
      <c r="E595" s="57">
        <f>(Table26[[#This Row],[M2 Money Stock, Billions of Dollars, Weekly, Seasonally Adjusted]]-B543)/B543</f>
        <v>2.8816175802887756E-2</v>
      </c>
    </row>
    <row r="596" spans="1:5" x14ac:dyDescent="0.2">
      <c r="A596" s="50">
        <v>33651</v>
      </c>
      <c r="B596" s="51">
        <v>3400.8</v>
      </c>
      <c r="C596" s="53">
        <f>(Table26[[#This Row],[M2 Money Stock, Billions of Dollars, Weekly, Seasonally Adjusted]]-B595)/B595</f>
        <v>5.5900438377124687E-4</v>
      </c>
      <c r="D596" s="54">
        <f>((1+Table26[[#This Row],[Weekly change]])^52)-1</f>
        <v>2.9486471288874716E-2</v>
      </c>
      <c r="E596" s="57">
        <f>(Table26[[#This Row],[M2 Money Stock, Billions of Dollars, Weekly, Seasonally Adjusted]]-B544)/B544</f>
        <v>2.9609445958219856E-2</v>
      </c>
    </row>
    <row r="597" spans="1:5" x14ac:dyDescent="0.2">
      <c r="A597" s="50">
        <v>33658</v>
      </c>
      <c r="B597" s="51">
        <v>3402.5</v>
      </c>
      <c r="C597" s="53">
        <f>(Table26[[#This Row],[M2 Money Stock, Billions of Dollars, Weekly, Seasonally Adjusted]]-B596)/B596</f>
        <v>4.99882380616272E-4</v>
      </c>
      <c r="D597" s="54">
        <f>((1+Table26[[#This Row],[Weekly change]])^52)-1</f>
        <v>2.6328005383848829E-2</v>
      </c>
      <c r="E597" s="57">
        <f>(Table26[[#This Row],[M2 Money Stock, Billions of Dollars, Weekly, Seasonally Adjusted]]-B545)/B545</f>
        <v>2.8971482142317172E-2</v>
      </c>
    </row>
    <row r="598" spans="1:5" x14ac:dyDescent="0.2">
      <c r="A598" s="50">
        <v>33665</v>
      </c>
      <c r="B598" s="51">
        <v>3401.1</v>
      </c>
      <c r="C598" s="53">
        <f>(Table26[[#This Row],[M2 Money Stock, Billions of Dollars, Weekly, Seasonally Adjusted]]-B597)/B597</f>
        <v>-4.1146216017636764E-4</v>
      </c>
      <c r="D598" s="54">
        <f>((1+Table26[[#This Row],[Weekly change]])^52)-1</f>
        <v>-2.1173070837199659E-2</v>
      </c>
      <c r="E598" s="57">
        <f>(Table26[[#This Row],[M2 Money Stock, Billions of Dollars, Weekly, Seasonally Adjusted]]-B546)/B546</f>
        <v>2.6840166656602892E-2</v>
      </c>
    </row>
    <row r="599" spans="1:5" x14ac:dyDescent="0.2">
      <c r="A599" s="50">
        <v>33672</v>
      </c>
      <c r="B599" s="51">
        <v>3404.6</v>
      </c>
      <c r="C599" s="53">
        <f>(Table26[[#This Row],[M2 Money Stock, Billions of Dollars, Weekly, Seasonally Adjusted]]-B598)/B598</f>
        <v>1.0290788274381819E-3</v>
      </c>
      <c r="D599" s="54">
        <f>((1+Table26[[#This Row],[Weekly change]])^52)-1</f>
        <v>5.4940728483943602E-2</v>
      </c>
      <c r="E599" s="57">
        <f>(Table26[[#This Row],[M2 Money Stock, Billions of Dollars, Weekly, Seasonally Adjusted]]-B547)/B547</f>
        <v>2.6687976840264166E-2</v>
      </c>
    </row>
    <row r="600" spans="1:5" x14ac:dyDescent="0.2">
      <c r="A600" s="50">
        <v>33679</v>
      </c>
      <c r="B600" s="51">
        <v>3407.2</v>
      </c>
      <c r="C600" s="53">
        <f>(Table26[[#This Row],[M2 Money Stock, Billions of Dollars, Weekly, Seasonally Adjusted]]-B599)/B599</f>
        <v>7.6367267814131151E-4</v>
      </c>
      <c r="D600" s="54">
        <f>((1+Table26[[#This Row],[Weekly change]])^52)-1</f>
        <v>4.0494232557980903E-2</v>
      </c>
      <c r="E600" s="57">
        <f>(Table26[[#This Row],[M2 Money Stock, Billions of Dollars, Weekly, Seasonally Adjusted]]-B548)/B548</f>
        <v>2.6481487060524698E-2</v>
      </c>
    </row>
    <row r="601" spans="1:5" x14ac:dyDescent="0.2">
      <c r="A601" s="50">
        <v>33686</v>
      </c>
      <c r="B601" s="51">
        <v>3404</v>
      </c>
      <c r="C601" s="53">
        <f>(Table26[[#This Row],[M2 Money Stock, Billions of Dollars, Weekly, Seasonally Adjusted]]-B600)/B600</f>
        <v>-9.3918760272359073E-4</v>
      </c>
      <c r="D601" s="54">
        <f>((1+Table26[[#This Row],[Weekly change]])^52)-1</f>
        <v>-4.7686225677279315E-2</v>
      </c>
      <c r="E601" s="57">
        <f>(Table26[[#This Row],[M2 Money Stock, Billions of Dollars, Weekly, Seasonally Adjusted]]-B549)/B549</f>
        <v>2.3113221724625078E-2</v>
      </c>
    </row>
    <row r="602" spans="1:5" x14ac:dyDescent="0.2">
      <c r="A602" s="50">
        <v>33693</v>
      </c>
      <c r="B602" s="51">
        <v>3401.1</v>
      </c>
      <c r="C602" s="53">
        <f>(Table26[[#This Row],[M2 Money Stock, Billions of Dollars, Weekly, Seasonally Adjusted]]-B601)/B601</f>
        <v>-8.51938895417183E-4</v>
      </c>
      <c r="D602" s="54">
        <f>((1+Table26[[#This Row],[Weekly change]])^52)-1</f>
        <v>-4.3351935714443846E-2</v>
      </c>
      <c r="E602" s="57">
        <f>(Table26[[#This Row],[M2 Money Stock, Billions of Dollars, Weekly, Seasonally Adjusted]]-B550)/B550</f>
        <v>2.0707661834878904E-2</v>
      </c>
    </row>
    <row r="603" spans="1:5" x14ac:dyDescent="0.2">
      <c r="A603" s="50">
        <v>33700</v>
      </c>
      <c r="B603" s="51">
        <v>3400.2</v>
      </c>
      <c r="C603" s="53">
        <f>(Table26[[#This Row],[M2 Money Stock, Billions of Dollars, Weekly, Seasonally Adjusted]]-B602)/B602</f>
        <v>-2.6462026991270208E-4</v>
      </c>
      <c r="D603" s="54">
        <f>((1+Table26[[#This Row],[Weekly change]])^52)-1</f>
        <v>-1.3667810544128911E-2</v>
      </c>
      <c r="E603" s="57">
        <f>(Table26[[#This Row],[M2 Money Stock, Billions of Dollars, Weekly, Seasonally Adjusted]]-B551)/B551</f>
        <v>2.0866484522772993E-2</v>
      </c>
    </row>
    <row r="604" spans="1:5" x14ac:dyDescent="0.2">
      <c r="A604" s="50">
        <v>33707</v>
      </c>
      <c r="B604" s="51">
        <v>3401.6</v>
      </c>
      <c r="C604" s="53">
        <f>(Table26[[#This Row],[M2 Money Stock, Billions of Dollars, Weekly, Seasonally Adjusted]]-B603)/B603</f>
        <v>4.1174048585380007E-4</v>
      </c>
      <c r="D604" s="54">
        <f>((1+Table26[[#This Row],[Weekly change]])^52)-1</f>
        <v>2.1636852792275008E-2</v>
      </c>
      <c r="E604" s="57">
        <f>(Table26[[#This Row],[M2 Money Stock, Billions of Dollars, Weekly, Seasonally Adjusted]]-B552)/B552</f>
        <v>2.0092364901337492E-2</v>
      </c>
    </row>
    <row r="605" spans="1:5" x14ac:dyDescent="0.2">
      <c r="A605" s="50">
        <v>33714</v>
      </c>
      <c r="B605" s="51">
        <v>3397.8</v>
      </c>
      <c r="C605" s="53">
        <f>(Table26[[#This Row],[M2 Money Stock, Billions of Dollars, Weekly, Seasonally Adjusted]]-B604)/B604</f>
        <v>-1.117121354656552E-3</v>
      </c>
      <c r="D605" s="54">
        <f>((1+Table26[[#This Row],[Weekly change]])^52)-1</f>
        <v>-5.6465908291861489E-2</v>
      </c>
      <c r="E605" s="57">
        <f>(Table26[[#This Row],[M2 Money Stock, Billions of Dollars, Weekly, Seasonally Adjusted]]-B553)/B553</f>
        <v>1.9778504757045557E-2</v>
      </c>
    </row>
    <row r="606" spans="1:5" x14ac:dyDescent="0.2">
      <c r="A606" s="50">
        <v>33721</v>
      </c>
      <c r="B606" s="51">
        <v>3399.4</v>
      </c>
      <c r="C606" s="53">
        <f>(Table26[[#This Row],[M2 Money Stock, Billions of Dollars, Weekly, Seasonally Adjusted]]-B605)/B605</f>
        <v>4.7089293071985079E-4</v>
      </c>
      <c r="D606" s="54">
        <f>((1+Table26[[#This Row],[Weekly change]])^52)-1</f>
        <v>2.4782780801571702E-2</v>
      </c>
      <c r="E606" s="57">
        <f>(Table26[[#This Row],[M2 Money Stock, Billions of Dollars, Weekly, Seasonally Adjusted]]-B554)/B554</f>
        <v>2.0319956778821705E-2</v>
      </c>
    </row>
    <row r="607" spans="1:5" x14ac:dyDescent="0.2">
      <c r="A607" s="50">
        <v>33728</v>
      </c>
      <c r="B607" s="51">
        <v>3399.3</v>
      </c>
      <c r="C607" s="53">
        <f>(Table26[[#This Row],[M2 Money Stock, Billions of Dollars, Weekly, Seasonally Adjusted]]-B606)/B606</f>
        <v>-2.9416955933373255E-5</v>
      </c>
      <c r="D607" s="54">
        <f>((1+Table26[[#This Row],[Weekly change]])^52)-1</f>
        <v>-1.5285348071395477E-3</v>
      </c>
      <c r="E607" s="57">
        <f>(Table26[[#This Row],[M2 Money Stock, Billions of Dollars, Weekly, Seasonally Adjusted]]-B555)/B555</f>
        <v>1.8486337488015422E-2</v>
      </c>
    </row>
    <row r="608" spans="1:5" x14ac:dyDescent="0.2">
      <c r="A608" s="50">
        <v>33735</v>
      </c>
      <c r="B608" s="51">
        <v>3401</v>
      </c>
      <c r="C608" s="53">
        <f>(Table26[[#This Row],[M2 Money Stock, Billions of Dollars, Weekly, Seasonally Adjusted]]-B607)/B607</f>
        <v>5.0010296237455298E-4</v>
      </c>
      <c r="D608" s="54">
        <f>((1+Table26[[#This Row],[Weekly change]])^52)-1</f>
        <v>2.6339771808473467E-2</v>
      </c>
      <c r="E608" s="57">
        <f>(Table26[[#This Row],[M2 Money Stock, Billions of Dollars, Weekly, Seasonally Adjusted]]-B556)/B556</f>
        <v>1.7380119058302643E-2</v>
      </c>
    </row>
    <row r="609" spans="1:5" x14ac:dyDescent="0.2">
      <c r="A609" s="50">
        <v>33742</v>
      </c>
      <c r="B609" s="51">
        <v>3398.3</v>
      </c>
      <c r="C609" s="53">
        <f>(Table26[[#This Row],[M2 Money Stock, Billions of Dollars, Weekly, Seasonally Adjusted]]-B608)/B608</f>
        <v>-7.9388415172002881E-4</v>
      </c>
      <c r="D609" s="54">
        <f>((1+Table26[[#This Row],[Weekly change]])^52)-1</f>
        <v>-4.0457212624886774E-2</v>
      </c>
      <c r="E609" s="57">
        <f>(Table26[[#This Row],[M2 Money Stock, Billions of Dollars, Weekly, Seasonally Adjusted]]-B557)/B557</f>
        <v>1.5721672594673868E-2</v>
      </c>
    </row>
    <row r="610" spans="1:5" x14ac:dyDescent="0.2">
      <c r="A610" s="50">
        <v>33749</v>
      </c>
      <c r="B610" s="51">
        <v>3397</v>
      </c>
      <c r="C610" s="53">
        <f>(Table26[[#This Row],[M2 Money Stock, Billions of Dollars, Weekly, Seasonally Adjusted]]-B609)/B609</f>
        <v>-3.8254421328316567E-4</v>
      </c>
      <c r="D610" s="54">
        <f>((1+Table26[[#This Row],[Weekly change]])^52)-1</f>
        <v>-1.9699483566891107E-2</v>
      </c>
      <c r="E610" s="57">
        <f>(Table26[[#This Row],[M2 Money Stock, Billions of Dollars, Weekly, Seasonally Adjusted]]-B558)/B558</f>
        <v>1.5363462458154021E-2</v>
      </c>
    </row>
    <row r="611" spans="1:5" x14ac:dyDescent="0.2">
      <c r="A611" s="50">
        <v>33756</v>
      </c>
      <c r="B611" s="51">
        <v>3397.5</v>
      </c>
      <c r="C611" s="53">
        <f>(Table26[[#This Row],[M2 Money Stock, Billions of Dollars, Weekly, Seasonally Adjusted]]-B610)/B610</f>
        <v>1.4718869590815426E-4</v>
      </c>
      <c r="D611" s="54">
        <f>((1+Table26[[#This Row],[Weekly change]])^52)-1</f>
        <v>7.6826099294937666E-3</v>
      </c>
      <c r="E611" s="57">
        <f>(Table26[[#This Row],[M2 Money Stock, Billions of Dollars, Weekly, Seasonally Adjusted]]-B559)/B559</f>
        <v>1.6576404057329252E-2</v>
      </c>
    </row>
    <row r="612" spans="1:5" x14ac:dyDescent="0.2">
      <c r="A612" s="50">
        <v>33763</v>
      </c>
      <c r="B612" s="51">
        <v>3393.7</v>
      </c>
      <c r="C612" s="53">
        <f>(Table26[[#This Row],[M2 Money Stock, Billions of Dollars, Weekly, Seasonally Adjusted]]-B611)/B611</f>
        <v>-1.1184694628403773E-3</v>
      </c>
      <c r="D612" s="54">
        <f>((1+Table26[[#This Row],[Weekly change]])^52)-1</f>
        <v>-5.6532123259327216E-2</v>
      </c>
      <c r="E612" s="57">
        <f>(Table26[[#This Row],[M2 Money Stock, Billions of Dollars, Weekly, Seasonally Adjusted]]-B560)/B560</f>
        <v>1.2742464935839994E-2</v>
      </c>
    </row>
    <row r="613" spans="1:5" x14ac:dyDescent="0.2">
      <c r="A613" s="50">
        <v>33770</v>
      </c>
      <c r="B613" s="51">
        <v>3396.5</v>
      </c>
      <c r="C613" s="53">
        <f>(Table26[[#This Row],[M2 Money Stock, Billions of Dollars, Weekly, Seasonally Adjusted]]-B612)/B612</f>
        <v>8.2505819606924064E-4</v>
      </c>
      <c r="D613" s="54">
        <f>((1+Table26[[#This Row],[Weekly change]])^52)-1</f>
        <v>4.38182008478194E-2</v>
      </c>
      <c r="E613" s="57">
        <f>(Table26[[#This Row],[M2 Money Stock, Billions of Dollars, Weekly, Seasonally Adjusted]]-B561)/B561</f>
        <v>1.3336117906796294E-2</v>
      </c>
    </row>
    <row r="614" spans="1:5" x14ac:dyDescent="0.2">
      <c r="A614" s="50">
        <v>33777</v>
      </c>
      <c r="B614" s="51">
        <v>3394.3</v>
      </c>
      <c r="C614" s="53">
        <f>(Table26[[#This Row],[M2 Money Stock, Billions of Dollars, Weekly, Seasonally Adjusted]]-B613)/B613</f>
        <v>-6.4772559988217815E-4</v>
      </c>
      <c r="D614" s="54">
        <f>((1+Table26[[#This Row],[Weekly change]])^52)-1</f>
        <v>-3.3131368312332099E-2</v>
      </c>
      <c r="E614" s="57">
        <f>(Table26[[#This Row],[M2 Money Stock, Billions of Dollars, Weekly, Seasonally Adjusted]]-B562)/B562</f>
        <v>1.2891289427352294E-2</v>
      </c>
    </row>
    <row r="615" spans="1:5" x14ac:dyDescent="0.2">
      <c r="A615" s="50">
        <v>33784</v>
      </c>
      <c r="B615" s="51">
        <v>3389.1</v>
      </c>
      <c r="C615" s="53">
        <f>(Table26[[#This Row],[M2 Money Stock, Billions of Dollars, Weekly, Seasonally Adjusted]]-B614)/B614</f>
        <v>-1.5319800842589848E-3</v>
      </c>
      <c r="D615" s="54">
        <f>((1+Table26[[#This Row],[Weekly change]])^52)-1</f>
        <v>-7.6628882487663308E-2</v>
      </c>
      <c r="E615" s="57">
        <f>(Table26[[#This Row],[M2 Money Stock, Billions of Dollars, Weekly, Seasonally Adjusted]]-B563)/B563</f>
        <v>8.9309636509779401E-3</v>
      </c>
    </row>
    <row r="616" spans="1:5" x14ac:dyDescent="0.2">
      <c r="A616" s="50">
        <v>33791</v>
      </c>
      <c r="B616" s="51">
        <v>3390.9</v>
      </c>
      <c r="C616" s="53">
        <f>(Table26[[#This Row],[M2 Money Stock, Billions of Dollars, Weekly, Seasonally Adjusted]]-B615)/B615</f>
        <v>5.3111445516514175E-4</v>
      </c>
      <c r="D616" s="54">
        <f>((1+Table26[[#This Row],[Weekly change]])^52)-1</f>
        <v>2.7995325781750902E-2</v>
      </c>
      <c r="E616" s="57">
        <f>(Table26[[#This Row],[M2 Money Stock, Billions of Dollars, Weekly, Seasonally Adjusted]]-B564)/B564</f>
        <v>1.0640200286123115E-2</v>
      </c>
    </row>
    <row r="617" spans="1:5" x14ac:dyDescent="0.2">
      <c r="A617" s="50">
        <v>33798</v>
      </c>
      <c r="B617" s="51">
        <v>3393.6</v>
      </c>
      <c r="C617" s="53">
        <f>(Table26[[#This Row],[M2 Money Stock, Billions of Dollars, Weekly, Seasonally Adjusted]]-B616)/B616</f>
        <v>7.9624878350874936E-4</v>
      </c>
      <c r="D617" s="54">
        <f>((1+Table26[[#This Row],[Weekly change]])^52)-1</f>
        <v>4.2256903254858091E-2</v>
      </c>
      <c r="E617" s="57">
        <f>(Table26[[#This Row],[M2 Money Stock, Billions of Dollars, Weekly, Seasonally Adjusted]]-B565)/B565</f>
        <v>1.0902591599642511E-2</v>
      </c>
    </row>
    <row r="618" spans="1:5" x14ac:dyDescent="0.2">
      <c r="A618" s="50">
        <v>33805</v>
      </c>
      <c r="B618" s="51">
        <v>3395</v>
      </c>
      <c r="C618" s="53">
        <f>(Table26[[#This Row],[M2 Money Stock, Billions of Dollars, Weekly, Seasonally Adjusted]]-B617)/B617</f>
        <v>4.1254125412543933E-4</v>
      </c>
      <c r="D618" s="54">
        <f>((1+Table26[[#This Row],[Weekly change]])^52)-1</f>
        <v>2.1679377059221183E-2</v>
      </c>
      <c r="E618" s="57">
        <f>(Table26[[#This Row],[M2 Money Stock, Billions of Dollars, Weekly, Seasonally Adjusted]]-B566)/B566</f>
        <v>1.1379885605338362E-2</v>
      </c>
    </row>
    <row r="619" spans="1:5" x14ac:dyDescent="0.2">
      <c r="A619" s="50">
        <v>33812</v>
      </c>
      <c r="B619" s="51">
        <v>3396.5</v>
      </c>
      <c r="C619" s="53">
        <f>(Table26[[#This Row],[M2 Money Stock, Billions of Dollars, Weekly, Seasonally Adjusted]]-B618)/B618</f>
        <v>4.4182621502209131E-4</v>
      </c>
      <c r="D619" s="54">
        <f>((1+Table26[[#This Row],[Weekly change]])^52)-1</f>
        <v>2.3235728642217124E-2</v>
      </c>
      <c r="E619" s="57">
        <f>(Table26[[#This Row],[M2 Money Stock, Billions of Dollars, Weekly, Seasonally Adjusted]]-B567)/B567</f>
        <v>1.2248912201227844E-2</v>
      </c>
    </row>
    <row r="620" spans="1:5" x14ac:dyDescent="0.2">
      <c r="A620" s="50">
        <v>33819</v>
      </c>
      <c r="B620" s="51">
        <v>3392.2</v>
      </c>
      <c r="C620" s="53">
        <f>(Table26[[#This Row],[M2 Money Stock, Billions of Dollars, Weekly, Seasonally Adjusted]]-B619)/B619</f>
        <v>-1.2660091270425974E-3</v>
      </c>
      <c r="D620" s="54">
        <f>((1+Table26[[#This Row],[Weekly change]])^52)-1</f>
        <v>-6.3751346249222407E-2</v>
      </c>
      <c r="E620" s="57">
        <f>(Table26[[#This Row],[M2 Money Stock, Billions of Dollars, Weekly, Seasonally Adjusted]]-B568)/B568</f>
        <v>1.123863466984642E-2</v>
      </c>
    </row>
    <row r="621" spans="1:5" x14ac:dyDescent="0.2">
      <c r="A621" s="50">
        <v>33826</v>
      </c>
      <c r="B621" s="51">
        <v>3396.8</v>
      </c>
      <c r="C621" s="53">
        <f>(Table26[[#This Row],[M2 Money Stock, Billions of Dollars, Weekly, Seasonally Adjusted]]-B620)/B620</f>
        <v>1.3560521195685291E-3</v>
      </c>
      <c r="D621" s="54">
        <f>((1+Table26[[#This Row],[Weekly change]])^52)-1</f>
        <v>7.3009097937545064E-2</v>
      </c>
      <c r="E621" s="57">
        <f>(Table26[[#This Row],[M2 Money Stock, Billions of Dollars, Weekly, Seasonally Adjusted]]-B569)/B569</f>
        <v>1.2579741250819851E-2</v>
      </c>
    </row>
    <row r="622" spans="1:5" x14ac:dyDescent="0.2">
      <c r="A622" s="50">
        <v>33833</v>
      </c>
      <c r="B622" s="51">
        <v>3397.1</v>
      </c>
      <c r="C622" s="53">
        <f>(Table26[[#This Row],[M2 Money Stock, Billions of Dollars, Weekly, Seasonally Adjusted]]-B621)/B621</f>
        <v>8.8318417333881039E-5</v>
      </c>
      <c r="D622" s="54">
        <f>((1+Table26[[#This Row],[Weekly change]])^52)-1</f>
        <v>4.6029159318605739E-3</v>
      </c>
      <c r="E622" s="57">
        <f>(Table26[[#This Row],[M2 Money Stock, Billions of Dollars, Weekly, Seasonally Adjusted]]-B570)/B570</f>
        <v>1.303155006858705E-2</v>
      </c>
    </row>
    <row r="623" spans="1:5" x14ac:dyDescent="0.2">
      <c r="A623" s="50">
        <v>33840</v>
      </c>
      <c r="B623" s="51">
        <v>3398.7</v>
      </c>
      <c r="C623" s="53">
        <f>(Table26[[#This Row],[M2 Money Stock, Billions of Dollars, Weekly, Seasonally Adjusted]]-B622)/B622</f>
        <v>4.7098996202640754E-4</v>
      </c>
      <c r="D623" s="54">
        <f>((1+Table26[[#This Row],[Weekly change]])^52)-1</f>
        <v>2.4787949053292513E-2</v>
      </c>
      <c r="E623" s="57">
        <f>(Table26[[#This Row],[M2 Money Stock, Billions of Dollars, Weekly, Seasonally Adjusted]]-B571)/B571</f>
        <v>1.1969629298794051E-2</v>
      </c>
    </row>
    <row r="624" spans="1:5" x14ac:dyDescent="0.2">
      <c r="A624" s="50">
        <v>33847</v>
      </c>
      <c r="B624" s="51">
        <v>3405.3</v>
      </c>
      <c r="C624" s="53">
        <f>(Table26[[#This Row],[M2 Money Stock, Billions of Dollars, Weekly, Seasonally Adjusted]]-B623)/B623</f>
        <v>1.9419189690176727E-3</v>
      </c>
      <c r="D624" s="54">
        <f>((1+Table26[[#This Row],[Weekly change]])^52)-1</f>
        <v>0.10614596043871471</v>
      </c>
      <c r="E624" s="57">
        <f>(Table26[[#This Row],[M2 Money Stock, Billions of Dollars, Weekly, Seasonally Adjusted]]-B572)/B572</f>
        <v>1.5446548382287217E-2</v>
      </c>
    </row>
    <row r="625" spans="1:5" x14ac:dyDescent="0.2">
      <c r="A625" s="50">
        <v>33854</v>
      </c>
      <c r="B625" s="51">
        <v>3403.1</v>
      </c>
      <c r="C625" s="53">
        <f>(Table26[[#This Row],[M2 Money Stock, Billions of Dollars, Weekly, Seasonally Adjusted]]-B624)/B624</f>
        <v>-6.4605174287148646E-4</v>
      </c>
      <c r="D625" s="54">
        <f>((1+Table26[[#This Row],[Weekly change]])^52)-1</f>
        <v>-3.3047153378087057E-2</v>
      </c>
      <c r="E625" s="57">
        <f>(Table26[[#This Row],[M2 Money Stock, Billions of Dollars, Weekly, Seasonally Adjusted]]-B573)/B573</f>
        <v>1.3883509608222823E-2</v>
      </c>
    </row>
    <row r="626" spans="1:5" x14ac:dyDescent="0.2">
      <c r="A626" s="50">
        <v>33861</v>
      </c>
      <c r="B626" s="51">
        <v>3408.7</v>
      </c>
      <c r="C626" s="53">
        <f>(Table26[[#This Row],[M2 Money Stock, Billions of Dollars, Weekly, Seasonally Adjusted]]-B625)/B625</f>
        <v>1.6455584614028119E-3</v>
      </c>
      <c r="D626" s="54">
        <f>((1+Table26[[#This Row],[Weekly change]])^52)-1</f>
        <v>8.926015914428187E-2</v>
      </c>
      <c r="E626" s="57">
        <f>(Table26[[#This Row],[M2 Money Stock, Billions of Dollars, Weekly, Seasonally Adjusted]]-B574)/B574</f>
        <v>1.5884842343684726E-2</v>
      </c>
    </row>
    <row r="627" spans="1:5" x14ac:dyDescent="0.2">
      <c r="A627" s="50">
        <v>33868</v>
      </c>
      <c r="B627" s="51">
        <v>3412.4</v>
      </c>
      <c r="C627" s="53">
        <f>(Table26[[#This Row],[M2 Money Stock, Billions of Dollars, Weekly, Seasonally Adjusted]]-B626)/B626</f>
        <v>1.0854577991610507E-3</v>
      </c>
      <c r="D627" s="54">
        <f>((1+Table26[[#This Row],[Weekly change]])^52)-1</f>
        <v>5.8034767070659354E-2</v>
      </c>
      <c r="E627" s="57">
        <f>(Table26[[#This Row],[M2 Money Stock, Billions of Dollars, Weekly, Seasonally Adjusted]]-B575)/B575</f>
        <v>1.7260396482337185E-2</v>
      </c>
    </row>
    <row r="628" spans="1:5" x14ac:dyDescent="0.2">
      <c r="A628" s="50">
        <v>33875</v>
      </c>
      <c r="B628" s="51">
        <v>3416.3</v>
      </c>
      <c r="C628" s="53">
        <f>(Table26[[#This Row],[M2 Money Stock, Billions of Dollars, Weekly, Seasonally Adjusted]]-B627)/B627</f>
        <v>1.1428906341578041E-3</v>
      </c>
      <c r="D628" s="54">
        <f>((1+Table26[[#This Row],[Weekly change]])^52)-1</f>
        <v>6.119579168655398E-2</v>
      </c>
      <c r="E628" s="57">
        <f>(Table26[[#This Row],[M2 Money Stock, Billions of Dollars, Weekly, Seasonally Adjusted]]-B576)/B576</f>
        <v>1.8635577553819546E-2</v>
      </c>
    </row>
    <row r="629" spans="1:5" x14ac:dyDescent="0.2">
      <c r="A629" s="50">
        <v>33882</v>
      </c>
      <c r="B629" s="51">
        <v>3413.6</v>
      </c>
      <c r="C629" s="53">
        <f>(Table26[[#This Row],[M2 Money Stock, Billions of Dollars, Weekly, Seasonally Adjusted]]-B628)/B628</f>
        <v>-7.9032871820398465E-4</v>
      </c>
      <c r="D629" s="54">
        <f>((1+Table26[[#This Row],[Weekly change]])^52)-1</f>
        <v>-4.027965285481705E-2</v>
      </c>
      <c r="E629" s="57">
        <f>(Table26[[#This Row],[M2 Money Stock, Billions of Dollars, Weekly, Seasonally Adjusted]]-B577)/B577</f>
        <v>1.6920877025738718E-2</v>
      </c>
    </row>
    <row r="630" spans="1:5" x14ac:dyDescent="0.2">
      <c r="A630" s="50">
        <v>33889</v>
      </c>
      <c r="B630" s="51">
        <v>3423</v>
      </c>
      <c r="C630" s="53">
        <f>(Table26[[#This Row],[M2 Money Stock, Billions of Dollars, Weekly, Seasonally Adjusted]]-B629)/B629</f>
        <v>2.7536911178814424E-3</v>
      </c>
      <c r="D630" s="54">
        <f>((1+Table26[[#This Row],[Weekly change]])^52)-1</f>
        <v>0.15372420162806688</v>
      </c>
      <c r="E630" s="57">
        <f>(Table26[[#This Row],[M2 Money Stock, Billions of Dollars, Weekly, Seasonally Adjusted]]-B578)/B578</f>
        <v>1.9326404812245047E-2</v>
      </c>
    </row>
    <row r="631" spans="1:5" x14ac:dyDescent="0.2">
      <c r="A631" s="50">
        <v>33896</v>
      </c>
      <c r="B631" s="51">
        <v>3421.5</v>
      </c>
      <c r="C631" s="53">
        <f>(Table26[[#This Row],[M2 Money Stock, Billions of Dollars, Weekly, Seasonally Adjusted]]-B630)/B630</f>
        <v>-4.3821209465381246E-4</v>
      </c>
      <c r="D631" s="54">
        <f>((1+Table26[[#This Row],[Weekly change]])^52)-1</f>
        <v>-2.2534247123575879E-2</v>
      </c>
      <c r="E631" s="57">
        <f>(Table26[[#This Row],[M2 Money Stock, Billions of Dollars, Weekly, Seasonally Adjusted]]-B579)/B579</f>
        <v>1.7576730906495332E-2</v>
      </c>
    </row>
    <row r="632" spans="1:5" x14ac:dyDescent="0.2">
      <c r="A632" s="50">
        <v>33903</v>
      </c>
      <c r="B632" s="51">
        <v>3429.2</v>
      </c>
      <c r="C632" s="53">
        <f>(Table26[[#This Row],[M2 Money Stock, Billions of Dollars, Weekly, Seasonally Adjusted]]-B631)/B631</f>
        <v>2.2504749378926838E-3</v>
      </c>
      <c r="D632" s="54">
        <f>((1+Table26[[#This Row],[Weekly change]])^52)-1</f>
        <v>0.12399939523760106</v>
      </c>
      <c r="E632" s="57">
        <f>(Table26[[#This Row],[M2 Money Stock, Billions of Dollars, Weekly, Seasonally Adjusted]]-B580)/B580</f>
        <v>1.9624167459562324E-2</v>
      </c>
    </row>
    <row r="633" spans="1:5" x14ac:dyDescent="0.2">
      <c r="A633" s="50">
        <v>33910</v>
      </c>
      <c r="B633" s="51">
        <v>3430.9</v>
      </c>
      <c r="C633" s="53">
        <f>(Table26[[#This Row],[M2 Money Stock, Billions of Dollars, Weekly, Seasonally Adjusted]]-B632)/B632</f>
        <v>4.9574244721808957E-4</v>
      </c>
      <c r="D633" s="54">
        <f>((1+Table26[[#This Row],[Weekly change]])^52)-1</f>
        <v>2.6107194736126438E-2</v>
      </c>
      <c r="E633" s="57">
        <f>(Table26[[#This Row],[M2 Money Stock, Billions of Dollars, Weekly, Seasonally Adjusted]]-B581)/B581</f>
        <v>2.1010028866470229E-2</v>
      </c>
    </row>
    <row r="634" spans="1:5" x14ac:dyDescent="0.2">
      <c r="A634" s="50">
        <v>33917</v>
      </c>
      <c r="B634" s="51">
        <v>3430.5</v>
      </c>
      <c r="C634" s="53">
        <f>(Table26[[#This Row],[M2 Money Stock, Billions of Dollars, Weekly, Seasonally Adjusted]]-B633)/B633</f>
        <v>-1.165874843335833E-4</v>
      </c>
      <c r="D634" s="54">
        <f>((1+Table26[[#This Row],[Weekly change]])^52)-1</f>
        <v>-6.0445603153284067E-3</v>
      </c>
      <c r="E634" s="57">
        <f>(Table26[[#This Row],[M2 Money Stock, Billions of Dollars, Weekly, Seasonally Adjusted]]-B582)/B582</f>
        <v>1.9404493046475749E-2</v>
      </c>
    </row>
    <row r="635" spans="1:5" x14ac:dyDescent="0.2">
      <c r="A635" s="50">
        <v>33924</v>
      </c>
      <c r="B635" s="51">
        <v>3428.3</v>
      </c>
      <c r="C635" s="53">
        <f>(Table26[[#This Row],[M2 Money Stock, Billions of Dollars, Weekly, Seasonally Adjusted]]-B634)/B634</f>
        <v>-6.4130593207981871E-4</v>
      </c>
      <c r="D635" s="54">
        <f>((1+Table26[[#This Row],[Weekly change]])^52)-1</f>
        <v>-3.2808343482176539E-2</v>
      </c>
      <c r="E635" s="57">
        <f>(Table26[[#This Row],[M2 Money Stock, Billions of Dollars, Weekly, Seasonally Adjusted]]-B583)/B583</f>
        <v>1.8811292719167958E-2</v>
      </c>
    </row>
    <row r="636" spans="1:5" x14ac:dyDescent="0.2">
      <c r="A636" s="50">
        <v>33931</v>
      </c>
      <c r="B636" s="51">
        <v>3421.5</v>
      </c>
      <c r="C636" s="53">
        <f>(Table26[[#This Row],[M2 Money Stock, Billions of Dollars, Weekly, Seasonally Adjusted]]-B635)/B635</f>
        <v>-1.9834903596535254E-3</v>
      </c>
      <c r="D636" s="54">
        <f>((1+Table26[[#This Row],[Weekly change]])^52)-1</f>
        <v>-9.8093050326994558E-2</v>
      </c>
      <c r="E636" s="57">
        <f>(Table26[[#This Row],[M2 Money Stock, Billions of Dollars, Weekly, Seasonally Adjusted]]-B584)/B584</f>
        <v>1.6337442447645924E-2</v>
      </c>
    </row>
    <row r="637" spans="1:5" x14ac:dyDescent="0.2">
      <c r="A637" s="50">
        <v>33938</v>
      </c>
      <c r="B637" s="51">
        <v>3424.3</v>
      </c>
      <c r="C637" s="53">
        <f>(Table26[[#This Row],[M2 Money Stock, Billions of Dollars, Weekly, Seasonally Adjusted]]-B636)/B636</f>
        <v>8.1835452287013942E-4</v>
      </c>
      <c r="D637" s="54">
        <f>((1+Table26[[#This Row],[Weekly change]])^52)-1</f>
        <v>4.3454697264663888E-2</v>
      </c>
      <c r="E637" s="57">
        <f>(Table26[[#This Row],[M2 Money Stock, Billions of Dollars, Weekly, Seasonally Adjusted]]-B585)/B585</f>
        <v>1.6293702142814771E-2</v>
      </c>
    </row>
    <row r="638" spans="1:5" x14ac:dyDescent="0.2">
      <c r="A638" s="50">
        <v>33945</v>
      </c>
      <c r="B638" s="51">
        <v>3427.7</v>
      </c>
      <c r="C638" s="53">
        <f>(Table26[[#This Row],[M2 Money Stock, Billions of Dollars, Weekly, Seasonally Adjusted]]-B637)/B637</f>
        <v>9.9290365914190821E-4</v>
      </c>
      <c r="D638" s="54">
        <f>((1+Table26[[#This Row],[Weekly change]])^52)-1</f>
        <v>5.2960136047107254E-2</v>
      </c>
      <c r="E638" s="57">
        <f>(Table26[[#This Row],[M2 Money Stock, Billions of Dollars, Weekly, Seasonally Adjusted]]-B586)/B586</f>
        <v>1.6397817577985922E-2</v>
      </c>
    </row>
    <row r="639" spans="1:5" x14ac:dyDescent="0.2">
      <c r="A639" s="50">
        <v>33952</v>
      </c>
      <c r="B639" s="51">
        <v>3428.4</v>
      </c>
      <c r="C639" s="53">
        <f>(Table26[[#This Row],[M2 Money Stock, Billions of Dollars, Weekly, Seasonally Adjusted]]-B638)/B638</f>
        <v>2.0421857222051898E-4</v>
      </c>
      <c r="D639" s="54">
        <f>((1+Table26[[#This Row],[Weekly change]])^52)-1</f>
        <v>1.067485558122816E-2</v>
      </c>
      <c r="E639" s="57">
        <f>(Table26[[#This Row],[M2 Money Stock, Billions of Dollars, Weekly, Seasonally Adjusted]]-B587)/B587</f>
        <v>1.4469596094096787E-2</v>
      </c>
    </row>
    <row r="640" spans="1:5" x14ac:dyDescent="0.2">
      <c r="A640" s="50">
        <v>33959</v>
      </c>
      <c r="B640" s="51">
        <v>3421.6</v>
      </c>
      <c r="C640" s="53">
        <f>(Table26[[#This Row],[M2 Money Stock, Billions of Dollars, Weekly, Seasonally Adjusted]]-B639)/B639</f>
        <v>-1.9834325049586342E-3</v>
      </c>
      <c r="D640" s="54">
        <f>((1+Table26[[#This Row],[Weekly change]])^52)-1</f>
        <v>-9.8090331593728708E-2</v>
      </c>
      <c r="E640" s="57">
        <f>(Table26[[#This Row],[M2 Money Stock, Billions of Dollars, Weekly, Seasonally Adjusted]]-B588)/B588</f>
        <v>1.4980273501231052E-2</v>
      </c>
    </row>
    <row r="641" spans="1:5" x14ac:dyDescent="0.2">
      <c r="A641" s="50">
        <v>33966</v>
      </c>
      <c r="B641" s="51">
        <v>3423.1</v>
      </c>
      <c r="C641" s="53">
        <f>(Table26[[#This Row],[M2 Money Stock, Billions of Dollars, Weekly, Seasonally Adjusted]]-B640)/B640</f>
        <v>4.3839139583820433E-4</v>
      </c>
      <c r="D641" s="54">
        <f>((1+Table26[[#This Row],[Weekly change]])^52)-1</f>
        <v>2.3053064602672535E-2</v>
      </c>
      <c r="E641" s="57">
        <f>(Table26[[#This Row],[M2 Money Stock, Billions of Dollars, Weekly, Seasonally Adjusted]]-B589)/B589</f>
        <v>1.6450396412982182E-2</v>
      </c>
    </row>
    <row r="642" spans="1:5" x14ac:dyDescent="0.2">
      <c r="A642" s="50">
        <v>33973</v>
      </c>
      <c r="B642" s="51">
        <v>3418.7</v>
      </c>
      <c r="C642" s="53">
        <f>(Table26[[#This Row],[M2 Money Stock, Billions of Dollars, Weekly, Seasonally Adjusted]]-B641)/B641</f>
        <v>-1.2853845929128834E-3</v>
      </c>
      <c r="D642" s="54">
        <f>((1+Table26[[#This Row],[Weekly change]])^52)-1</f>
        <v>-6.4695368092070105E-2</v>
      </c>
      <c r="E642" s="57">
        <f>(Table26[[#This Row],[M2 Money Stock, Billions of Dollars, Weekly, Seasonally Adjusted]]-B590)/B590</f>
        <v>1.5747095700745759E-2</v>
      </c>
    </row>
    <row r="643" spans="1:5" x14ac:dyDescent="0.2">
      <c r="A643" s="50">
        <v>33980</v>
      </c>
      <c r="B643" s="51">
        <v>3422.2</v>
      </c>
      <c r="C643" s="53">
        <f>(Table26[[#This Row],[M2 Money Stock, Billions of Dollars, Weekly, Seasonally Adjusted]]-B642)/B642</f>
        <v>1.0237809693743236E-3</v>
      </c>
      <c r="D643" s="54">
        <f>((1+Table26[[#This Row],[Weekly change]])^52)-1</f>
        <v>5.4650442264753796E-2</v>
      </c>
      <c r="E643" s="57">
        <f>(Table26[[#This Row],[M2 Money Stock, Billions of Dollars, Weekly, Seasonally Adjusted]]-B591)/B591</f>
        <v>1.4015230080891205E-2</v>
      </c>
    </row>
    <row r="644" spans="1:5" x14ac:dyDescent="0.2">
      <c r="A644" s="50">
        <v>33987</v>
      </c>
      <c r="B644" s="51">
        <v>3416.8</v>
      </c>
      <c r="C644" s="53">
        <f>(Table26[[#This Row],[M2 Money Stock, Billions of Dollars, Weekly, Seasonally Adjusted]]-B643)/B643</f>
        <v>-1.5779323242357654E-3</v>
      </c>
      <c r="D644" s="54">
        <f>((1+Table26[[#This Row],[Weekly change]])^52)-1</f>
        <v>-7.8836086968088637E-2</v>
      </c>
      <c r="E644" s="57">
        <f>(Table26[[#This Row],[M2 Money Stock, Billions of Dollars, Weekly, Seasonally Adjusted]]-B592)/B592</f>
        <v>1.0379394978856897E-2</v>
      </c>
    </row>
    <row r="645" spans="1:5" x14ac:dyDescent="0.2">
      <c r="A645" s="50">
        <v>33994</v>
      </c>
      <c r="B645" s="51">
        <v>3415.5</v>
      </c>
      <c r="C645" s="53">
        <f>(Table26[[#This Row],[M2 Money Stock, Billions of Dollars, Weekly, Seasonally Adjusted]]-B644)/B644</f>
        <v>-3.8047295715294482E-4</v>
      </c>
      <c r="D645" s="54">
        <f>((1+Table26[[#This Row],[Weekly change]])^52)-1</f>
        <v>-1.9593854000357513E-2</v>
      </c>
      <c r="E645" s="57">
        <f>(Table26[[#This Row],[M2 Money Stock, Billions of Dollars, Weekly, Seasonally Adjusted]]-B593)/B593</f>
        <v>6.4829821717990272E-3</v>
      </c>
    </row>
    <row r="646" spans="1:5" x14ac:dyDescent="0.2">
      <c r="A646" s="50">
        <v>34001</v>
      </c>
      <c r="B646" s="51">
        <v>3414.9</v>
      </c>
      <c r="C646" s="53">
        <f>(Table26[[#This Row],[M2 Money Stock, Billions of Dollars, Weekly, Seasonally Adjusted]]-B645)/B645</f>
        <v>-1.7566974088710556E-4</v>
      </c>
      <c r="D646" s="54">
        <f>((1+Table26[[#This Row],[Weekly change]])^52)-1</f>
        <v>-9.0940259044829386E-3</v>
      </c>
      <c r="E646" s="57">
        <f>(Table26[[#This Row],[M2 Money Stock, Billions of Dollars, Weekly, Seasonally Adjusted]]-B594)/B594</f>
        <v>6.4841286215332012E-3</v>
      </c>
    </row>
    <row r="647" spans="1:5" x14ac:dyDescent="0.2">
      <c r="A647" s="50">
        <v>34008</v>
      </c>
      <c r="B647" s="51">
        <v>3410.1</v>
      </c>
      <c r="C647" s="53">
        <f>(Table26[[#This Row],[M2 Money Stock, Billions of Dollars, Weekly, Seasonally Adjusted]]-B646)/B646</f>
        <v>-1.4056048493367834E-3</v>
      </c>
      <c r="D647" s="54">
        <f>((1+Table26[[#This Row],[Weekly change]])^52)-1</f>
        <v>-7.0531971816401251E-2</v>
      </c>
      <c r="E647" s="57">
        <f>(Table26[[#This Row],[M2 Money Stock, Billions of Dollars, Weekly, Seasonally Adjusted]]-B595)/B595</f>
        <v>3.295183735914507E-3</v>
      </c>
    </row>
    <row r="648" spans="1:5" x14ac:dyDescent="0.2">
      <c r="A648" s="50">
        <v>34015</v>
      </c>
      <c r="B648" s="51">
        <v>3414.6</v>
      </c>
      <c r="C648" s="53">
        <f>(Table26[[#This Row],[M2 Money Stock, Billions of Dollars, Weekly, Seasonally Adjusted]]-B647)/B647</f>
        <v>1.3196093956188968E-3</v>
      </c>
      <c r="D648" s="54">
        <f>((1+Table26[[#This Row],[Weekly change]])^52)-1</f>
        <v>7.098035943779446E-2</v>
      </c>
      <c r="E648" s="57">
        <f>(Table26[[#This Row],[M2 Money Stock, Billions of Dollars, Weekly, Seasonally Adjusted]]-B596)/B596</f>
        <v>4.0578687367677389E-3</v>
      </c>
    </row>
    <row r="649" spans="1:5" x14ac:dyDescent="0.2">
      <c r="A649" s="50">
        <v>34022</v>
      </c>
      <c r="B649" s="51">
        <v>3415.7</v>
      </c>
      <c r="C649" s="53">
        <f>(Table26[[#This Row],[M2 Money Stock, Billions of Dollars, Weekly, Seasonally Adjusted]]-B648)/B648</f>
        <v>3.2214607860361655E-4</v>
      </c>
      <c r="D649" s="54">
        <f>((1+Table26[[#This Row],[Weekly change]])^52)-1</f>
        <v>1.6889947608065059E-2</v>
      </c>
      <c r="E649" s="57">
        <f>(Table26[[#This Row],[M2 Money Stock, Billions of Dollars, Weekly, Seasonally Adjusted]]-B597)/B597</f>
        <v>3.8795003673768752E-3</v>
      </c>
    </row>
    <row r="650" spans="1:5" x14ac:dyDescent="0.2">
      <c r="A650" s="50">
        <v>34029</v>
      </c>
      <c r="B650" s="51">
        <v>3414.7</v>
      </c>
      <c r="C650" s="53">
        <f>(Table26[[#This Row],[M2 Money Stock, Billions of Dollars, Weekly, Seasonally Adjusted]]-B649)/B649</f>
        <v>-2.9276575811693068E-4</v>
      </c>
      <c r="D650" s="54">
        <f>((1+Table26[[#This Row],[Weekly change]])^52)-1</f>
        <v>-1.511071817223042E-2</v>
      </c>
      <c r="E650" s="57">
        <f>(Table26[[#This Row],[M2 Money Stock, Billions of Dollars, Weekly, Seasonally Adjusted]]-B598)/B598</f>
        <v>3.9987063009026226E-3</v>
      </c>
    </row>
    <row r="651" spans="1:5" x14ac:dyDescent="0.2">
      <c r="A651" s="50">
        <v>34036</v>
      </c>
      <c r="B651" s="51">
        <v>3411.5</v>
      </c>
      <c r="C651" s="53">
        <f>(Table26[[#This Row],[M2 Money Stock, Billions of Dollars, Weekly, Seasonally Adjusted]]-B650)/B650</f>
        <v>-9.3712478402196921E-4</v>
      </c>
      <c r="D651" s="54">
        <f>((1+Table26[[#This Row],[Weekly change]])^52)-1</f>
        <v>-4.7583972829577381E-2</v>
      </c>
      <c r="E651" s="57">
        <f>(Table26[[#This Row],[M2 Money Stock, Billions of Dollars, Weekly, Seasonally Adjusted]]-B599)/B599</f>
        <v>2.0266697996828087E-3</v>
      </c>
    </row>
    <row r="652" spans="1:5" x14ac:dyDescent="0.2">
      <c r="A652" s="50">
        <v>34043</v>
      </c>
      <c r="B652" s="51">
        <v>3411.1</v>
      </c>
      <c r="C652" s="53">
        <f>(Table26[[#This Row],[M2 Money Stock, Billions of Dollars, Weekly, Seasonally Adjusted]]-B651)/B651</f>
        <v>-1.1725047633008675E-4</v>
      </c>
      <c r="D652" s="54">
        <f>((1+Table26[[#This Row],[Weekly change]])^52)-1</f>
        <v>-6.0788309255258577E-3</v>
      </c>
      <c r="E652" s="57">
        <f>(Table26[[#This Row],[M2 Money Stock, Billions of Dollars, Weekly, Seasonally Adjusted]]-B600)/B600</f>
        <v>1.1446348908194679E-3</v>
      </c>
    </row>
    <row r="653" spans="1:5" x14ac:dyDescent="0.2">
      <c r="A653" s="50">
        <v>34050</v>
      </c>
      <c r="B653" s="51">
        <v>3409.6</v>
      </c>
      <c r="C653" s="53">
        <f>(Table26[[#This Row],[M2 Money Stock, Billions of Dollars, Weekly, Seasonally Adjusted]]-B652)/B652</f>
        <v>-4.3974084606138782E-4</v>
      </c>
      <c r="D653" s="54">
        <f>((1+Table26[[#This Row],[Weekly change]])^52)-1</f>
        <v>-2.2611981869063769E-2</v>
      </c>
      <c r="E653" s="57">
        <f>(Table26[[#This Row],[M2 Money Stock, Billions of Dollars, Weekly, Seasonally Adjusted]]-B601)/B601</f>
        <v>1.6451233842537923E-3</v>
      </c>
    </row>
    <row r="654" spans="1:5" x14ac:dyDescent="0.2">
      <c r="A654" s="50">
        <v>34057</v>
      </c>
      <c r="B654" s="51">
        <v>3409.7</v>
      </c>
      <c r="C654" s="53">
        <f>(Table26[[#This Row],[M2 Money Stock, Billions of Dollars, Weekly, Seasonally Adjusted]]-B653)/B653</f>
        <v>2.9328953542910915E-5</v>
      </c>
      <c r="D654" s="54">
        <f>((1+Table26[[#This Row],[Weekly change]])^52)-1</f>
        <v>1.5262467506240718E-3</v>
      </c>
      <c r="E654" s="57">
        <f>(Table26[[#This Row],[M2 Money Stock, Billions of Dollars, Weekly, Seasonally Adjusted]]-B602)/B602</f>
        <v>2.5285936902766483E-3</v>
      </c>
    </row>
    <row r="655" spans="1:5" x14ac:dyDescent="0.2">
      <c r="A655" s="50">
        <v>34064</v>
      </c>
      <c r="B655" s="51">
        <v>3409.1</v>
      </c>
      <c r="C655" s="53">
        <f>(Table26[[#This Row],[M2 Money Stock, Billions of Dollars, Weekly, Seasonally Adjusted]]-B654)/B654</f>
        <v>-1.7596856028386927E-4</v>
      </c>
      <c r="D655" s="54">
        <f>((1+Table26[[#This Row],[Weekly change]])^52)-1</f>
        <v>-9.1094257925566913E-3</v>
      </c>
      <c r="E655" s="57">
        <f>(Table26[[#This Row],[M2 Money Stock, Billions of Dollars, Weekly, Seasonally Adjusted]]-B603)/B603</f>
        <v>2.6174930886418714E-3</v>
      </c>
    </row>
    <row r="656" spans="1:5" x14ac:dyDescent="0.2">
      <c r="A656" s="50">
        <v>34071</v>
      </c>
      <c r="B656" s="51">
        <v>3410.1</v>
      </c>
      <c r="C656" s="53">
        <f>(Table26[[#This Row],[M2 Money Stock, Billions of Dollars, Weekly, Seasonally Adjusted]]-B655)/B655</f>
        <v>2.9333255111319706E-4</v>
      </c>
      <c r="D656" s="54">
        <f>((1+Table26[[#This Row],[Weekly change]])^52)-1</f>
        <v>1.5367946785693087E-2</v>
      </c>
      <c r="E656" s="57">
        <f>(Table26[[#This Row],[M2 Money Stock, Billions of Dollars, Weekly, Seasonally Adjusted]]-B604)/B604</f>
        <v>2.4988240827845719E-3</v>
      </c>
    </row>
    <row r="657" spans="1:5" x14ac:dyDescent="0.2">
      <c r="A657" s="50">
        <v>34078</v>
      </c>
      <c r="B657" s="51">
        <v>3405.1</v>
      </c>
      <c r="C657" s="53">
        <f>(Table26[[#This Row],[M2 Money Stock, Billions of Dollars, Weekly, Seasonally Adjusted]]-B656)/B656</f>
        <v>-1.4662326617987742E-3</v>
      </c>
      <c r="D657" s="54">
        <f>((1+Table26[[#This Row],[Weekly change]])^52)-1</f>
        <v>-7.3461841912250914E-2</v>
      </c>
      <c r="E657" s="57">
        <f>(Table26[[#This Row],[M2 Money Stock, Billions of Dollars, Weekly, Seasonally Adjusted]]-B605)/B605</f>
        <v>2.1484489964093611E-3</v>
      </c>
    </row>
    <row r="658" spans="1:5" x14ac:dyDescent="0.2">
      <c r="A658" s="50">
        <v>34085</v>
      </c>
      <c r="B658" s="51">
        <v>3411.1</v>
      </c>
      <c r="C658" s="53">
        <f>(Table26[[#This Row],[M2 Money Stock, Billions of Dollars, Weekly, Seasonally Adjusted]]-B657)/B657</f>
        <v>1.7620627881706852E-3</v>
      </c>
      <c r="D658" s="54">
        <f>((1+Table26[[#This Row],[Weekly change]])^52)-1</f>
        <v>9.5867879319128102E-2</v>
      </c>
      <c r="E658" s="57">
        <f>(Table26[[#This Row],[M2 Money Stock, Billions of Dollars, Weekly, Seasonally Adjusted]]-B606)/B606</f>
        <v>3.4417838442077479E-3</v>
      </c>
    </row>
    <row r="659" spans="1:5" x14ac:dyDescent="0.2">
      <c r="A659" s="50">
        <v>34092</v>
      </c>
      <c r="B659" s="51">
        <v>3425.5</v>
      </c>
      <c r="C659" s="53">
        <f>(Table26[[#This Row],[M2 Money Stock, Billions of Dollars, Weekly, Seasonally Adjusted]]-B658)/B658</f>
        <v>4.22151212218935E-3</v>
      </c>
      <c r="D659" s="54">
        <f>((1+Table26[[#This Row],[Weekly change]])^52)-1</f>
        <v>0.24490171121551496</v>
      </c>
      <c r="E659" s="57">
        <f>(Table26[[#This Row],[M2 Money Stock, Billions of Dollars, Weekly, Seasonally Adjusted]]-B607)/B607</f>
        <v>7.7074691848321173E-3</v>
      </c>
    </row>
    <row r="660" spans="1:5" x14ac:dyDescent="0.2">
      <c r="A660" s="50">
        <v>34099</v>
      </c>
      <c r="B660" s="51">
        <v>3437.4</v>
      </c>
      <c r="C660" s="53">
        <f>(Table26[[#This Row],[M2 Money Stock, Billions of Dollars, Weekly, Seasonally Adjusted]]-B659)/B659</f>
        <v>3.4739454094293068E-3</v>
      </c>
      <c r="D660" s="54">
        <f>((1+Table26[[#This Row],[Weekly change]])^52)-1</f>
        <v>0.19761503746857145</v>
      </c>
      <c r="E660" s="57">
        <f>(Table26[[#This Row],[M2 Money Stock, Billions of Dollars, Weekly, Seasonally Adjusted]]-B608)/B608</f>
        <v>1.0702734489855951E-2</v>
      </c>
    </row>
    <row r="661" spans="1:5" x14ac:dyDescent="0.2">
      <c r="A661" s="50">
        <v>34106</v>
      </c>
      <c r="B661" s="51">
        <v>3437.2</v>
      </c>
      <c r="C661" s="53">
        <f>(Table26[[#This Row],[M2 Money Stock, Billions of Dollars, Weekly, Seasonally Adjusted]]-B660)/B660</f>
        <v>-5.8183510793120625E-5</v>
      </c>
      <c r="D661" s="54">
        <f>((1+Table26[[#This Row],[Weekly change]])^52)-1</f>
        <v>-3.0210579756249079E-3</v>
      </c>
      <c r="E661" s="57">
        <f>(Table26[[#This Row],[M2 Money Stock, Billions of Dollars, Weekly, Seasonally Adjusted]]-B609)/B609</f>
        <v>1.1446899920548401E-2</v>
      </c>
    </row>
    <row r="662" spans="1:5" x14ac:dyDescent="0.2">
      <c r="A662" s="50">
        <v>34113</v>
      </c>
      <c r="B662" s="51">
        <v>3434.3</v>
      </c>
      <c r="C662" s="53">
        <f>(Table26[[#This Row],[M2 Money Stock, Billions of Dollars, Weekly, Seasonally Adjusted]]-B661)/B661</f>
        <v>-8.4370999650868047E-4</v>
      </c>
      <c r="D662" s="54">
        <f>((1+Table26[[#This Row],[Weekly change]])^52)-1</f>
        <v>-4.2942148287293147E-2</v>
      </c>
      <c r="E662" s="57">
        <f>(Table26[[#This Row],[M2 Money Stock, Billions of Dollars, Weekly, Seasonally Adjusted]]-B610)/B610</f>
        <v>1.098027671474836E-2</v>
      </c>
    </row>
    <row r="663" spans="1:5" x14ac:dyDescent="0.2">
      <c r="A663" s="50">
        <v>34120</v>
      </c>
      <c r="B663" s="51">
        <v>3445.5</v>
      </c>
      <c r="C663" s="53">
        <f>(Table26[[#This Row],[M2 Money Stock, Billions of Dollars, Weekly, Seasonally Adjusted]]-B662)/B662</f>
        <v>3.2612177154004653E-3</v>
      </c>
      <c r="D663" s="54">
        <f>((1+Table26[[#This Row],[Weekly change]])^52)-1</f>
        <v>0.18448418970185432</v>
      </c>
      <c r="E663" s="57">
        <f>(Table26[[#This Row],[M2 Money Stock, Billions of Dollars, Weekly, Seasonally Adjusted]]-B611)/B611</f>
        <v>1.41280353200883E-2</v>
      </c>
    </row>
    <row r="664" spans="1:5" x14ac:dyDescent="0.2">
      <c r="A664" s="50">
        <v>34127</v>
      </c>
      <c r="B664" s="51">
        <v>3444.6</v>
      </c>
      <c r="C664" s="53">
        <f>(Table26[[#This Row],[M2 Money Stock, Billions of Dollars, Weekly, Seasonally Adjusted]]-B663)/B663</f>
        <v>-2.6121027427081439E-4</v>
      </c>
      <c r="D664" s="54">
        <f>((1+Table26[[#This Row],[Weekly change]])^52)-1</f>
        <v>-1.3492852833495106E-2</v>
      </c>
      <c r="E664" s="57">
        <f>(Table26[[#This Row],[M2 Money Stock, Billions of Dollars, Weekly, Seasonally Adjusted]]-B612)/B612</f>
        <v>1.4998379349972035E-2</v>
      </c>
    </row>
    <row r="665" spans="1:5" x14ac:dyDescent="0.2">
      <c r="A665" s="50">
        <v>34134</v>
      </c>
      <c r="B665" s="51">
        <v>3446.2</v>
      </c>
      <c r="C665" s="53">
        <f>(Table26[[#This Row],[M2 Money Stock, Billions of Dollars, Weekly, Seasonally Adjusted]]-B664)/B664</f>
        <v>4.6449515183182634E-4</v>
      </c>
      <c r="D665" s="54">
        <f>((1+Table26[[#This Row],[Weekly change]])^52)-1</f>
        <v>2.4442067480053842E-2</v>
      </c>
      <c r="E665" s="57">
        <f>(Table26[[#This Row],[M2 Money Stock, Billions of Dollars, Weekly, Seasonally Adjusted]]-B613)/B613</f>
        <v>1.4632710142793999E-2</v>
      </c>
    </row>
    <row r="666" spans="1:5" x14ac:dyDescent="0.2">
      <c r="A666" s="50">
        <v>34141</v>
      </c>
      <c r="B666" s="51">
        <v>3442.2</v>
      </c>
      <c r="C666" s="53">
        <f>(Table26[[#This Row],[M2 Money Stock, Billions of Dollars, Weekly, Seasonally Adjusted]]-B665)/B665</f>
        <v>-1.1606987406418666E-3</v>
      </c>
      <c r="D666" s="54">
        <f>((1+Table26[[#This Row],[Weekly change]])^52)-1</f>
        <v>-5.8603990950536589E-2</v>
      </c>
      <c r="E666" s="57">
        <f>(Table26[[#This Row],[M2 Money Stock, Billions of Dollars, Weekly, Seasonally Adjusted]]-B614)/B614</f>
        <v>1.4111893468461725E-2</v>
      </c>
    </row>
    <row r="667" spans="1:5" x14ac:dyDescent="0.2">
      <c r="A667" s="50">
        <v>34148</v>
      </c>
      <c r="B667" s="51">
        <v>3438.2</v>
      </c>
      <c r="C667" s="53">
        <f>(Table26[[#This Row],[M2 Money Stock, Billions of Dollars, Weekly, Seasonally Adjusted]]-B666)/B666</f>
        <v>-1.1620475277438849E-3</v>
      </c>
      <c r="D667" s="54">
        <f>((1+Table26[[#This Row],[Weekly change]])^52)-1</f>
        <v>-5.8670092025794207E-2</v>
      </c>
      <c r="E667" s="57">
        <f>(Table26[[#This Row],[M2 Money Stock, Billions of Dollars, Weekly, Seasonally Adjusted]]-B615)/B615</f>
        <v>1.4487622082558766E-2</v>
      </c>
    </row>
    <row r="668" spans="1:5" x14ac:dyDescent="0.2">
      <c r="A668" s="50">
        <v>34155</v>
      </c>
      <c r="B668" s="51">
        <v>3436.1</v>
      </c>
      <c r="C668" s="53">
        <f>(Table26[[#This Row],[M2 Money Stock, Billions of Dollars, Weekly, Seasonally Adjusted]]-B667)/B667</f>
        <v>-6.1078471293115851E-4</v>
      </c>
      <c r="D668" s="54">
        <f>((1+Table26[[#This Row],[Weekly change]])^52)-1</f>
        <v>-3.1271128416630156E-2</v>
      </c>
      <c r="E668" s="57">
        <f>(Table26[[#This Row],[M2 Money Stock, Billions of Dollars, Weekly, Seasonally Adjusted]]-B616)/B616</f>
        <v>1.3329794449851018E-2</v>
      </c>
    </row>
    <row r="669" spans="1:5" x14ac:dyDescent="0.2">
      <c r="A669" s="50">
        <v>34162</v>
      </c>
      <c r="B669" s="51">
        <v>3443.7</v>
      </c>
      <c r="C669" s="53">
        <f>(Table26[[#This Row],[M2 Money Stock, Billions of Dollars, Weekly, Seasonally Adjusted]]-B668)/B668</f>
        <v>2.2118099007595558E-3</v>
      </c>
      <c r="D669" s="54">
        <f>((1+Table26[[#This Row],[Weekly change]])^52)-1</f>
        <v>0.12174679351544881</v>
      </c>
      <c r="E669" s="57">
        <f>(Table26[[#This Row],[M2 Money Stock, Billions of Dollars, Weekly, Seasonally Adjusted]]-B617)/B617</f>
        <v>1.4763083451202237E-2</v>
      </c>
    </row>
    <row r="670" spans="1:5" x14ac:dyDescent="0.2">
      <c r="A670" s="50">
        <v>34169</v>
      </c>
      <c r="B670" s="51">
        <v>3443.2</v>
      </c>
      <c r="C670" s="53">
        <f>(Table26[[#This Row],[M2 Money Stock, Billions of Dollars, Weekly, Seasonally Adjusted]]-B669)/B669</f>
        <v>-1.4519267067398438E-4</v>
      </c>
      <c r="D670" s="54">
        <f>((1+Table26[[#This Row],[Weekly change]])^52)-1</f>
        <v>-7.5221331096462229E-3</v>
      </c>
      <c r="E670" s="57">
        <f>(Table26[[#This Row],[M2 Money Stock, Billions of Dollars, Weekly, Seasonally Adjusted]]-B618)/B618</f>
        <v>1.4197349042709815E-2</v>
      </c>
    </row>
    <row r="671" spans="1:5" x14ac:dyDescent="0.2">
      <c r="A671" s="50">
        <v>34176</v>
      </c>
      <c r="B671" s="51">
        <v>3442.3</v>
      </c>
      <c r="C671" s="53">
        <f>(Table26[[#This Row],[M2 Money Stock, Billions of Dollars, Weekly, Seasonally Adjusted]]-B670)/B670</f>
        <v>-2.6138475836420664E-4</v>
      </c>
      <c r="D671" s="54">
        <f>((1+Table26[[#This Row],[Weekly change]])^52)-1</f>
        <v>-1.3501805882156326E-2</v>
      </c>
      <c r="E671" s="57">
        <f>(Table26[[#This Row],[M2 Money Stock, Billions of Dollars, Weekly, Seasonally Adjusted]]-B619)/B619</f>
        <v>1.3484469306639241E-2</v>
      </c>
    </row>
    <row r="672" spans="1:5" x14ac:dyDescent="0.2">
      <c r="A672" s="50">
        <v>34183</v>
      </c>
      <c r="B672" s="51">
        <v>3443.6</v>
      </c>
      <c r="C672" s="53">
        <f>(Table26[[#This Row],[M2 Money Stock, Billions of Dollars, Weekly, Seasonally Adjusted]]-B671)/B671</f>
        <v>3.7765447520545192E-4</v>
      </c>
      <c r="D672" s="54">
        <f>((1+Table26[[#This Row],[Weekly change]])^52)-1</f>
        <v>1.9828346560627708E-2</v>
      </c>
      <c r="E672" s="57">
        <f>(Table26[[#This Row],[M2 Money Stock, Billions of Dollars, Weekly, Seasonally Adjusted]]-B620)/B620</f>
        <v>1.5152408466481956E-2</v>
      </c>
    </row>
    <row r="673" spans="1:5" x14ac:dyDescent="0.2">
      <c r="A673" s="50">
        <v>34190</v>
      </c>
      <c r="B673" s="51">
        <v>3446.8</v>
      </c>
      <c r="C673" s="53">
        <f>(Table26[[#This Row],[M2 Money Stock, Billions of Dollars, Weekly, Seasonally Adjusted]]-B672)/B672</f>
        <v>9.2926007666403558E-4</v>
      </c>
      <c r="D673" s="54">
        <f>((1+Table26[[#This Row],[Weekly change]])^52)-1</f>
        <v>4.9484494776015797E-2</v>
      </c>
      <c r="E673" s="57">
        <f>(Table26[[#This Row],[M2 Money Stock, Billions of Dollars, Weekly, Seasonally Adjusted]]-B621)/B621</f>
        <v>1.4719736222326895E-2</v>
      </c>
    </row>
    <row r="674" spans="1:5" x14ac:dyDescent="0.2">
      <c r="A674" s="50">
        <v>34197</v>
      </c>
      <c r="B674" s="51">
        <v>3447.5</v>
      </c>
      <c r="C674" s="53">
        <f>(Table26[[#This Row],[M2 Money Stock, Billions of Dollars, Weekly, Seasonally Adjusted]]-B673)/B673</f>
        <v>2.0308692120222179E-4</v>
      </c>
      <c r="D674" s="54">
        <f>((1+Table26[[#This Row],[Weekly change]])^52)-1</f>
        <v>1.0615395416030404E-2</v>
      </c>
      <c r="E674" s="57">
        <f>(Table26[[#This Row],[M2 Money Stock, Billions of Dollars, Weekly, Seasonally Adjusted]]-B622)/B622</f>
        <v>1.4836183803832708E-2</v>
      </c>
    </row>
    <row r="675" spans="1:5" x14ac:dyDescent="0.2">
      <c r="A675" s="50">
        <v>34204</v>
      </c>
      <c r="B675" s="51">
        <v>3443.9</v>
      </c>
      <c r="C675" s="53">
        <f>(Table26[[#This Row],[M2 Money Stock, Billions of Dollars, Weekly, Seasonally Adjusted]]-B674)/B674</f>
        <v>-1.0442349528643681E-3</v>
      </c>
      <c r="D675" s="54">
        <f>((1+Table26[[#This Row],[Weekly change]])^52)-1</f>
        <v>-5.2879157550607792E-2</v>
      </c>
      <c r="E675" s="57">
        <f>(Table26[[#This Row],[M2 Money Stock, Billions of Dollars, Weekly, Seasonally Adjusted]]-B623)/B623</f>
        <v>1.3299202636302196E-2</v>
      </c>
    </row>
    <row r="676" spans="1:5" x14ac:dyDescent="0.2">
      <c r="A676" s="50">
        <v>34211</v>
      </c>
      <c r="B676" s="51">
        <v>3444.7</v>
      </c>
      <c r="C676" s="53">
        <f>(Table26[[#This Row],[M2 Money Stock, Billions of Dollars, Weekly, Seasonally Adjusted]]-B675)/B675</f>
        <v>2.3229478207837832E-4</v>
      </c>
      <c r="D676" s="54">
        <f>((1+Table26[[#This Row],[Weekly change]])^52)-1</f>
        <v>1.2151158585839594E-2</v>
      </c>
      <c r="E676" s="57">
        <f>(Table26[[#This Row],[M2 Money Stock, Billions of Dollars, Weekly, Seasonally Adjusted]]-B624)/B624</f>
        <v>1.1570199395060533E-2</v>
      </c>
    </row>
    <row r="677" spans="1:5" x14ac:dyDescent="0.2">
      <c r="A677" s="50">
        <v>34218</v>
      </c>
      <c r="B677" s="51">
        <v>3447.6</v>
      </c>
      <c r="C677" s="53">
        <f>(Table26[[#This Row],[M2 Money Stock, Billions of Dollars, Weekly, Seasonally Adjusted]]-B676)/B676</f>
        <v>8.4187302232417661E-4</v>
      </c>
      <c r="D677" s="54">
        <f>((1+Table26[[#This Row],[Weekly change]])^52)-1</f>
        <v>4.4730523582224624E-2</v>
      </c>
      <c r="E677" s="57">
        <f>(Table26[[#This Row],[M2 Money Stock, Billions of Dollars, Weekly, Seasonally Adjusted]]-B625)/B625</f>
        <v>1.3076312773647557E-2</v>
      </c>
    </row>
    <row r="678" spans="1:5" x14ac:dyDescent="0.2">
      <c r="A678" s="50">
        <v>34225</v>
      </c>
      <c r="B678" s="51">
        <v>3453.1</v>
      </c>
      <c r="C678" s="53">
        <f>(Table26[[#This Row],[M2 Money Stock, Billions of Dollars, Weekly, Seasonally Adjusted]]-B677)/B677</f>
        <v>1.5953126812855321E-3</v>
      </c>
      <c r="D678" s="54">
        <f>((1+Table26[[#This Row],[Weekly change]])^52)-1</f>
        <v>8.6422468406778696E-2</v>
      </c>
      <c r="E678" s="57">
        <f>(Table26[[#This Row],[M2 Money Stock, Billions of Dollars, Weekly, Seasonally Adjusted]]-B626)/B626</f>
        <v>1.3025493589931672E-2</v>
      </c>
    </row>
    <row r="679" spans="1:5" x14ac:dyDescent="0.2">
      <c r="A679" s="50">
        <v>34232</v>
      </c>
      <c r="B679" s="51">
        <v>3453.7</v>
      </c>
      <c r="C679" s="53">
        <f>(Table26[[#This Row],[M2 Money Stock, Billions of Dollars, Weekly, Seasonally Adjusted]]-B678)/B678</f>
        <v>1.7375691407717965E-4</v>
      </c>
      <c r="D679" s="54">
        <f>((1+Table26[[#This Row],[Weekly change]])^52)-1</f>
        <v>9.0755095981027711E-3</v>
      </c>
      <c r="E679" s="57">
        <f>(Table26[[#This Row],[M2 Money Stock, Billions of Dollars, Weekly, Seasonally Adjusted]]-B627)/B627</f>
        <v>1.210291876685023E-2</v>
      </c>
    </row>
    <row r="680" spans="1:5" x14ac:dyDescent="0.2">
      <c r="A680" s="50">
        <v>34239</v>
      </c>
      <c r="B680" s="51">
        <v>3453.4</v>
      </c>
      <c r="C680" s="53">
        <f>(Table26[[#This Row],[M2 Money Stock, Billions of Dollars, Weekly, Seasonally Adjusted]]-B679)/B679</f>
        <v>-8.6863363928461407E-5</v>
      </c>
      <c r="D680" s="54">
        <f>((1+Table26[[#This Row],[Weekly change]])^52)-1</f>
        <v>-4.5069043998046121E-3</v>
      </c>
      <c r="E680" s="57">
        <f>(Table26[[#This Row],[M2 Money Stock, Billions of Dollars, Weekly, Seasonally Adjusted]]-B628)/B628</f>
        <v>1.0859702016801776E-2</v>
      </c>
    </row>
    <row r="681" spans="1:5" x14ac:dyDescent="0.2">
      <c r="A681" s="50">
        <v>34246</v>
      </c>
      <c r="B681" s="51">
        <v>3453.3</v>
      </c>
      <c r="C681" s="53">
        <f>(Table26[[#This Row],[M2 Money Stock, Billions of Dollars, Weekly, Seasonally Adjusted]]-B680)/B680</f>
        <v>-2.8956969942638863E-5</v>
      </c>
      <c r="D681" s="54">
        <f>((1+Table26[[#This Row],[Weekly change]])^52)-1</f>
        <v>-1.5046511143275154E-3</v>
      </c>
      <c r="E681" s="57">
        <f>(Table26[[#This Row],[M2 Money Stock, Billions of Dollars, Weekly, Seasonally Adjusted]]-B629)/B629</f>
        <v>1.1629950785094994E-2</v>
      </c>
    </row>
    <row r="682" spans="1:5" x14ac:dyDescent="0.2">
      <c r="A682" s="50">
        <v>34253</v>
      </c>
      <c r="B682" s="51">
        <v>3457.8</v>
      </c>
      <c r="C682" s="53">
        <f>(Table26[[#This Row],[M2 Money Stock, Billions of Dollars, Weekly, Seasonally Adjusted]]-B681)/B681</f>
        <v>1.3031013812874641E-3</v>
      </c>
      <c r="D682" s="54">
        <f>((1+Table26[[#This Row],[Weekly change]])^52)-1</f>
        <v>7.0062609422108846E-2</v>
      </c>
      <c r="E682" s="57">
        <f>(Table26[[#This Row],[M2 Money Stock, Billions of Dollars, Weekly, Seasonally Adjusted]]-B630)/B630</f>
        <v>1.0166520595968502E-2</v>
      </c>
    </row>
    <row r="683" spans="1:5" x14ac:dyDescent="0.2">
      <c r="A683" s="50">
        <v>34260</v>
      </c>
      <c r="B683" s="51">
        <v>3453.6</v>
      </c>
      <c r="C683" s="53">
        <f>(Table26[[#This Row],[M2 Money Stock, Billions of Dollars, Weekly, Seasonally Adjusted]]-B682)/B682</f>
        <v>-1.2146451500955153E-3</v>
      </c>
      <c r="D683" s="54">
        <f>((1+Table26[[#This Row],[Weekly change]])^52)-1</f>
        <v>-6.1244238334183465E-2</v>
      </c>
      <c r="E683" s="57">
        <f>(Table26[[#This Row],[M2 Money Stock, Billions of Dollars, Weekly, Seasonally Adjusted]]-B631)/B631</f>
        <v>9.3818500657606042E-3</v>
      </c>
    </row>
    <row r="684" spans="1:5" x14ac:dyDescent="0.2">
      <c r="A684" s="50">
        <v>34267</v>
      </c>
      <c r="B684" s="51">
        <v>3453.7</v>
      </c>
      <c r="C684" s="53">
        <f>(Table26[[#This Row],[M2 Money Stock, Billions of Dollars, Weekly, Seasonally Adjusted]]-B683)/B683</f>
        <v>2.8955293027539106E-5</v>
      </c>
      <c r="D684" s="54">
        <f>((1+Table26[[#This Row],[Weekly change]])^52)-1</f>
        <v>1.5067875044509904E-3</v>
      </c>
      <c r="E684" s="57">
        <f>(Table26[[#This Row],[M2 Money Stock, Billions of Dollars, Weekly, Seasonally Adjusted]]-B632)/B632</f>
        <v>7.1445235040242623E-3</v>
      </c>
    </row>
    <row r="685" spans="1:5" x14ac:dyDescent="0.2">
      <c r="A685" s="50">
        <v>34274</v>
      </c>
      <c r="B685" s="51">
        <v>3464.7</v>
      </c>
      <c r="C685" s="53">
        <f>(Table26[[#This Row],[M2 Money Stock, Billions of Dollars, Weekly, Seasonally Adjusted]]-B684)/B684</f>
        <v>3.1849900107131482E-3</v>
      </c>
      <c r="D685" s="54">
        <f>((1+Table26[[#This Row],[Weekly change]])^52)-1</f>
        <v>0.17981340079180042</v>
      </c>
      <c r="E685" s="57">
        <f>(Table26[[#This Row],[M2 Money Stock, Billions of Dollars, Weekly, Seasonally Adjusted]]-B633)/B633</f>
        <v>9.8516424261854696E-3</v>
      </c>
    </row>
    <row r="686" spans="1:5" x14ac:dyDescent="0.2">
      <c r="A686" s="50">
        <v>34281</v>
      </c>
      <c r="B686" s="51">
        <v>3466.7</v>
      </c>
      <c r="C686" s="53">
        <f>(Table26[[#This Row],[M2 Money Stock, Billions of Dollars, Weekly, Seasonally Adjusted]]-B685)/B685</f>
        <v>5.7725055560365983E-4</v>
      </c>
      <c r="D686" s="54">
        <f>((1+Table26[[#This Row],[Weekly change]])^52)-1</f>
        <v>3.0463157400627328E-2</v>
      </c>
      <c r="E686" s="57">
        <f>(Table26[[#This Row],[M2 Money Stock, Billions of Dollars, Weekly, Seasonally Adjusted]]-B634)/B634</f>
        <v>1.0552397609677836E-2</v>
      </c>
    </row>
    <row r="687" spans="1:5" x14ac:dyDescent="0.2">
      <c r="A687" s="50">
        <v>34288</v>
      </c>
      <c r="B687" s="51">
        <v>3473.2</v>
      </c>
      <c r="C687" s="53">
        <f>(Table26[[#This Row],[M2 Money Stock, Billions of Dollars, Weekly, Seasonally Adjusted]]-B686)/B686</f>
        <v>1.874981971327199E-3</v>
      </c>
      <c r="D687" s="54">
        <f>((1+Table26[[#This Row],[Weekly change]])^52)-1</f>
        <v>0.1023097731715461</v>
      </c>
      <c r="E687" s="57">
        <f>(Table26[[#This Row],[M2 Money Stock, Billions of Dollars, Weekly, Seasonally Adjusted]]-B635)/B635</f>
        <v>1.3096870168888263E-2</v>
      </c>
    </row>
    <row r="688" spans="1:5" x14ac:dyDescent="0.2">
      <c r="A688" s="50">
        <v>34295</v>
      </c>
      <c r="B688" s="51">
        <v>3470.8</v>
      </c>
      <c r="C688" s="53">
        <f>(Table26[[#This Row],[M2 Money Stock, Billions of Dollars, Weekly, Seasonally Adjusted]]-B687)/B687</f>
        <v>-6.9100541287562948E-4</v>
      </c>
      <c r="D688" s="54">
        <f>((1+Table26[[#This Row],[Weekly change]])^52)-1</f>
        <v>-3.5306362258914481E-2</v>
      </c>
      <c r="E688" s="57">
        <f>(Table26[[#This Row],[M2 Money Stock, Billions of Dollars, Weekly, Seasonally Adjusted]]-B636)/B636</f>
        <v>1.4408884991962643E-2</v>
      </c>
    </row>
    <row r="689" spans="1:5" x14ac:dyDescent="0.2">
      <c r="A689" s="50">
        <v>34302</v>
      </c>
      <c r="B689" s="51">
        <v>3469.6</v>
      </c>
      <c r="C689" s="53">
        <f>(Table26[[#This Row],[M2 Money Stock, Billions of Dollars, Weekly, Seasonally Adjusted]]-B688)/B688</f>
        <v>-3.4574161576589628E-4</v>
      </c>
      <c r="D689" s="54">
        <f>((1+Table26[[#This Row],[Weekly change]])^52)-1</f>
        <v>-1.7820967122037512E-2</v>
      </c>
      <c r="E689" s="57">
        <f>(Table26[[#This Row],[M2 Money Stock, Billions of Dollars, Weekly, Seasonally Adjusted]]-B637)/B637</f>
        <v>1.3228981105627348E-2</v>
      </c>
    </row>
    <row r="690" spans="1:5" x14ac:dyDescent="0.2">
      <c r="A690" s="50">
        <v>34309</v>
      </c>
      <c r="B690" s="51">
        <v>3476.2</v>
      </c>
      <c r="C690" s="53">
        <f>(Table26[[#This Row],[M2 Money Stock, Billions of Dollars, Weekly, Seasonally Adjusted]]-B689)/B689</f>
        <v>1.9022365690569256E-3</v>
      </c>
      <c r="D690" s="54">
        <f>((1+Table26[[#This Row],[Weekly change]])^52)-1</f>
        <v>0.10387016815184591</v>
      </c>
      <c r="E690" s="57">
        <f>(Table26[[#This Row],[M2 Money Stock, Billions of Dollars, Weekly, Seasonally Adjusted]]-B638)/B638</f>
        <v>1.4149429646701871E-2</v>
      </c>
    </row>
    <row r="691" spans="1:5" x14ac:dyDescent="0.2">
      <c r="A691" s="50">
        <v>34316</v>
      </c>
      <c r="B691" s="51">
        <v>3477.8</v>
      </c>
      <c r="C691" s="53">
        <f>(Table26[[#This Row],[M2 Money Stock, Billions of Dollars, Weekly, Seasonally Adjusted]]-B690)/B690</f>
        <v>4.602727115817168E-4</v>
      </c>
      <c r="D691" s="54">
        <f>((1+Table26[[#This Row],[Weekly change]])^52)-1</f>
        <v>2.4217262545183083E-2</v>
      </c>
      <c r="E691" s="57">
        <f>(Table26[[#This Row],[M2 Money Stock, Billions of Dollars, Weekly, Seasonally Adjusted]]-B639)/B639</f>
        <v>1.440905378602266E-2</v>
      </c>
    </row>
    <row r="692" spans="1:5" x14ac:dyDescent="0.2">
      <c r="A692" s="50">
        <v>34323</v>
      </c>
      <c r="B692" s="51">
        <v>3473.6</v>
      </c>
      <c r="C692" s="53">
        <f>(Table26[[#This Row],[M2 Money Stock, Billions of Dollars, Weekly, Seasonally Adjusted]]-B691)/B691</f>
        <v>-1.2076600149520595E-3</v>
      </c>
      <c r="D692" s="54">
        <f>((1+Table26[[#This Row],[Weekly change]])^52)-1</f>
        <v>-6.0902781303346476E-2</v>
      </c>
      <c r="E692" s="57">
        <f>(Table26[[#This Row],[M2 Money Stock, Billions of Dollars, Weekly, Seasonally Adjusted]]-B640)/B640</f>
        <v>1.5197568389057751E-2</v>
      </c>
    </row>
    <row r="693" spans="1:5" x14ac:dyDescent="0.2">
      <c r="A693" s="50">
        <v>34330</v>
      </c>
      <c r="B693" s="51">
        <v>3474.6</v>
      </c>
      <c r="C693" s="53">
        <f>(Table26[[#This Row],[M2 Money Stock, Billions of Dollars, Weekly, Seasonally Adjusted]]-B692)/B692</f>
        <v>2.8788576692768313E-4</v>
      </c>
      <c r="D693" s="54">
        <f>((1+Table26[[#This Row],[Weekly change]])^52)-1</f>
        <v>1.5080485551802525E-2</v>
      </c>
      <c r="E693" s="57">
        <f>(Table26[[#This Row],[M2 Money Stock, Billions of Dollars, Weekly, Seasonally Adjusted]]-B641)/B641</f>
        <v>1.5044842394320938E-2</v>
      </c>
    </row>
    <row r="694" spans="1:5" x14ac:dyDescent="0.2">
      <c r="A694" s="50">
        <v>34337</v>
      </c>
      <c r="B694" s="51">
        <v>3467.3</v>
      </c>
      <c r="C694" s="53">
        <f>(Table26[[#This Row],[M2 Money Stock, Billions of Dollars, Weekly, Seasonally Adjusted]]-B693)/B693</f>
        <v>-2.1009612617278904E-3</v>
      </c>
      <c r="D694" s="54">
        <f>((1+Table26[[#This Row],[Weekly change]])^52)-1</f>
        <v>-0.10359675013763048</v>
      </c>
      <c r="E694" s="57">
        <f>(Table26[[#This Row],[M2 Money Stock, Billions of Dollars, Weekly, Seasonally Adjusted]]-B642)/B642</f>
        <v>1.4215930031883572E-2</v>
      </c>
    </row>
    <row r="695" spans="1:5" x14ac:dyDescent="0.2">
      <c r="A695" s="50">
        <v>34344</v>
      </c>
      <c r="B695" s="51">
        <v>3473.8</v>
      </c>
      <c r="C695" s="53">
        <f>(Table26[[#This Row],[M2 Money Stock, Billions of Dollars, Weekly, Seasonally Adjusted]]-B694)/B694</f>
        <v>1.8746575144925445E-3</v>
      </c>
      <c r="D695" s="54">
        <f>((1+Table26[[#This Row],[Weekly change]])^52)-1</f>
        <v>0.10229121022943843</v>
      </c>
      <c r="E695" s="57">
        <f>(Table26[[#This Row],[M2 Money Stock, Billions of Dollars, Weekly, Seasonally Adjusted]]-B643)/B643</f>
        <v>1.5078019987142881E-2</v>
      </c>
    </row>
    <row r="696" spans="1:5" x14ac:dyDescent="0.2">
      <c r="A696" s="50">
        <v>34351</v>
      </c>
      <c r="B696" s="51">
        <v>3478.1</v>
      </c>
      <c r="C696" s="53">
        <f>(Table26[[#This Row],[M2 Money Stock, Billions of Dollars, Weekly, Seasonally Adjusted]]-B695)/B695</f>
        <v>1.2378375266278217E-3</v>
      </c>
      <c r="D696" s="54">
        <f>((1+Table26[[#This Row],[Weekly change]])^52)-1</f>
        <v>6.6441863486254471E-2</v>
      </c>
      <c r="E696" s="57">
        <f>(Table26[[#This Row],[M2 Money Stock, Billions of Dollars, Weekly, Seasonally Adjusted]]-B644)/B644</f>
        <v>1.794076328728627E-2</v>
      </c>
    </row>
    <row r="697" spans="1:5" x14ac:dyDescent="0.2">
      <c r="A697" s="50">
        <v>34358</v>
      </c>
      <c r="B697" s="51">
        <v>3477.1</v>
      </c>
      <c r="C697" s="53">
        <f>(Table26[[#This Row],[M2 Money Stock, Billions of Dollars, Weekly, Seasonally Adjusted]]-B696)/B696</f>
        <v>-2.875132974900089E-4</v>
      </c>
      <c r="D697" s="54">
        <f>((1+Table26[[#This Row],[Weekly change]])^52)-1</f>
        <v>-1.4841602548241184E-2</v>
      </c>
      <c r="E697" s="57">
        <f>(Table26[[#This Row],[M2 Money Stock, Billions of Dollars, Weekly, Seasonally Adjusted]]-B645)/B645</f>
        <v>1.8035426731078878E-2</v>
      </c>
    </row>
    <row r="698" spans="1:5" x14ac:dyDescent="0.2">
      <c r="A698" s="50">
        <v>34365</v>
      </c>
      <c r="B698" s="51">
        <v>3473.9</v>
      </c>
      <c r="C698" s="53">
        <f>(Table26[[#This Row],[M2 Money Stock, Billions of Dollars, Weekly, Seasonally Adjusted]]-B697)/B697</f>
        <v>-9.2030715251209864E-4</v>
      </c>
      <c r="D698" s="54">
        <f>((1+Table26[[#This Row],[Weekly change]])^52)-1</f>
        <v>-4.6749929748246433E-2</v>
      </c>
      <c r="E698" s="57">
        <f>(Table26[[#This Row],[M2 Money Stock, Billions of Dollars, Weekly, Seasonally Adjusted]]-B646)/B646</f>
        <v>1.7277226273097308E-2</v>
      </c>
    </row>
    <row r="699" spans="1:5" x14ac:dyDescent="0.2">
      <c r="A699" s="50">
        <v>34372</v>
      </c>
      <c r="B699" s="51">
        <v>3474.6</v>
      </c>
      <c r="C699" s="53">
        <f>(Table26[[#This Row],[M2 Money Stock, Billions of Dollars, Weekly, Seasonally Adjusted]]-B698)/B698</f>
        <v>2.0150263392723397E-4</v>
      </c>
      <c r="D699" s="54">
        <f>((1+Table26[[#This Row],[Weekly change]])^52)-1</f>
        <v>1.0532158217425813E-2</v>
      </c>
      <c r="E699" s="57">
        <f>(Table26[[#This Row],[M2 Money Stock, Billions of Dollars, Weekly, Seasonally Adjusted]]-B647)/B647</f>
        <v>1.8914401337204189E-2</v>
      </c>
    </row>
    <row r="700" spans="1:5" x14ac:dyDescent="0.2">
      <c r="A700" s="50">
        <v>34379</v>
      </c>
      <c r="B700" s="51">
        <v>3478.7</v>
      </c>
      <c r="C700" s="53">
        <f>(Table26[[#This Row],[M2 Money Stock, Billions of Dollars, Weekly, Seasonally Adjusted]]-B699)/B699</f>
        <v>1.1799919415184221E-3</v>
      </c>
      <c r="D700" s="54">
        <f>((1+Table26[[#This Row],[Weekly change]])^52)-1</f>
        <v>6.3242719266682901E-2</v>
      </c>
      <c r="E700" s="57">
        <f>(Table26[[#This Row],[M2 Money Stock, Billions of Dollars, Weekly, Seasonally Adjusted]]-B648)/B648</f>
        <v>1.8772330580448634E-2</v>
      </c>
    </row>
    <row r="701" spans="1:5" x14ac:dyDescent="0.2">
      <c r="A701" s="50">
        <v>34386</v>
      </c>
      <c r="B701" s="51">
        <v>3475.4</v>
      </c>
      <c r="C701" s="53">
        <f>(Table26[[#This Row],[M2 Money Stock, Billions of Dollars, Weekly, Seasonally Adjusted]]-B700)/B700</f>
        <v>-9.4863023543269819E-4</v>
      </c>
      <c r="D701" s="54">
        <f>((1+Table26[[#This Row],[Weekly change]])^52)-1</f>
        <v>-4.8154154627796819E-2</v>
      </c>
      <c r="E701" s="57">
        <f>(Table26[[#This Row],[M2 Money Stock, Billions of Dollars, Weekly, Seasonally Adjusted]]-B649)/B649</f>
        <v>1.7478115759580842E-2</v>
      </c>
    </row>
    <row r="702" spans="1:5" x14ac:dyDescent="0.2">
      <c r="A702" s="50">
        <v>34393</v>
      </c>
      <c r="B702" s="51">
        <v>3474.2</v>
      </c>
      <c r="C702" s="53">
        <f>(Table26[[#This Row],[M2 Money Stock, Billions of Dollars, Weekly, Seasonally Adjusted]]-B701)/B701</f>
        <v>-3.4528399608685985E-4</v>
      </c>
      <c r="D702" s="54">
        <f>((1+Table26[[#This Row],[Weekly change]])^52)-1</f>
        <v>-1.7797586613994665E-2</v>
      </c>
      <c r="E702" s="57">
        <f>(Table26[[#This Row],[M2 Money Stock, Billions of Dollars, Weekly, Seasonally Adjusted]]-B650)/B650</f>
        <v>1.742466395290948E-2</v>
      </c>
    </row>
    <row r="703" spans="1:5" x14ac:dyDescent="0.2">
      <c r="A703" s="50">
        <v>34400</v>
      </c>
      <c r="B703" s="51">
        <v>3478</v>
      </c>
      <c r="C703" s="53">
        <f>(Table26[[#This Row],[M2 Money Stock, Billions of Dollars, Weekly, Seasonally Adjusted]]-B702)/B702</f>
        <v>1.0937769846296073E-3</v>
      </c>
      <c r="D703" s="54">
        <f>((1+Table26[[#This Row],[Weekly change]])^52)-1</f>
        <v>5.8492071039378146E-2</v>
      </c>
      <c r="E703" s="57">
        <f>(Table26[[#This Row],[M2 Money Stock, Billions of Dollars, Weekly, Seasonally Adjusted]]-B651)/B651</f>
        <v>1.9492891689872491E-2</v>
      </c>
    </row>
    <row r="704" spans="1:5" x14ac:dyDescent="0.2">
      <c r="A704" s="50">
        <v>34407</v>
      </c>
      <c r="B704" s="51">
        <v>3483.5</v>
      </c>
      <c r="C704" s="53">
        <f>(Table26[[#This Row],[M2 Money Stock, Billions of Dollars, Weekly, Seasonally Adjusted]]-B703)/B703</f>
        <v>1.5813686026451984E-3</v>
      </c>
      <c r="D704" s="54">
        <f>((1+Table26[[#This Row],[Weekly change]])^52)-1</f>
        <v>8.5636245934630484E-2</v>
      </c>
      <c r="E704" s="57">
        <f>(Table26[[#This Row],[M2 Money Stock, Billions of Dollars, Weekly, Seasonally Adjusted]]-B652)/B652</f>
        <v>2.1224824836563013E-2</v>
      </c>
    </row>
    <row r="705" spans="1:5" x14ac:dyDescent="0.2">
      <c r="A705" s="50">
        <v>34414</v>
      </c>
      <c r="B705" s="51">
        <v>3481.9</v>
      </c>
      <c r="C705" s="53">
        <f>(Table26[[#This Row],[M2 Money Stock, Billions of Dollars, Weekly, Seasonally Adjusted]]-B704)/B704</f>
        <v>-4.5930816707331966E-4</v>
      </c>
      <c r="D705" s="54">
        <f>((1+Table26[[#This Row],[Weekly change]])^52)-1</f>
        <v>-2.3606415872480579E-2</v>
      </c>
      <c r="E705" s="57">
        <f>(Table26[[#This Row],[M2 Money Stock, Billions of Dollars, Weekly, Seasonally Adjusted]]-B653)/B653</f>
        <v>2.120483341154393E-2</v>
      </c>
    </row>
    <row r="706" spans="1:5" x14ac:dyDescent="0.2">
      <c r="A706" s="50">
        <v>34421</v>
      </c>
      <c r="B706" s="51">
        <v>3477.5</v>
      </c>
      <c r="C706" s="53">
        <f>(Table26[[#This Row],[M2 Money Stock, Billions of Dollars, Weekly, Seasonally Adjusted]]-B705)/B705</f>
        <v>-1.2636778770211926E-3</v>
      </c>
      <c r="D706" s="54">
        <f>((1+Table26[[#This Row],[Weekly change]])^52)-1</f>
        <v>-6.3637698870669723E-2</v>
      </c>
      <c r="E706" s="57">
        <f>(Table26[[#This Row],[M2 Money Stock, Billions of Dollars, Weekly, Seasonally Adjusted]]-B654)/B654</f>
        <v>1.9884447312080295E-2</v>
      </c>
    </row>
    <row r="707" spans="1:5" x14ac:dyDescent="0.2">
      <c r="A707" s="50">
        <v>34428</v>
      </c>
      <c r="B707" s="51">
        <v>3479.4</v>
      </c>
      <c r="C707" s="53">
        <f>(Table26[[#This Row],[M2 Money Stock, Billions of Dollars, Weekly, Seasonally Adjusted]]-B706)/B706</f>
        <v>5.4636951833216126E-4</v>
      </c>
      <c r="D707" s="54">
        <f>((1+Table26[[#This Row],[Weekly change]])^52)-1</f>
        <v>2.8810680817416223E-2</v>
      </c>
      <c r="E707" s="57">
        <f>(Table26[[#This Row],[M2 Money Stock, Billions of Dollars, Weekly, Seasonally Adjusted]]-B655)/B655</f>
        <v>2.0621278343257804E-2</v>
      </c>
    </row>
    <row r="708" spans="1:5" x14ac:dyDescent="0.2">
      <c r="A708" s="50">
        <v>34435</v>
      </c>
      <c r="B708" s="51">
        <v>3483.3</v>
      </c>
      <c r="C708" s="53">
        <f>(Table26[[#This Row],[M2 Money Stock, Billions of Dollars, Weekly, Seasonally Adjusted]]-B707)/B707</f>
        <v>1.1208829108467239E-3</v>
      </c>
      <c r="D708" s="54">
        <f>((1+Table26[[#This Row],[Weekly change]])^52)-1</f>
        <v>5.9983423625187049E-2</v>
      </c>
      <c r="E708" s="57">
        <f>(Table26[[#This Row],[M2 Money Stock, Billions of Dollars, Weekly, Seasonally Adjusted]]-B656)/B656</f>
        <v>2.1465646168734136E-2</v>
      </c>
    </row>
    <row r="709" spans="1:5" x14ac:dyDescent="0.2">
      <c r="A709" s="50">
        <v>34442</v>
      </c>
      <c r="B709" s="51">
        <v>3476.1</v>
      </c>
      <c r="C709" s="53">
        <f>(Table26[[#This Row],[M2 Money Stock, Billions of Dollars, Weekly, Seasonally Adjusted]]-B708)/B708</f>
        <v>-2.067005425889321E-3</v>
      </c>
      <c r="D709" s="54">
        <f>((1+Table26[[#This Row],[Weekly change]])^52)-1</f>
        <v>-0.10200925840154951</v>
      </c>
      <c r="E709" s="57">
        <f>(Table26[[#This Row],[M2 Money Stock, Billions of Dollars, Weekly, Seasonally Adjusted]]-B657)/B657</f>
        <v>2.0851076326686441E-2</v>
      </c>
    </row>
    <row r="710" spans="1:5" x14ac:dyDescent="0.2">
      <c r="A710" s="50">
        <v>34449</v>
      </c>
      <c r="B710" s="51">
        <v>3480.1</v>
      </c>
      <c r="C710" s="53">
        <f>(Table26[[#This Row],[M2 Money Stock, Billions of Dollars, Weekly, Seasonally Adjusted]]-B709)/B709</f>
        <v>1.1507148816202067E-3</v>
      </c>
      <c r="D710" s="54">
        <f>((1+Table26[[#This Row],[Weekly change]])^52)-1</f>
        <v>6.16271437959377E-2</v>
      </c>
      <c r="E710" s="57">
        <f>(Table26[[#This Row],[M2 Money Stock, Billions of Dollars, Weekly, Seasonally Adjusted]]-B658)/B658</f>
        <v>2.022807891882384E-2</v>
      </c>
    </row>
    <row r="711" spans="1:5" x14ac:dyDescent="0.2">
      <c r="A711" s="50">
        <v>34456</v>
      </c>
      <c r="B711" s="51">
        <v>3488.9</v>
      </c>
      <c r="C711" s="53">
        <f>(Table26[[#This Row],[M2 Money Stock, Billions of Dollars, Weekly, Seasonally Adjusted]]-B710)/B710</f>
        <v>2.528662969454953E-3</v>
      </c>
      <c r="D711" s="54">
        <f>((1+Table26[[#This Row],[Weekly change]])^52)-1</f>
        <v>0.14033776839835266</v>
      </c>
      <c r="E711" s="57">
        <f>(Table26[[#This Row],[M2 Money Stock, Billions of Dollars, Weekly, Seasonally Adjusted]]-B659)/B659</f>
        <v>1.8508246971245101E-2</v>
      </c>
    </row>
    <row r="712" spans="1:5" x14ac:dyDescent="0.2">
      <c r="A712" s="50">
        <v>34463</v>
      </c>
      <c r="B712" s="51">
        <v>3494.2</v>
      </c>
      <c r="C712" s="53">
        <f>(Table26[[#This Row],[M2 Money Stock, Billions of Dollars, Weekly, Seasonally Adjusted]]-B711)/B711</f>
        <v>1.5191034423456468E-3</v>
      </c>
      <c r="D712" s="54">
        <f>((1+Table26[[#This Row],[Weekly change]])^52)-1</f>
        <v>8.2132293098791553E-2</v>
      </c>
      <c r="E712" s="57">
        <f>(Table26[[#This Row],[M2 Money Stock, Billions of Dollars, Weekly, Seasonally Adjusted]]-B660)/B660</f>
        <v>1.6524117065223637E-2</v>
      </c>
    </row>
    <row r="713" spans="1:5" x14ac:dyDescent="0.2">
      <c r="A713" s="50">
        <v>34470</v>
      </c>
      <c r="B713" s="51">
        <v>3492.9</v>
      </c>
      <c r="C713" s="53">
        <f>(Table26[[#This Row],[M2 Money Stock, Billions of Dollars, Weekly, Seasonally Adjusted]]-B712)/B712</f>
        <v>-3.7204510331398524E-4</v>
      </c>
      <c r="D713" s="54">
        <f>((1+Table26[[#This Row],[Weekly change]])^52)-1</f>
        <v>-1.9163936617174193E-2</v>
      </c>
      <c r="E713" s="57">
        <f>(Table26[[#This Row],[M2 Money Stock, Billions of Dollars, Weekly, Seasonally Adjusted]]-B661)/B661</f>
        <v>1.620505062259987E-2</v>
      </c>
    </row>
    <row r="714" spans="1:5" x14ac:dyDescent="0.2">
      <c r="A714" s="50">
        <v>34477</v>
      </c>
      <c r="B714" s="51">
        <v>3491.2</v>
      </c>
      <c r="C714" s="53">
        <f>(Table26[[#This Row],[M2 Money Stock, Billions of Dollars, Weekly, Seasonally Adjusted]]-B713)/B713</f>
        <v>-4.8670159466353827E-4</v>
      </c>
      <c r="D714" s="54">
        <f>((1+Table26[[#This Row],[Weekly change]])^52)-1</f>
        <v>-2.4996914877489562E-2</v>
      </c>
      <c r="E714" s="57">
        <f>(Table26[[#This Row],[M2 Money Stock, Billions of Dollars, Weekly, Seasonally Adjusted]]-B662)/B662</f>
        <v>1.6568150714847168E-2</v>
      </c>
    </row>
    <row r="715" spans="1:5" x14ac:dyDescent="0.2">
      <c r="A715" s="50">
        <v>34484</v>
      </c>
      <c r="B715" s="51">
        <v>3486.8</v>
      </c>
      <c r="C715" s="53">
        <f>(Table26[[#This Row],[M2 Money Stock, Billions of Dollars, Weekly, Seasonally Adjusted]]-B714)/B714</f>
        <v>-1.2603116406965044E-3</v>
      </c>
      <c r="D715" s="54">
        <f>((1+Table26[[#This Row],[Weekly change]])^52)-1</f>
        <v>-6.3473572506649867E-2</v>
      </c>
      <c r="E715" s="57">
        <f>(Table26[[#This Row],[M2 Money Stock, Billions of Dollars, Weekly, Seasonally Adjusted]]-B663)/B663</f>
        <v>1.1986649252648435E-2</v>
      </c>
    </row>
    <row r="716" spans="1:5" x14ac:dyDescent="0.2">
      <c r="A716" s="50">
        <v>34491</v>
      </c>
      <c r="B716" s="51">
        <v>3481.6</v>
      </c>
      <c r="C716" s="53">
        <f>(Table26[[#This Row],[M2 Money Stock, Billions of Dollars, Weekly, Seasonally Adjusted]]-B715)/B715</f>
        <v>-1.4913387633360882E-3</v>
      </c>
      <c r="D716" s="54">
        <f>((1+Table26[[#This Row],[Weekly change]])^52)-1</f>
        <v>-7.4672453313813447E-2</v>
      </c>
      <c r="E716" s="57">
        <f>(Table26[[#This Row],[M2 Money Stock, Billions of Dollars, Weekly, Seasonally Adjusted]]-B664)/B664</f>
        <v>1.0741450386111595E-2</v>
      </c>
    </row>
    <row r="717" spans="1:5" x14ac:dyDescent="0.2">
      <c r="A717" s="50">
        <v>34498</v>
      </c>
      <c r="B717" s="51">
        <v>3480</v>
      </c>
      <c r="C717" s="53">
        <f>(Table26[[#This Row],[M2 Money Stock, Billions of Dollars, Weekly, Seasonally Adjusted]]-B716)/B716</f>
        <v>-4.5955882352938563E-4</v>
      </c>
      <c r="D717" s="54">
        <f>((1+Table26[[#This Row],[Weekly change]])^52)-1</f>
        <v>-2.3619148085601727E-2</v>
      </c>
      <c r="E717" s="57">
        <f>(Table26[[#This Row],[M2 Money Stock, Billions of Dollars, Weekly, Seasonally Adjusted]]-B665)/B665</f>
        <v>9.8079043584238246E-3</v>
      </c>
    </row>
    <row r="718" spans="1:5" x14ac:dyDescent="0.2">
      <c r="A718" s="50">
        <v>34505</v>
      </c>
      <c r="B718" s="51">
        <v>3476.4</v>
      </c>
      <c r="C718" s="53">
        <f>(Table26[[#This Row],[M2 Money Stock, Billions of Dollars, Weekly, Seasonally Adjusted]]-B717)/B717</f>
        <v>-1.0344827586206634E-3</v>
      </c>
      <c r="D718" s="54">
        <f>((1+Table26[[#This Row],[Weekly change]])^52)-1</f>
        <v>-5.2398237437410899E-2</v>
      </c>
      <c r="E718" s="57">
        <f>(Table26[[#This Row],[M2 Money Stock, Billions of Dollars, Weekly, Seasonally Adjusted]]-B666)/B666</f>
        <v>9.9355063622102949E-3</v>
      </c>
    </row>
    <row r="719" spans="1:5" x14ac:dyDescent="0.2">
      <c r="A719" s="50">
        <v>34512</v>
      </c>
      <c r="B719" s="51">
        <v>3480.7</v>
      </c>
      <c r="C719" s="53">
        <f>(Table26[[#This Row],[M2 Money Stock, Billions of Dollars, Weekly, Seasonally Adjusted]]-B718)/B718</f>
        <v>1.2369117477849865E-3</v>
      </c>
      <c r="D719" s="54">
        <f>((1+Table26[[#This Row],[Weekly change]])^52)-1</f>
        <v>6.6390589121708254E-2</v>
      </c>
      <c r="E719" s="57">
        <f>(Table26[[#This Row],[M2 Money Stock, Billions of Dollars, Weekly, Seasonally Adjusted]]-B667)/B667</f>
        <v>1.2361119190273981E-2</v>
      </c>
    </row>
    <row r="720" spans="1:5" x14ac:dyDescent="0.2">
      <c r="A720" s="50">
        <v>34519</v>
      </c>
      <c r="B720" s="51">
        <v>3478.4</v>
      </c>
      <c r="C720" s="53">
        <f>(Table26[[#This Row],[M2 Money Stock, Billions of Dollars, Weekly, Seasonally Adjusted]]-B719)/B719</f>
        <v>-6.6078662338027612E-4</v>
      </c>
      <c r="D720" s="54">
        <f>((1+Table26[[#This Row],[Weekly change]])^52)-1</f>
        <v>-3.3788246270276212E-2</v>
      </c>
      <c r="E720" s="57">
        <f>(Table26[[#This Row],[M2 Money Stock, Billions of Dollars, Weekly, Seasonally Adjusted]]-B668)/B668</f>
        <v>1.2310468263438254E-2</v>
      </c>
    </row>
    <row r="721" spans="1:5" x14ac:dyDescent="0.2">
      <c r="A721" s="50">
        <v>34526</v>
      </c>
      <c r="B721" s="51">
        <v>3487.2</v>
      </c>
      <c r="C721" s="53">
        <f>(Table26[[#This Row],[M2 Money Stock, Billions of Dollars, Weekly, Seasonally Adjusted]]-B720)/B720</f>
        <v>2.5298988040477594E-3</v>
      </c>
      <c r="D721" s="54">
        <f>((1+Table26[[#This Row],[Weekly change]])^52)-1</f>
        <v>0.14041086783893508</v>
      </c>
      <c r="E721" s="57">
        <f>(Table26[[#This Row],[M2 Money Stock, Billions of Dollars, Weekly, Seasonally Adjusted]]-B669)/B669</f>
        <v>1.2631762348636642E-2</v>
      </c>
    </row>
    <row r="722" spans="1:5" x14ac:dyDescent="0.2">
      <c r="A722" s="50">
        <v>34533</v>
      </c>
      <c r="B722" s="51">
        <v>3489</v>
      </c>
      <c r="C722" s="53">
        <f>(Table26[[#This Row],[M2 Money Stock, Billions of Dollars, Weekly, Seasonally Adjusted]]-B721)/B721</f>
        <v>5.1617343427396822E-4</v>
      </c>
      <c r="D722" s="54">
        <f>((1+Table26[[#This Row],[Weekly change]])^52)-1</f>
        <v>2.7197370064432347E-2</v>
      </c>
      <c r="E722" s="57">
        <f>(Table26[[#This Row],[M2 Money Stock, Billions of Dollars, Weekly, Seasonally Adjusted]]-B670)/B670</f>
        <v>1.3301579925650611E-2</v>
      </c>
    </row>
    <row r="723" spans="1:5" x14ac:dyDescent="0.2">
      <c r="A723" s="50">
        <v>34540</v>
      </c>
      <c r="B723" s="51">
        <v>3490.3</v>
      </c>
      <c r="C723" s="53">
        <f>(Table26[[#This Row],[M2 Money Stock, Billions of Dollars, Weekly, Seasonally Adjusted]]-B722)/B722</f>
        <v>3.7259959873894578E-4</v>
      </c>
      <c r="D723" s="54">
        <f>((1+Table26[[#This Row],[Weekly change]])^52)-1</f>
        <v>1.9560416754972776E-2</v>
      </c>
      <c r="E723" s="57">
        <f>(Table26[[#This Row],[M2 Money Stock, Billions of Dollars, Weekly, Seasonally Adjusted]]-B671)/B671</f>
        <v>1.3944165238358074E-2</v>
      </c>
    </row>
    <row r="724" spans="1:5" x14ac:dyDescent="0.2">
      <c r="A724" s="50">
        <v>34547</v>
      </c>
      <c r="B724" s="51">
        <v>3492.5</v>
      </c>
      <c r="C724" s="53">
        <f>(Table26[[#This Row],[M2 Money Stock, Billions of Dollars, Weekly, Seasonally Adjusted]]-B723)/B723</f>
        <v>6.30318310746875E-4</v>
      </c>
      <c r="D724" s="54">
        <f>((1+Table26[[#This Row],[Weekly change]])^52)-1</f>
        <v>3.3308950926484338E-2</v>
      </c>
      <c r="E724" s="57">
        <f>(Table26[[#This Row],[M2 Money Stock, Billions of Dollars, Weekly, Seasonally Adjusted]]-B672)/B672</f>
        <v>1.420025554652111E-2</v>
      </c>
    </row>
    <row r="725" spans="1:5" x14ac:dyDescent="0.2">
      <c r="A725" s="50">
        <v>34554</v>
      </c>
      <c r="B725" s="51">
        <v>3484</v>
      </c>
      <c r="C725" s="53">
        <f>(Table26[[#This Row],[M2 Money Stock, Billions of Dollars, Weekly, Seasonally Adjusted]]-B724)/B724</f>
        <v>-2.4337866857551899E-3</v>
      </c>
      <c r="D725" s="54">
        <f>((1+Table26[[#This Row],[Weekly change]])^52)-1</f>
        <v>-0.11901190329353883</v>
      </c>
      <c r="E725" s="57">
        <f>(Table26[[#This Row],[M2 Money Stock, Billions of Dollars, Weekly, Seasonally Adjusted]]-B673)/B673</f>
        <v>1.079261924103511E-2</v>
      </c>
    </row>
    <row r="726" spans="1:5" x14ac:dyDescent="0.2">
      <c r="A726" s="50">
        <v>34561</v>
      </c>
      <c r="B726" s="51">
        <v>3485.8</v>
      </c>
      <c r="C726" s="53">
        <f>(Table26[[#This Row],[M2 Money Stock, Billions of Dollars, Weekly, Seasonally Adjusted]]-B725)/B725</f>
        <v>5.1664753157295695E-4</v>
      </c>
      <c r="D726" s="54">
        <f>((1+Table26[[#This Row],[Weekly change]])^52)-1</f>
        <v>2.7222680863592918E-2</v>
      </c>
      <c r="E726" s="57">
        <f>(Table26[[#This Row],[M2 Money Stock, Billions of Dollars, Weekly, Seasonally Adjusted]]-B674)/B674</f>
        <v>1.1109499637418472E-2</v>
      </c>
    </row>
    <row r="727" spans="1:5" x14ac:dyDescent="0.2">
      <c r="A727" s="50">
        <v>34568</v>
      </c>
      <c r="B727" s="51">
        <v>3487.4</v>
      </c>
      <c r="C727" s="53">
        <f>(Table26[[#This Row],[M2 Money Stock, Billions of Dollars, Weekly, Seasonally Adjusted]]-B726)/B726</f>
        <v>4.5900510643178294E-4</v>
      </c>
      <c r="D727" s="54">
        <f>((1+Table26[[#This Row],[Weekly change]])^52)-1</f>
        <v>2.4149784024914078E-2</v>
      </c>
      <c r="E727" s="57">
        <f>(Table26[[#This Row],[M2 Money Stock, Billions of Dollars, Weekly, Seasonally Adjusted]]-B675)/B675</f>
        <v>1.2631028775516129E-2</v>
      </c>
    </row>
    <row r="728" spans="1:5" x14ac:dyDescent="0.2">
      <c r="A728" s="50">
        <v>34575</v>
      </c>
      <c r="B728" s="51">
        <v>3485.1</v>
      </c>
      <c r="C728" s="53">
        <f>(Table26[[#This Row],[M2 Money Stock, Billions of Dollars, Weekly, Seasonally Adjusted]]-B727)/B727</f>
        <v>-6.595171187704828E-4</v>
      </c>
      <c r="D728" s="54">
        <f>((1+Table26[[#This Row],[Weekly change]])^52)-1</f>
        <v>-3.3724418293037295E-2</v>
      </c>
      <c r="E728" s="57">
        <f>(Table26[[#This Row],[M2 Money Stock, Billions of Dollars, Weekly, Seasonally Adjusted]]-B676)/B676</f>
        <v>1.1728162104101981E-2</v>
      </c>
    </row>
    <row r="729" spans="1:5" x14ac:dyDescent="0.2">
      <c r="A729" s="50">
        <v>34582</v>
      </c>
      <c r="B729" s="51">
        <v>3484.2</v>
      </c>
      <c r="C729" s="53">
        <f>(Table26[[#This Row],[M2 Money Stock, Billions of Dollars, Weekly, Seasonally Adjusted]]-B728)/B728</f>
        <v>-2.582422312129038E-4</v>
      </c>
      <c r="D729" s="54">
        <f>((1+Table26[[#This Row],[Weekly change]])^52)-1</f>
        <v>-1.3340545746378996E-2</v>
      </c>
      <c r="E729" s="57">
        <f>(Table26[[#This Row],[M2 Money Stock, Billions of Dollars, Weekly, Seasonally Adjusted]]-B677)/B677</f>
        <v>1.0616080751827331E-2</v>
      </c>
    </row>
    <row r="730" spans="1:5" x14ac:dyDescent="0.2">
      <c r="A730" s="50">
        <v>34589</v>
      </c>
      <c r="B730" s="51">
        <v>3485.2</v>
      </c>
      <c r="C730" s="53">
        <f>(Table26[[#This Row],[M2 Money Stock, Billions of Dollars, Weekly, Seasonally Adjusted]]-B729)/B729</f>
        <v>2.8700993054359684E-4</v>
      </c>
      <c r="D730" s="54">
        <f>((1+Table26[[#This Row],[Weekly change]])^52)-1</f>
        <v>1.5034269578964254E-2</v>
      </c>
      <c r="E730" s="57">
        <f>(Table26[[#This Row],[M2 Money Stock, Billions of Dollars, Weekly, Seasonally Adjusted]]-B678)/B678</f>
        <v>9.2959949031304941E-3</v>
      </c>
    </row>
    <row r="731" spans="1:5" x14ac:dyDescent="0.2">
      <c r="A731" s="50">
        <v>34596</v>
      </c>
      <c r="B731" s="51">
        <v>3487.2</v>
      </c>
      <c r="C731" s="53">
        <f>(Table26[[#This Row],[M2 Money Stock, Billions of Dollars, Weekly, Seasonally Adjusted]]-B730)/B730</f>
        <v>5.7385515895787905E-4</v>
      </c>
      <c r="D731" s="54">
        <f>((1+Table26[[#This Row],[Weekly change]])^52)-1</f>
        <v>3.028133887855633E-2</v>
      </c>
      <c r="E731" s="57">
        <f>(Table26[[#This Row],[M2 Money Stock, Billions of Dollars, Weekly, Seasonally Adjusted]]-B679)/B679</f>
        <v>9.6997423053536789E-3</v>
      </c>
    </row>
    <row r="732" spans="1:5" x14ac:dyDescent="0.2">
      <c r="A732" s="50">
        <v>34603</v>
      </c>
      <c r="B732" s="51">
        <v>3490.4</v>
      </c>
      <c r="C732" s="53">
        <f>(Table26[[#This Row],[M2 Money Stock, Billions of Dollars, Weekly, Seasonally Adjusted]]-B731)/B731</f>
        <v>9.1764166093148453E-4</v>
      </c>
      <c r="D732" s="54">
        <f>((1+Table26[[#This Row],[Weekly change]])^52)-1</f>
        <v>4.8851216843572853E-2</v>
      </c>
      <c r="E732" s="57">
        <f>(Table26[[#This Row],[M2 Money Stock, Billions of Dollars, Weekly, Seasonally Adjusted]]-B680)/B680</f>
        <v>1.0714078878786124E-2</v>
      </c>
    </row>
    <row r="733" spans="1:5" x14ac:dyDescent="0.2">
      <c r="A733" s="50">
        <v>34610</v>
      </c>
      <c r="B733" s="51">
        <v>3480.6</v>
      </c>
      <c r="C733" s="53">
        <f>(Table26[[#This Row],[M2 Money Stock, Billions of Dollars, Weekly, Seasonally Adjusted]]-B732)/B732</f>
        <v>-2.8077011230805012E-3</v>
      </c>
      <c r="D733" s="54">
        <f>((1+Table26[[#This Row],[Weekly change]])^52)-1</f>
        <v>-0.13602012708351174</v>
      </c>
      <c r="E733" s="57">
        <f>(Table26[[#This Row],[M2 Money Stock, Billions of Dollars, Weekly, Seasonally Adjusted]]-B681)/B681</f>
        <v>7.9054817131438693E-3</v>
      </c>
    </row>
    <row r="734" spans="1:5" x14ac:dyDescent="0.2">
      <c r="A734" s="50">
        <v>34617</v>
      </c>
      <c r="B734" s="51">
        <v>3486.9</v>
      </c>
      <c r="C734" s="53">
        <f>(Table26[[#This Row],[M2 Money Stock, Billions of Dollars, Weekly, Seasonally Adjusted]]-B733)/B733</f>
        <v>1.8100327529736776E-3</v>
      </c>
      <c r="D734" s="54">
        <f>((1+Table26[[#This Row],[Weekly change]])^52)-1</f>
        <v>9.859998043826157E-2</v>
      </c>
      <c r="E734" s="57">
        <f>(Table26[[#This Row],[M2 Money Stock, Billions of Dollars, Weekly, Seasonally Adjusted]]-B682)/B682</f>
        <v>8.415755682804069E-3</v>
      </c>
    </row>
    <row r="735" spans="1:5" x14ac:dyDescent="0.2">
      <c r="A735" s="50">
        <v>34624</v>
      </c>
      <c r="B735" s="51">
        <v>3485.5</v>
      </c>
      <c r="C735" s="53">
        <f>(Table26[[#This Row],[M2 Money Stock, Billions of Dollars, Weekly, Seasonally Adjusted]]-B734)/B734</f>
        <v>-4.0150276750124494E-4</v>
      </c>
      <c r="D735" s="54">
        <f>((1+Table26[[#This Row],[Weekly change]])^52)-1</f>
        <v>-2.0665810172838195E-2</v>
      </c>
      <c r="E735" s="57">
        <f>(Table26[[#This Row],[M2 Money Stock, Billions of Dollars, Weekly, Seasonally Adjusted]]-B683)/B683</f>
        <v>9.2367384757934008E-3</v>
      </c>
    </row>
    <row r="736" spans="1:5" x14ac:dyDescent="0.2">
      <c r="A736" s="50">
        <v>34631</v>
      </c>
      <c r="B736" s="51">
        <v>3483.6</v>
      </c>
      <c r="C736" s="53">
        <f>(Table26[[#This Row],[M2 Money Stock, Billions of Dollars, Weekly, Seasonally Adjusted]]-B735)/B735</f>
        <v>-5.4511547841058414E-4</v>
      </c>
      <c r="D736" s="54">
        <f>((1+Table26[[#This Row],[Weekly change]])^52)-1</f>
        <v>-2.7955538816198611E-2</v>
      </c>
      <c r="E736" s="57">
        <f>(Table26[[#This Row],[M2 Money Stock, Billions of Dollars, Weekly, Seasonally Adjusted]]-B684)/B684</f>
        <v>8.657381938211221E-3</v>
      </c>
    </row>
    <row r="737" spans="1:5" x14ac:dyDescent="0.2">
      <c r="A737" s="50">
        <v>34638</v>
      </c>
      <c r="B737" s="51">
        <v>3482.7</v>
      </c>
      <c r="C737" s="53">
        <f>(Table26[[#This Row],[M2 Money Stock, Billions of Dollars, Weekly, Seasonally Adjusted]]-B736)/B736</f>
        <v>-2.583534274888308E-4</v>
      </c>
      <c r="D737" s="54">
        <f>((1+Table26[[#This Row],[Weekly change]])^52)-1</f>
        <v>-1.33462522724207E-2</v>
      </c>
      <c r="E737" s="57">
        <f>(Table26[[#This Row],[M2 Money Stock, Billions of Dollars, Weekly, Seasonally Adjusted]]-B685)/B685</f>
        <v>5.1952550004329386E-3</v>
      </c>
    </row>
    <row r="738" spans="1:5" x14ac:dyDescent="0.2">
      <c r="A738" s="50">
        <v>34645</v>
      </c>
      <c r="B738" s="51">
        <v>3481.6</v>
      </c>
      <c r="C738" s="53">
        <f>(Table26[[#This Row],[M2 Money Stock, Billions of Dollars, Weekly, Seasonally Adjusted]]-B737)/B737</f>
        <v>-3.1584690039334685E-4</v>
      </c>
      <c r="D738" s="54">
        <f>((1+Table26[[#This Row],[Weekly change]])^52)-1</f>
        <v>-1.6292451690922416E-2</v>
      </c>
      <c r="E738" s="57">
        <f>(Table26[[#This Row],[M2 Money Stock, Billions of Dollars, Weekly, Seasonally Adjusted]]-B686)/B686</f>
        <v>4.2980355958116053E-3</v>
      </c>
    </row>
    <row r="739" spans="1:5" x14ac:dyDescent="0.2">
      <c r="A739" s="50">
        <v>34652</v>
      </c>
      <c r="B739" s="51">
        <v>3486</v>
      </c>
      <c r="C739" s="53">
        <f>(Table26[[#This Row],[M2 Money Stock, Billions of Dollars, Weekly, Seasonally Adjusted]]-B738)/B738</f>
        <v>1.2637867647059084E-3</v>
      </c>
      <c r="D739" s="54">
        <f>((1+Table26[[#This Row],[Weekly change]])^52)-1</f>
        <v>6.7880049081933791E-2</v>
      </c>
      <c r="E739" s="57">
        <f>(Table26[[#This Row],[M2 Money Stock, Billions of Dollars, Weekly, Seasonally Adjusted]]-B687)/B687</f>
        <v>3.6853622020039684E-3</v>
      </c>
    </row>
    <row r="740" spans="1:5" x14ac:dyDescent="0.2">
      <c r="A740" s="50">
        <v>34659</v>
      </c>
      <c r="B740" s="51">
        <v>3490.8</v>
      </c>
      <c r="C740" s="53">
        <f>(Table26[[#This Row],[M2 Money Stock, Billions of Dollars, Weekly, Seasonally Adjusted]]-B739)/B739</f>
        <v>1.376936316695405E-3</v>
      </c>
      <c r="D740" s="54">
        <f>((1+Table26[[#This Row],[Weekly change]])^52)-1</f>
        <v>7.4173403554759432E-2</v>
      </c>
      <c r="E740" s="57">
        <f>(Table26[[#This Row],[M2 Money Stock, Billions of Dollars, Weekly, Seasonally Adjusted]]-B688)/B688</f>
        <v>5.7623602627636279E-3</v>
      </c>
    </row>
    <row r="741" spans="1:5" x14ac:dyDescent="0.2">
      <c r="A741" s="50">
        <v>34666</v>
      </c>
      <c r="B741" s="51">
        <v>3489.9</v>
      </c>
      <c r="C741" s="53">
        <f>(Table26[[#This Row],[M2 Money Stock, Billions of Dollars, Weekly, Seasonally Adjusted]]-B740)/B740</f>
        <v>-2.5782055689242895E-4</v>
      </c>
      <c r="D741" s="54">
        <f>((1+Table26[[#This Row],[Weekly change]])^52)-1</f>
        <v>-1.3318905379570034E-2</v>
      </c>
      <c r="E741" s="57">
        <f>(Table26[[#This Row],[M2 Money Stock, Billions of Dollars, Weekly, Seasonally Adjusted]]-B689)/B689</f>
        <v>5.850818538160071E-3</v>
      </c>
    </row>
    <row r="742" spans="1:5" x14ac:dyDescent="0.2">
      <c r="A742" s="50">
        <v>34673</v>
      </c>
      <c r="B742" s="51">
        <v>3490.1</v>
      </c>
      <c r="C742" s="53">
        <f>(Table26[[#This Row],[M2 Money Stock, Billions of Dollars, Weekly, Seasonally Adjusted]]-B741)/B741</f>
        <v>5.730823232752173E-5</v>
      </c>
      <c r="D742" s="54">
        <f>((1+Table26[[#This Row],[Weekly change]])^52)-1</f>
        <v>2.9843871370827113E-3</v>
      </c>
      <c r="E742" s="57">
        <f>(Table26[[#This Row],[M2 Money Stock, Billions of Dollars, Weekly, Seasonally Adjusted]]-B690)/B690</f>
        <v>3.9986191818652816E-3</v>
      </c>
    </row>
    <row r="743" spans="1:5" x14ac:dyDescent="0.2">
      <c r="A743" s="50">
        <v>34680</v>
      </c>
      <c r="B743" s="51">
        <v>3488.7</v>
      </c>
      <c r="C743" s="53">
        <f>(Table26[[#This Row],[M2 Money Stock, Billions of Dollars, Weekly, Seasonally Adjusted]]-B742)/B742</f>
        <v>-4.0113463797601532E-4</v>
      </c>
      <c r="D743" s="54">
        <f>((1+Table26[[#This Row],[Weekly change]])^52)-1</f>
        <v>-2.064705533147837E-2</v>
      </c>
      <c r="E743" s="57">
        <f>(Table26[[#This Row],[M2 Money Stock, Billions of Dollars, Weekly, Seasonally Adjusted]]-B691)/B691</f>
        <v>3.1341652768990843E-3</v>
      </c>
    </row>
    <row r="744" spans="1:5" x14ac:dyDescent="0.2">
      <c r="A744" s="50">
        <v>34687</v>
      </c>
      <c r="B744" s="51">
        <v>3485.8</v>
      </c>
      <c r="C744" s="53">
        <f>(Table26[[#This Row],[M2 Money Stock, Billions of Dollars, Weekly, Seasonally Adjusted]]-B743)/B743</f>
        <v>-8.3125519534486662E-4</v>
      </c>
      <c r="D744" s="54">
        <f>((1+Table26[[#This Row],[Weekly change]])^52)-1</f>
        <v>-4.2321589456654984E-2</v>
      </c>
      <c r="E744" s="57">
        <f>(Table26[[#This Row],[M2 Money Stock, Billions of Dollars, Weekly, Seasonally Adjusted]]-B692)/B692</f>
        <v>3.5122063565178126E-3</v>
      </c>
    </row>
    <row r="745" spans="1:5" x14ac:dyDescent="0.2">
      <c r="A745" s="50">
        <v>34694</v>
      </c>
      <c r="B745" s="51">
        <v>3486.1</v>
      </c>
      <c r="C745" s="53">
        <f>(Table26[[#This Row],[M2 Money Stock, Billions of Dollars, Weekly, Seasonally Adjusted]]-B744)/B744</f>
        <v>8.6063457455885922E-5</v>
      </c>
      <c r="D745" s="54">
        <f>((1+Table26[[#This Row],[Weekly change]])^52)-1</f>
        <v>4.4851354647597041E-3</v>
      </c>
      <c r="E745" s="57">
        <f>(Table26[[#This Row],[M2 Money Stock, Billions of Dollars, Weekly, Seasonally Adjusted]]-B693)/B693</f>
        <v>3.3097334945029647E-3</v>
      </c>
    </row>
    <row r="746" spans="1:5" x14ac:dyDescent="0.2">
      <c r="A746" s="50">
        <v>34701</v>
      </c>
      <c r="B746" s="51">
        <v>3480.3</v>
      </c>
      <c r="C746" s="53">
        <f>(Table26[[#This Row],[M2 Money Stock, Billions of Dollars, Weekly, Seasonally Adjusted]]-B745)/B745</f>
        <v>-1.6637503227101137E-3</v>
      </c>
      <c r="D746" s="54">
        <f>((1+Table26[[#This Row],[Weekly change]])^52)-1</f>
        <v>-8.2944299430303348E-2</v>
      </c>
      <c r="E746" s="57">
        <f>(Table26[[#This Row],[M2 Money Stock, Billions of Dollars, Weekly, Seasonally Adjusted]]-B694)/B694</f>
        <v>3.7493150289850891E-3</v>
      </c>
    </row>
    <row r="747" spans="1:5" x14ac:dyDescent="0.2">
      <c r="A747" s="50">
        <v>34708</v>
      </c>
      <c r="B747" s="51">
        <v>3489.8</v>
      </c>
      <c r="C747" s="53">
        <f>(Table26[[#This Row],[M2 Money Stock, Billions of Dollars, Weekly, Seasonally Adjusted]]-B746)/B746</f>
        <v>2.7296497428382607E-3</v>
      </c>
      <c r="D747" s="54">
        <f>((1+Table26[[#This Row],[Weekly change]])^52)-1</f>
        <v>0.15228671143547623</v>
      </c>
      <c r="E747" s="57">
        <f>(Table26[[#This Row],[M2 Money Stock, Billions of Dollars, Weekly, Seasonally Adjusted]]-B695)/B695</f>
        <v>4.6059070758247452E-3</v>
      </c>
    </row>
    <row r="748" spans="1:5" x14ac:dyDescent="0.2">
      <c r="A748" s="50">
        <v>34715</v>
      </c>
      <c r="B748" s="51">
        <v>3493.9</v>
      </c>
      <c r="C748" s="53">
        <f>(Table26[[#This Row],[M2 Money Stock, Billions of Dollars, Weekly, Seasonally Adjusted]]-B747)/B747</f>
        <v>1.1748524270731586E-3</v>
      </c>
      <c r="D748" s="54">
        <f>((1+Table26[[#This Row],[Weekly change]])^52)-1</f>
        <v>6.2958934655700682E-2</v>
      </c>
      <c r="E748" s="57">
        <f>(Table26[[#This Row],[M2 Money Stock, Billions of Dollars, Weekly, Seasonally Adjusted]]-B696)/B696</f>
        <v>4.542710100342193E-3</v>
      </c>
    </row>
    <row r="749" spans="1:5" x14ac:dyDescent="0.2">
      <c r="A749" s="50">
        <v>34722</v>
      </c>
      <c r="B749" s="51">
        <v>3495.2</v>
      </c>
      <c r="C749" s="53">
        <f>(Table26[[#This Row],[M2 Money Stock, Billions of Dollars, Weekly, Seasonally Adjusted]]-B748)/B748</f>
        <v>3.720770485702874E-4</v>
      </c>
      <c r="D749" s="54">
        <f>((1+Table26[[#This Row],[Weekly change]])^52)-1</f>
        <v>1.953272332623146E-2</v>
      </c>
      <c r="E749" s="57">
        <f>(Table26[[#This Row],[M2 Money Stock, Billions of Dollars, Weekly, Seasonally Adjusted]]-B697)/B697</f>
        <v>5.2054873313968275E-3</v>
      </c>
    </row>
    <row r="750" spans="1:5" x14ac:dyDescent="0.2">
      <c r="A750" s="50">
        <v>34729</v>
      </c>
      <c r="B750" s="51">
        <v>3494.1</v>
      </c>
      <c r="C750" s="53">
        <f>(Table26[[#This Row],[M2 Money Stock, Billions of Dollars, Weekly, Seasonally Adjusted]]-B749)/B749</f>
        <v>-3.147173266193377E-4</v>
      </c>
      <c r="D750" s="54">
        <f>((1+Table26[[#This Row],[Weekly change]])^52)-1</f>
        <v>-1.623465091695675E-2</v>
      </c>
      <c r="E750" s="57">
        <f>(Table26[[#This Row],[M2 Money Stock, Billions of Dollars, Weekly, Seasonally Adjusted]]-B698)/B698</f>
        <v>5.8147902933302102E-3</v>
      </c>
    </row>
    <row r="751" spans="1:5" x14ac:dyDescent="0.2">
      <c r="A751" s="50">
        <v>34736</v>
      </c>
      <c r="B751" s="51">
        <v>3492.4</v>
      </c>
      <c r="C751" s="53">
        <f>(Table26[[#This Row],[M2 Money Stock, Billions of Dollars, Weekly, Seasonally Adjusted]]-B750)/B750</f>
        <v>-4.8653444377660005E-4</v>
      </c>
      <c r="D751" s="54">
        <f>((1+Table26[[#This Row],[Weekly change]])^52)-1</f>
        <v>-2.4988436137945436E-2</v>
      </c>
      <c r="E751" s="57">
        <f>(Table26[[#This Row],[M2 Money Stock, Billions of Dollars, Weekly, Seasonally Adjusted]]-B699)/B699</f>
        <v>5.1228918436655108E-3</v>
      </c>
    </row>
    <row r="752" spans="1:5" x14ac:dyDescent="0.2">
      <c r="A752" s="50">
        <v>34743</v>
      </c>
      <c r="B752" s="51">
        <v>3490.3</v>
      </c>
      <c r="C752" s="53">
        <f>(Table26[[#This Row],[M2 Money Stock, Billions of Dollars, Weekly, Seasonally Adjusted]]-B751)/B751</f>
        <v>-6.0130569236052829E-4</v>
      </c>
      <c r="D752" s="54">
        <f>((1+Table26[[#This Row],[Weekly change]])^52)-1</f>
        <v>-3.0793225767563159E-2</v>
      </c>
      <c r="E752" s="57">
        <f>(Table26[[#This Row],[M2 Money Stock, Billions of Dollars, Weekly, Seasonally Adjusted]]-B700)/B700</f>
        <v>3.334579009400168E-3</v>
      </c>
    </row>
    <row r="753" spans="1:5" x14ac:dyDescent="0.2">
      <c r="A753" s="50">
        <v>34750</v>
      </c>
      <c r="B753" s="51">
        <v>3486.9</v>
      </c>
      <c r="C753" s="53">
        <f>(Table26[[#This Row],[M2 Money Stock, Billions of Dollars, Weekly, Seasonally Adjusted]]-B752)/B752</f>
        <v>-9.7412829842709531E-4</v>
      </c>
      <c r="D753" s="54">
        <f>((1+Table26[[#This Row],[Weekly change]])^52)-1</f>
        <v>-4.941658290571227E-2</v>
      </c>
      <c r="E753" s="57">
        <f>(Table26[[#This Row],[M2 Money Stock, Billions of Dollars, Weekly, Seasonally Adjusted]]-B701)/B701</f>
        <v>3.3089716291649883E-3</v>
      </c>
    </row>
    <row r="754" spans="1:5" x14ac:dyDescent="0.2">
      <c r="A754" s="50">
        <v>34757</v>
      </c>
      <c r="B754" s="51">
        <v>3490.8</v>
      </c>
      <c r="C754" s="53">
        <f>(Table26[[#This Row],[M2 Money Stock, Billions of Dollars, Weekly, Seasonally Adjusted]]-B753)/B753</f>
        <v>1.1184719951819928E-3</v>
      </c>
      <c r="D754" s="54">
        <f>((1+Table26[[#This Row],[Weekly change]])^52)-1</f>
        <v>5.9850692967648111E-2</v>
      </c>
      <c r="E754" s="57">
        <f>(Table26[[#This Row],[M2 Money Stock, Billions of Dollars, Weekly, Seasonally Adjusted]]-B702)/B702</f>
        <v>4.7780784065397401E-3</v>
      </c>
    </row>
    <row r="755" spans="1:5" x14ac:dyDescent="0.2">
      <c r="A755" s="50">
        <v>34764</v>
      </c>
      <c r="B755" s="51">
        <v>3486.6</v>
      </c>
      <c r="C755" s="53">
        <f>(Table26[[#This Row],[M2 Money Stock, Billions of Dollars, Weekly, Seasonally Adjusted]]-B754)/B754</f>
        <v>-1.2031625988312917E-3</v>
      </c>
      <c r="D755" s="54">
        <f>((1+Table26[[#This Row],[Weekly change]])^52)-1</f>
        <v>-6.0682867932734808E-2</v>
      </c>
      <c r="E755" s="57">
        <f>(Table26[[#This Row],[M2 Money Stock, Billions of Dollars, Weekly, Seasonally Adjusted]]-B703)/B703</f>
        <v>2.4726854514088297E-3</v>
      </c>
    </row>
    <row r="756" spans="1:5" x14ac:dyDescent="0.2">
      <c r="A756" s="50">
        <v>34771</v>
      </c>
      <c r="B756" s="51">
        <v>3493.1</v>
      </c>
      <c r="C756" s="53">
        <f>(Table26[[#This Row],[M2 Money Stock, Billions of Dollars, Weekly, Seasonally Adjusted]]-B755)/B755</f>
        <v>1.8642803877703207E-3</v>
      </c>
      <c r="D756" s="54">
        <f>((1+Table26[[#This Row],[Weekly change]])^52)-1</f>
        <v>0.1016976719751006</v>
      </c>
      <c r="E756" s="57">
        <f>(Table26[[#This Row],[M2 Money Stock, Billions of Dollars, Weekly, Seasonally Adjusted]]-B704)/B704</f>
        <v>2.7558490024400485E-3</v>
      </c>
    </row>
    <row r="757" spans="1:5" x14ac:dyDescent="0.2">
      <c r="A757" s="50">
        <v>34778</v>
      </c>
      <c r="B757" s="51">
        <v>3492.3</v>
      </c>
      <c r="C757" s="53">
        <f>(Table26[[#This Row],[M2 Money Stock, Billions of Dollars, Weekly, Seasonally Adjusted]]-B756)/B756</f>
        <v>-2.2902293092088034E-4</v>
      </c>
      <c r="D757" s="54">
        <f>((1+Table26[[#This Row],[Weekly change]])^52)-1</f>
        <v>-1.1839906450274551E-2</v>
      </c>
      <c r="E757" s="57">
        <f>(Table26[[#This Row],[M2 Money Stock, Billions of Dollars, Weekly, Seasonally Adjusted]]-B705)/B705</f>
        <v>2.9868749820500563E-3</v>
      </c>
    </row>
    <row r="758" spans="1:5" x14ac:dyDescent="0.2">
      <c r="A758" s="50">
        <v>34785</v>
      </c>
      <c r="B758" s="51">
        <v>3495.1</v>
      </c>
      <c r="C758" s="53">
        <f>(Table26[[#This Row],[M2 Money Stock, Billions of Dollars, Weekly, Seasonally Adjusted]]-B757)/B757</f>
        <v>8.0176388053710367E-4</v>
      </c>
      <c r="D758" s="54">
        <f>((1+Table26[[#This Row],[Weekly change]])^52)-1</f>
        <v>4.2555611109214242E-2</v>
      </c>
      <c r="E758" s="57">
        <f>(Table26[[#This Row],[M2 Money Stock, Billions of Dollars, Weekly, Seasonally Adjusted]]-B706)/B706</f>
        <v>5.0611071171818576E-3</v>
      </c>
    </row>
    <row r="759" spans="1:5" x14ac:dyDescent="0.2">
      <c r="A759" s="50">
        <v>34792</v>
      </c>
      <c r="B759" s="51">
        <v>3485.1</v>
      </c>
      <c r="C759" s="53">
        <f>(Table26[[#This Row],[M2 Money Stock, Billions of Dollars, Weekly, Seasonally Adjusted]]-B758)/B758</f>
        <v>-2.8611484649938485E-3</v>
      </c>
      <c r="D759" s="54">
        <f>((1+Table26[[#This Row],[Weekly change]])^52)-1</f>
        <v>-0.13842482606528028</v>
      </c>
      <c r="E759" s="57">
        <f>(Table26[[#This Row],[M2 Money Stock, Billions of Dollars, Weekly, Seasonally Adjusted]]-B707)/B707</f>
        <v>1.6382134850835828E-3</v>
      </c>
    </row>
    <row r="760" spans="1:5" x14ac:dyDescent="0.2">
      <c r="A760" s="50">
        <v>34799</v>
      </c>
      <c r="B760" s="51">
        <v>3495.7</v>
      </c>
      <c r="C760" s="53">
        <f>(Table26[[#This Row],[M2 Money Stock, Billions of Dollars, Weekly, Seasonally Adjusted]]-B759)/B759</f>
        <v>3.0415196120627554E-3</v>
      </c>
      <c r="D760" s="54">
        <f>((1+Table26[[#This Row],[Weekly change]])^52)-1</f>
        <v>0.17107131598126313</v>
      </c>
      <c r="E760" s="57">
        <f>(Table26[[#This Row],[M2 Money Stock, Billions of Dollars, Weekly, Seasonally Adjusted]]-B708)/B708</f>
        <v>3.5598426779202583E-3</v>
      </c>
    </row>
    <row r="761" spans="1:5" x14ac:dyDescent="0.2">
      <c r="A761" s="50">
        <v>34806</v>
      </c>
      <c r="B761" s="51">
        <v>3495.6</v>
      </c>
      <c r="C761" s="53">
        <f>(Table26[[#This Row],[M2 Money Stock, Billions of Dollars, Weekly, Seasonally Adjusted]]-B760)/B760</f>
        <v>-2.8606573790631078E-5</v>
      </c>
      <c r="D761" s="54">
        <f>((1+Table26[[#This Row],[Weekly change]])^52)-1</f>
        <v>-1.4864572406684262E-3</v>
      </c>
      <c r="E761" s="57">
        <f>(Table26[[#This Row],[M2 Money Stock, Billions of Dollars, Weekly, Seasonally Adjusted]]-B709)/B709</f>
        <v>5.6097350478985075E-3</v>
      </c>
    </row>
    <row r="762" spans="1:5" x14ac:dyDescent="0.2">
      <c r="A762" s="50">
        <v>34813</v>
      </c>
      <c r="B762" s="51">
        <v>3502.5</v>
      </c>
      <c r="C762" s="53">
        <f>(Table26[[#This Row],[M2 Money Stock, Billions of Dollars, Weekly, Seasonally Adjusted]]-B761)/B761</f>
        <v>1.9739100583591059E-3</v>
      </c>
      <c r="D762" s="54">
        <f>((1+Table26[[#This Row],[Weekly change]])^52)-1</f>
        <v>0.10798400445030332</v>
      </c>
      <c r="E762" s="57">
        <f>(Table26[[#This Row],[M2 Money Stock, Billions of Dollars, Weekly, Seasonally Adjusted]]-B710)/B710</f>
        <v>6.4365966495215921E-3</v>
      </c>
    </row>
    <row r="763" spans="1:5" x14ac:dyDescent="0.2">
      <c r="A763" s="50">
        <v>34820</v>
      </c>
      <c r="B763" s="51">
        <v>3510.7</v>
      </c>
      <c r="C763" s="53">
        <f>(Table26[[#This Row],[M2 Money Stock, Billions of Dollars, Weekly, Seasonally Adjusted]]-B762)/B762</f>
        <v>2.3411848679514113E-3</v>
      </c>
      <c r="D763" s="54">
        <f>((1+Table26[[#This Row],[Weekly change]])^52)-1</f>
        <v>0.12930152863596267</v>
      </c>
      <c r="E763" s="57">
        <f>(Table26[[#This Row],[M2 Money Stock, Billions of Dollars, Weekly, Seasonally Adjusted]]-B711)/B711</f>
        <v>6.2483877439879982E-3</v>
      </c>
    </row>
    <row r="764" spans="1:5" x14ac:dyDescent="0.2">
      <c r="A764" s="50">
        <v>34827</v>
      </c>
      <c r="B764" s="51">
        <v>3513.5</v>
      </c>
      <c r="C764" s="53">
        <f>(Table26[[#This Row],[M2 Money Stock, Billions of Dollars, Weekly, Seasonally Adjusted]]-B763)/B763</f>
        <v>7.9756173982401858E-4</v>
      </c>
      <c r="D764" s="54">
        <f>((1+Table26[[#This Row],[Weekly change]])^52)-1</f>
        <v>4.2328007783269506E-2</v>
      </c>
      <c r="E764" s="57">
        <f>(Table26[[#This Row],[M2 Money Stock, Billions of Dollars, Weekly, Seasonally Adjusted]]-B712)/B712</f>
        <v>5.5234388415088386E-3</v>
      </c>
    </row>
    <row r="765" spans="1:5" x14ac:dyDescent="0.2">
      <c r="A765" s="50">
        <v>34834</v>
      </c>
      <c r="B765" s="51">
        <v>3518.8</v>
      </c>
      <c r="C765" s="53">
        <f>(Table26[[#This Row],[M2 Money Stock, Billions of Dollars, Weekly, Seasonally Adjusted]]-B764)/B764</f>
        <v>1.5084673402590528E-3</v>
      </c>
      <c r="D765" s="54">
        <f>((1+Table26[[#This Row],[Weekly change]])^52)-1</f>
        <v>8.1534859896901901E-2</v>
      </c>
      <c r="E765" s="57">
        <f>(Table26[[#This Row],[M2 Money Stock, Billions of Dollars, Weekly, Seasonally Adjusted]]-B713)/B713</f>
        <v>7.4150419422256836E-3</v>
      </c>
    </row>
    <row r="766" spans="1:5" x14ac:dyDescent="0.2">
      <c r="A766" s="50">
        <v>34841</v>
      </c>
      <c r="B766" s="51">
        <v>3528.9</v>
      </c>
      <c r="C766" s="53">
        <f>(Table26[[#This Row],[M2 Money Stock, Billions of Dollars, Weekly, Seasonally Adjusted]]-B765)/B765</f>
        <v>2.8702966920540834E-3</v>
      </c>
      <c r="D766" s="54">
        <f>((1+Table26[[#This Row],[Weekly change]])^52)-1</f>
        <v>0.16072131287485569</v>
      </c>
      <c r="E766" s="57">
        <f>(Table26[[#This Row],[M2 Money Stock, Billions of Dollars, Weekly, Seasonally Adjusted]]-B714)/B714</f>
        <v>1.0798579285059657E-2</v>
      </c>
    </row>
    <row r="767" spans="1:5" x14ac:dyDescent="0.2">
      <c r="A767" s="50">
        <v>34848</v>
      </c>
      <c r="B767" s="51">
        <v>3532.9</v>
      </c>
      <c r="C767" s="53">
        <f>(Table26[[#This Row],[M2 Money Stock, Billions of Dollars, Weekly, Seasonally Adjusted]]-B766)/B766</f>
        <v>1.1334976904984555E-3</v>
      </c>
      <c r="D767" s="54">
        <f>((1+Table26[[#This Row],[Weekly change]])^52)-1</f>
        <v>6.0678184124352219E-2</v>
      </c>
      <c r="E767" s="57">
        <f>(Table26[[#This Row],[M2 Money Stock, Billions of Dollars, Weekly, Seasonally Adjusted]]-B715)/B715</f>
        <v>1.3221291728805755E-2</v>
      </c>
    </row>
    <row r="768" spans="1:5" x14ac:dyDescent="0.2">
      <c r="A768" s="50">
        <v>34855</v>
      </c>
      <c r="B768" s="51">
        <v>3541.4</v>
      </c>
      <c r="C768" s="53">
        <f>(Table26[[#This Row],[M2 Money Stock, Billions of Dollars, Weekly, Seasonally Adjusted]]-B767)/B767</f>
        <v>2.4059554473661862E-3</v>
      </c>
      <c r="D768" s="54">
        <f>((1+Table26[[#This Row],[Weekly change]])^52)-1</f>
        <v>0.1331024709154589</v>
      </c>
      <c r="E768" s="57">
        <f>(Table26[[#This Row],[M2 Money Stock, Billions of Dollars, Weekly, Seasonally Adjusted]]-B716)/B716</f>
        <v>1.7176011029411818E-2</v>
      </c>
    </row>
    <row r="769" spans="1:5" x14ac:dyDescent="0.2">
      <c r="A769" s="50">
        <v>34862</v>
      </c>
      <c r="B769" s="51">
        <v>3549.8</v>
      </c>
      <c r="C769" s="53">
        <f>(Table26[[#This Row],[M2 Money Stock, Billions of Dollars, Weekly, Seasonally Adjusted]]-B768)/B768</f>
        <v>2.3719432992602052E-3</v>
      </c>
      <c r="D769" s="54">
        <f>((1+Table26[[#This Row],[Weekly change]])^52)-1</f>
        <v>0.13110496883768885</v>
      </c>
      <c r="E769" s="57">
        <f>(Table26[[#This Row],[M2 Money Stock, Billions of Dollars, Weekly, Seasonally Adjusted]]-B717)/B717</f>
        <v>2.0057471264367868E-2</v>
      </c>
    </row>
    <row r="770" spans="1:5" x14ac:dyDescent="0.2">
      <c r="A770" s="50">
        <v>34869</v>
      </c>
      <c r="B770" s="51">
        <v>3547.7</v>
      </c>
      <c r="C770" s="53">
        <f>(Table26[[#This Row],[M2 Money Stock, Billions of Dollars, Weekly, Seasonally Adjusted]]-B769)/B769</f>
        <v>-5.9158262437330653E-4</v>
      </c>
      <c r="D770" s="54">
        <f>((1+Table26[[#This Row],[Weekly change]])^52)-1</f>
        <v>-3.0302778774190964E-2</v>
      </c>
      <c r="E770" s="57">
        <f>(Table26[[#This Row],[M2 Money Stock, Billions of Dollars, Weekly, Seasonally Adjusted]]-B718)/B718</f>
        <v>2.0509722701645302E-2</v>
      </c>
    </row>
    <row r="771" spans="1:5" x14ac:dyDescent="0.2">
      <c r="A771" s="50">
        <v>34876</v>
      </c>
      <c r="B771" s="51">
        <v>3552.3</v>
      </c>
      <c r="C771" s="53">
        <f>(Table26[[#This Row],[M2 Money Stock, Billions of Dollars, Weekly, Seasonally Adjusted]]-B770)/B770</f>
        <v>1.2966147081208568E-3</v>
      </c>
      <c r="D771" s="54">
        <f>((1+Table26[[#This Row],[Weekly change]])^52)-1</f>
        <v>6.9702199078684579E-2</v>
      </c>
      <c r="E771" s="57">
        <f>(Table26[[#This Row],[M2 Money Stock, Billions of Dollars, Weekly, Seasonally Adjusted]]-B719)/B719</f>
        <v>2.0570574884362446E-2</v>
      </c>
    </row>
    <row r="772" spans="1:5" x14ac:dyDescent="0.2">
      <c r="A772" s="50">
        <v>34883</v>
      </c>
      <c r="B772" s="51">
        <v>3552.9</v>
      </c>
      <c r="C772" s="53">
        <f>(Table26[[#This Row],[M2 Money Stock, Billions of Dollars, Weekly, Seasonally Adjusted]]-B771)/B771</f>
        <v>1.6890465332317344E-4</v>
      </c>
      <c r="D772" s="54">
        <f>((1+Table26[[#This Row],[Weekly change]])^52)-1</f>
        <v>8.8209778503529623E-3</v>
      </c>
      <c r="E772" s="57">
        <f>(Table26[[#This Row],[M2 Money Stock, Billions of Dollars, Weekly, Seasonally Adjusted]]-B720)/B720</f>
        <v>2.141789328426863E-2</v>
      </c>
    </row>
    <row r="773" spans="1:5" x14ac:dyDescent="0.2">
      <c r="A773" s="50">
        <v>34890</v>
      </c>
      <c r="B773" s="51">
        <v>3562.6</v>
      </c>
      <c r="C773" s="53">
        <f>(Table26[[#This Row],[M2 Money Stock, Billions of Dollars, Weekly, Seasonally Adjusted]]-B772)/B772</f>
        <v>2.7301640913056425E-3</v>
      </c>
      <c r="D773" s="54">
        <f>((1+Table26[[#This Row],[Weekly change]])^52)-1</f>
        <v>0.15231744713990225</v>
      </c>
      <c r="E773" s="57">
        <f>(Table26[[#This Row],[M2 Money Stock, Billions of Dollars, Weekly, Seasonally Adjusted]]-B721)/B721</f>
        <v>2.1621931635696288E-2</v>
      </c>
    </row>
    <row r="774" spans="1:5" x14ac:dyDescent="0.2">
      <c r="A774" s="50">
        <v>34897</v>
      </c>
      <c r="B774" s="51">
        <v>3565.2</v>
      </c>
      <c r="C774" s="53">
        <f>(Table26[[#This Row],[M2 Money Stock, Billions of Dollars, Weekly, Seasonally Adjusted]]-B773)/B773</f>
        <v>7.2980407567504329E-4</v>
      </c>
      <c r="D774" s="54">
        <f>((1+Table26[[#This Row],[Weekly change]])^52)-1</f>
        <v>3.8664725779440801E-2</v>
      </c>
      <c r="E774" s="57">
        <f>(Table26[[#This Row],[M2 Money Stock, Billions of Dollars, Weekly, Seasonally Adjusted]]-B722)/B722</f>
        <v>2.1840068787618176E-2</v>
      </c>
    </row>
    <row r="775" spans="1:5" x14ac:dyDescent="0.2">
      <c r="A775" s="50">
        <v>34904</v>
      </c>
      <c r="B775" s="51">
        <v>3570.6</v>
      </c>
      <c r="C775" s="53">
        <f>(Table26[[#This Row],[M2 Money Stock, Billions of Dollars, Weekly, Seasonally Adjusted]]-B774)/B774</f>
        <v>1.5146415348367809E-3</v>
      </c>
      <c r="D775" s="54">
        <f>((1+Table26[[#This Row],[Weekly change]])^52)-1</f>
        <v>8.188162694956036E-2</v>
      </c>
      <c r="E775" s="57">
        <f>(Table26[[#This Row],[M2 Money Stock, Billions of Dollars, Weekly, Seasonally Adjusted]]-B723)/B723</f>
        <v>2.3006618342262763E-2</v>
      </c>
    </row>
    <row r="776" spans="1:5" x14ac:dyDescent="0.2">
      <c r="A776" s="50">
        <v>34911</v>
      </c>
      <c r="B776" s="51">
        <v>3577.3</v>
      </c>
      <c r="C776" s="53">
        <f>(Table26[[#This Row],[M2 Money Stock, Billions of Dollars, Weekly, Seasonally Adjusted]]-B775)/B775</f>
        <v>1.8764353329973318E-3</v>
      </c>
      <c r="D776" s="54">
        <f>((1+Table26[[#This Row],[Weekly change]])^52)-1</f>
        <v>0.10239292718916748</v>
      </c>
      <c r="E776" s="57">
        <f>(Table26[[#This Row],[M2 Money Stock, Billions of Dollars, Weekly, Seasonally Adjusted]]-B724)/B724</f>
        <v>2.4280601288475357E-2</v>
      </c>
    </row>
    <row r="777" spans="1:5" x14ac:dyDescent="0.2">
      <c r="A777" s="50">
        <v>34918</v>
      </c>
      <c r="B777" s="51">
        <v>3582.4</v>
      </c>
      <c r="C777" s="53">
        <f>(Table26[[#This Row],[M2 Money Stock, Billions of Dollars, Weekly, Seasonally Adjusted]]-B776)/B776</f>
        <v>1.4256562211723671E-3</v>
      </c>
      <c r="D777" s="54">
        <f>((1+Table26[[#This Row],[Weekly change]])^52)-1</f>
        <v>7.6894384447647068E-2</v>
      </c>
      <c r="E777" s="57">
        <f>(Table26[[#This Row],[M2 Money Stock, Billions of Dollars, Weekly, Seasonally Adjusted]]-B725)/B725</f>
        <v>2.824339839265215E-2</v>
      </c>
    </row>
    <row r="778" spans="1:5" x14ac:dyDescent="0.2">
      <c r="A778" s="50">
        <v>34925</v>
      </c>
      <c r="B778" s="51">
        <v>3586.1</v>
      </c>
      <c r="C778" s="53">
        <f>(Table26[[#This Row],[M2 Money Stock, Billions of Dollars, Weekly, Seasonally Adjusted]]-B777)/B777</f>
        <v>1.0328271549798508E-3</v>
      </c>
      <c r="D778" s="54">
        <f>((1+Table26[[#This Row],[Weekly change]])^52)-1</f>
        <v>5.5146158411328416E-2</v>
      </c>
      <c r="E778" s="57">
        <f>(Table26[[#This Row],[M2 Money Stock, Billions of Dollars, Weekly, Seasonally Adjusted]]-B726)/B726</f>
        <v>2.8773882609443951E-2</v>
      </c>
    </row>
    <row r="779" spans="1:5" x14ac:dyDescent="0.2">
      <c r="A779" s="50">
        <v>34932</v>
      </c>
      <c r="B779" s="51">
        <v>3591.7</v>
      </c>
      <c r="C779" s="53">
        <f>(Table26[[#This Row],[M2 Money Stock, Billions of Dollars, Weekly, Seasonally Adjusted]]-B778)/B778</f>
        <v>1.5615850087838904E-3</v>
      </c>
      <c r="D779" s="54">
        <f>((1+Table26[[#This Row],[Weekly change]])^52)-1</f>
        <v>8.4521725853043517E-2</v>
      </c>
      <c r="E779" s="57">
        <f>(Table26[[#This Row],[M2 Money Stock, Billions of Dollars, Weekly, Seasonally Adjusted]]-B727)/B727</f>
        <v>2.990766760337206E-2</v>
      </c>
    </row>
    <row r="780" spans="1:5" x14ac:dyDescent="0.2">
      <c r="A780" s="50">
        <v>34939</v>
      </c>
      <c r="B780" s="51">
        <v>3593.2</v>
      </c>
      <c r="C780" s="53">
        <f>(Table26[[#This Row],[M2 Money Stock, Billions of Dollars, Weekly, Seasonally Adjusted]]-B779)/B779</f>
        <v>4.1762953476069832E-4</v>
      </c>
      <c r="D780" s="54">
        <f>((1+Table26[[#This Row],[Weekly change]])^52)-1</f>
        <v>2.19496273857962E-2</v>
      </c>
      <c r="E780" s="57">
        <f>(Table26[[#This Row],[M2 Money Stock, Billions of Dollars, Weekly, Seasonally Adjusted]]-B728)/B728</f>
        <v>3.1017761326791172E-2</v>
      </c>
    </row>
    <row r="781" spans="1:5" x14ac:dyDescent="0.2">
      <c r="A781" s="50">
        <v>34946</v>
      </c>
      <c r="B781" s="51">
        <v>3595.4</v>
      </c>
      <c r="C781" s="53">
        <f>(Table26[[#This Row],[M2 Money Stock, Billions of Dollars, Weekly, Seasonally Adjusted]]-B780)/B780</f>
        <v>6.1226761660922657E-4</v>
      </c>
      <c r="D781" s="54">
        <f>((1+Table26[[#This Row],[Weekly change]])^52)-1</f>
        <v>3.2340106551102421E-2</v>
      </c>
      <c r="E781" s="57">
        <f>(Table26[[#This Row],[M2 Money Stock, Billions of Dollars, Weekly, Seasonally Adjusted]]-B729)/B729</f>
        <v>3.1915504276448042E-2</v>
      </c>
    </row>
    <row r="782" spans="1:5" x14ac:dyDescent="0.2">
      <c r="A782" s="50">
        <v>34953</v>
      </c>
      <c r="B782" s="51">
        <v>3600.8</v>
      </c>
      <c r="C782" s="53">
        <f>(Table26[[#This Row],[M2 Money Stock, Billions of Dollars, Weekly, Seasonally Adjusted]]-B781)/B781</f>
        <v>1.5019191188741421E-3</v>
      </c>
      <c r="D782" s="54">
        <f>((1+Table26[[#This Row],[Weekly change]])^52)-1</f>
        <v>8.1167205142200771E-2</v>
      </c>
      <c r="E782" s="57">
        <f>(Table26[[#This Row],[M2 Money Stock, Billions of Dollars, Weekly, Seasonally Adjusted]]-B730)/B730</f>
        <v>3.3168828187765516E-2</v>
      </c>
    </row>
    <row r="783" spans="1:5" x14ac:dyDescent="0.2">
      <c r="A783" s="50">
        <v>34960</v>
      </c>
      <c r="B783" s="51">
        <v>3601.1</v>
      </c>
      <c r="C783" s="53">
        <f>(Table26[[#This Row],[M2 Money Stock, Billions of Dollars, Weekly, Seasonally Adjusted]]-B782)/B782</f>
        <v>8.3314818929051086E-5</v>
      </c>
      <c r="D783" s="54">
        <f>((1+Table26[[#This Row],[Weekly change]])^52)-1</f>
        <v>4.3415876202934633E-3</v>
      </c>
      <c r="E783" s="57">
        <f>(Table26[[#This Row],[M2 Money Stock, Billions of Dollars, Weekly, Seasonally Adjusted]]-B731)/B731</f>
        <v>3.2662307868777267E-2</v>
      </c>
    </row>
    <row r="784" spans="1:5" x14ac:dyDescent="0.2">
      <c r="A784" s="50">
        <v>34967</v>
      </c>
      <c r="B784" s="51">
        <v>3606.1</v>
      </c>
      <c r="C784" s="53">
        <f>(Table26[[#This Row],[M2 Money Stock, Billions of Dollars, Weekly, Seasonally Adjusted]]-B783)/B783</f>
        <v>1.3884646358057261E-3</v>
      </c>
      <c r="D784" s="54">
        <f>((1+Table26[[#This Row],[Weekly change]])^52)-1</f>
        <v>7.4816644445044433E-2</v>
      </c>
      <c r="E784" s="57">
        <f>(Table26[[#This Row],[M2 Money Stock, Billions of Dollars, Weekly, Seasonally Adjusted]]-B732)/B732</f>
        <v>3.3148063259225251E-2</v>
      </c>
    </row>
    <row r="785" spans="1:5" x14ac:dyDescent="0.2">
      <c r="A785" s="50">
        <v>34974</v>
      </c>
      <c r="B785" s="51">
        <v>3604.9</v>
      </c>
      <c r="C785" s="53">
        <f>(Table26[[#This Row],[M2 Money Stock, Billions of Dollars, Weekly, Seasonally Adjusted]]-B784)/B784</f>
        <v>-3.3276947394687286E-4</v>
      </c>
      <c r="D785" s="54">
        <f>((1+Table26[[#This Row],[Weekly change]])^52)-1</f>
        <v>-1.7157988404646884E-2</v>
      </c>
      <c r="E785" s="57">
        <f>(Table26[[#This Row],[M2 Money Stock, Billions of Dollars, Weekly, Seasonally Adjusted]]-B733)/B733</f>
        <v>3.5712233522955862E-2</v>
      </c>
    </row>
    <row r="786" spans="1:5" x14ac:dyDescent="0.2">
      <c r="A786" s="50">
        <v>34981</v>
      </c>
      <c r="B786" s="51">
        <v>3614.5</v>
      </c>
      <c r="C786" s="53">
        <f>(Table26[[#This Row],[M2 Money Stock, Billions of Dollars, Weekly, Seasonally Adjusted]]-B785)/B785</f>
        <v>2.6630419706510332E-3</v>
      </c>
      <c r="D786" s="54">
        <f>((1+Table26[[#This Row],[Weekly change]])^52)-1</f>
        <v>0.14831324545082469</v>
      </c>
      <c r="E786" s="57">
        <f>(Table26[[#This Row],[M2 Money Stock, Billions of Dollars, Weekly, Seasonally Adjusted]]-B734)/B734</f>
        <v>3.659410938082535E-2</v>
      </c>
    </row>
    <row r="787" spans="1:5" x14ac:dyDescent="0.2">
      <c r="A787" s="50">
        <v>34988</v>
      </c>
      <c r="B787" s="51">
        <v>3615</v>
      </c>
      <c r="C787" s="53">
        <f>(Table26[[#This Row],[M2 Money Stock, Billions of Dollars, Weekly, Seasonally Adjusted]]-B786)/B786</f>
        <v>1.3833171946327292E-4</v>
      </c>
      <c r="D787" s="54">
        <f>((1+Table26[[#This Row],[Weekly change]])^52)-1</f>
        <v>7.2186819028567939E-3</v>
      </c>
      <c r="E787" s="57">
        <f>(Table26[[#This Row],[M2 Money Stock, Billions of Dollars, Weekly, Seasonally Adjusted]]-B735)/B735</f>
        <v>3.715392339693014E-2</v>
      </c>
    </row>
    <row r="788" spans="1:5" x14ac:dyDescent="0.2">
      <c r="A788" s="50">
        <v>34995</v>
      </c>
      <c r="B788" s="51">
        <v>3612.8</v>
      </c>
      <c r="C788" s="53">
        <f>(Table26[[#This Row],[M2 Money Stock, Billions of Dollars, Weekly, Seasonally Adjusted]]-B787)/B787</f>
        <v>-6.085753803595624E-4</v>
      </c>
      <c r="D788" s="54">
        <f>((1+Table26[[#This Row],[Weekly change]])^52)-1</f>
        <v>-3.1159761420347376E-2</v>
      </c>
      <c r="E788" s="57">
        <f>(Table26[[#This Row],[M2 Money Stock, Billions of Dollars, Weekly, Seasonally Adjusted]]-B736)/B736</f>
        <v>3.7088069812837375E-2</v>
      </c>
    </row>
    <row r="789" spans="1:5" x14ac:dyDescent="0.2">
      <c r="A789" s="50">
        <v>35002</v>
      </c>
      <c r="B789" s="51">
        <v>3613</v>
      </c>
      <c r="C789" s="53">
        <f>(Table26[[#This Row],[M2 Money Stock, Billions of Dollars, Weekly, Seasonally Adjusted]]-B788)/B788</f>
        <v>5.5358724534936361E-5</v>
      </c>
      <c r="D789" s="54">
        <f>((1+Table26[[#This Row],[Weekly change]])^52)-1</f>
        <v>2.8827210718551655E-3</v>
      </c>
      <c r="E789" s="57">
        <f>(Table26[[#This Row],[M2 Money Stock, Billions of Dollars, Weekly, Seasonally Adjusted]]-B737)/B737</f>
        <v>3.7413501019324141E-2</v>
      </c>
    </row>
    <row r="790" spans="1:5" x14ac:dyDescent="0.2">
      <c r="A790" s="50">
        <v>35009</v>
      </c>
      <c r="B790" s="51">
        <v>3617.5</v>
      </c>
      <c r="C790" s="53">
        <f>(Table26[[#This Row],[M2 Money Stock, Billions of Dollars, Weekly, Seasonally Adjusted]]-B789)/B789</f>
        <v>1.2455023526155549E-3</v>
      </c>
      <c r="D790" s="54">
        <f>((1+Table26[[#This Row],[Weekly change]])^52)-1</f>
        <v>6.6866473621734146E-2</v>
      </c>
      <c r="E790" s="57">
        <f>(Table26[[#This Row],[M2 Money Stock, Billions of Dollars, Weekly, Seasonally Adjusted]]-B738)/B738</f>
        <v>3.9033777573529438E-2</v>
      </c>
    </row>
    <row r="791" spans="1:5" x14ac:dyDescent="0.2">
      <c r="A791" s="50">
        <v>35016</v>
      </c>
      <c r="B791" s="51">
        <v>3617.1</v>
      </c>
      <c r="C791" s="53">
        <f>(Table26[[#This Row],[M2 Money Stock, Billions of Dollars, Weekly, Seasonally Adjusted]]-B790)/B790</f>
        <v>-1.1057360055289314E-4</v>
      </c>
      <c r="D791" s="54">
        <f>((1+Table26[[#This Row],[Weekly change]])^52)-1</f>
        <v>-5.7336446989564305E-3</v>
      </c>
      <c r="E791" s="57">
        <f>(Table26[[#This Row],[M2 Money Stock, Billions of Dollars, Weekly, Seasonally Adjusted]]-B739)/B739</f>
        <v>3.7607573149741801E-2</v>
      </c>
    </row>
    <row r="792" spans="1:5" x14ac:dyDescent="0.2">
      <c r="A792" s="50">
        <v>35023</v>
      </c>
      <c r="B792" s="51">
        <v>3620</v>
      </c>
      <c r="C792" s="53">
        <f>(Table26[[#This Row],[M2 Money Stock, Billions of Dollars, Weekly, Seasonally Adjusted]]-B791)/B791</f>
        <v>8.0174725608915737E-4</v>
      </c>
      <c r="D792" s="54">
        <f>((1+Table26[[#This Row],[Weekly change]])^52)-1</f>
        <v>4.2554710572216381E-2</v>
      </c>
      <c r="E792" s="57">
        <f>(Table26[[#This Row],[M2 Money Stock, Billions of Dollars, Weekly, Seasonally Adjusted]]-B740)/B740</f>
        <v>3.7011573278331558E-2</v>
      </c>
    </row>
    <row r="793" spans="1:5" x14ac:dyDescent="0.2">
      <c r="A793" s="50">
        <v>35030</v>
      </c>
      <c r="B793" s="51">
        <v>3624</v>
      </c>
      <c r="C793" s="53">
        <f>(Table26[[#This Row],[M2 Money Stock, Billions of Dollars, Weekly, Seasonally Adjusted]]-B792)/B792</f>
        <v>1.1049723756906078E-3</v>
      </c>
      <c r="D793" s="54">
        <f>((1+Table26[[#This Row],[Weekly change]])^52)-1</f>
        <v>5.9107785442299665E-2</v>
      </c>
      <c r="E793" s="57">
        <f>(Table26[[#This Row],[M2 Money Stock, Billions of Dollars, Weekly, Seasonally Adjusted]]-B741)/B741</f>
        <v>3.8425169775638243E-2</v>
      </c>
    </row>
    <row r="794" spans="1:5" x14ac:dyDescent="0.2">
      <c r="A794" s="50">
        <v>35037</v>
      </c>
      <c r="B794" s="51">
        <v>3621</v>
      </c>
      <c r="C794" s="53">
        <f>(Table26[[#This Row],[M2 Money Stock, Billions of Dollars, Weekly, Seasonally Adjusted]]-B793)/B793</f>
        <v>-8.2781456953642384E-4</v>
      </c>
      <c r="D794" s="54">
        <f>((1+Table26[[#This Row],[Weekly change]])^52)-1</f>
        <v>-4.2150091172820869E-2</v>
      </c>
      <c r="E794" s="57">
        <f>(Table26[[#This Row],[M2 Money Stock, Billions of Dollars, Weekly, Seasonally Adjusted]]-B742)/B742</f>
        <v>3.7506088650755019E-2</v>
      </c>
    </row>
    <row r="795" spans="1:5" x14ac:dyDescent="0.2">
      <c r="A795" s="50">
        <v>35044</v>
      </c>
      <c r="B795" s="51">
        <v>3627.9</v>
      </c>
      <c r="C795" s="53">
        <f>(Table26[[#This Row],[M2 Money Stock, Billions of Dollars, Weekly, Seasonally Adjusted]]-B794)/B794</f>
        <v>1.9055509527755015E-3</v>
      </c>
      <c r="D795" s="54">
        <f>((1+Table26[[#This Row],[Weekly change]])^52)-1</f>
        <v>0.10406007272234641</v>
      </c>
      <c r="E795" s="57">
        <f>(Table26[[#This Row],[M2 Money Stock, Billions of Dollars, Weekly, Seasonally Adjusted]]-B743)/B743</f>
        <v>3.9900249376558686E-2</v>
      </c>
    </row>
    <row r="796" spans="1:5" x14ac:dyDescent="0.2">
      <c r="A796" s="50">
        <v>35051</v>
      </c>
      <c r="B796" s="51">
        <v>3627</v>
      </c>
      <c r="C796" s="53">
        <f>(Table26[[#This Row],[M2 Money Stock, Billions of Dollars, Weekly, Seasonally Adjusted]]-B795)/B795</f>
        <v>-2.4807740014887148E-4</v>
      </c>
      <c r="D796" s="54">
        <f>((1+Table26[[#This Row],[Weekly change]])^52)-1</f>
        <v>-1.2818755973940332E-2</v>
      </c>
      <c r="E796" s="57">
        <f>(Table26[[#This Row],[M2 Money Stock, Billions of Dollars, Weekly, Seasonally Adjusted]]-B744)/B744</f>
        <v>4.0507200642607093E-2</v>
      </c>
    </row>
    <row r="797" spans="1:5" x14ac:dyDescent="0.2">
      <c r="A797" s="50">
        <v>35058</v>
      </c>
      <c r="B797" s="51">
        <v>3632.2</v>
      </c>
      <c r="C797" s="53">
        <f>(Table26[[#This Row],[M2 Money Stock, Billions of Dollars, Weekly, Seasonally Adjusted]]-B796)/B796</f>
        <v>1.4336917562723513E-3</v>
      </c>
      <c r="D797" s="54">
        <f>((1+Table26[[#This Row],[Weekly change]])^52)-1</f>
        <v>7.7343813776743042E-2</v>
      </c>
      <c r="E797" s="57">
        <f>(Table26[[#This Row],[M2 Money Stock, Billions of Dollars, Weekly, Seasonally Adjusted]]-B745)/B745</f>
        <v>4.1909296922061877E-2</v>
      </c>
    </row>
    <row r="798" spans="1:5" x14ac:dyDescent="0.2">
      <c r="A798" s="50">
        <v>35065</v>
      </c>
      <c r="B798" s="51">
        <v>3636.9</v>
      </c>
      <c r="C798" s="53">
        <f>(Table26[[#This Row],[M2 Money Stock, Billions of Dollars, Weekly, Seasonally Adjusted]]-B797)/B797</f>
        <v>1.2939816089423141E-3</v>
      </c>
      <c r="D798" s="54">
        <f>((1+Table26[[#This Row],[Weekly change]])^52)-1</f>
        <v>6.955593368657853E-2</v>
      </c>
      <c r="E798" s="57">
        <f>(Table26[[#This Row],[M2 Money Stock, Billions of Dollars, Weekly, Seasonally Adjusted]]-B746)/B746</f>
        <v>4.4996121024049623E-2</v>
      </c>
    </row>
    <row r="799" spans="1:5" x14ac:dyDescent="0.2">
      <c r="A799" s="50">
        <v>35072</v>
      </c>
      <c r="B799" s="51">
        <v>3641.7</v>
      </c>
      <c r="C799" s="53">
        <f>(Table26[[#This Row],[M2 Money Stock, Billions of Dollars, Weekly, Seasonally Adjusted]]-B798)/B798</f>
        <v>1.3198053287139396E-3</v>
      </c>
      <c r="D799" s="54">
        <f>((1+Table26[[#This Row],[Weekly change]])^52)-1</f>
        <v>7.0991256817781068E-2</v>
      </c>
      <c r="E799" s="57">
        <f>(Table26[[#This Row],[M2 Money Stock, Billions of Dollars, Weekly, Seasonally Adjusted]]-B747)/B747</f>
        <v>4.3526849676199103E-2</v>
      </c>
    </row>
    <row r="800" spans="1:5" x14ac:dyDescent="0.2">
      <c r="A800" s="50">
        <v>35079</v>
      </c>
      <c r="B800" s="51">
        <v>3655.8</v>
      </c>
      <c r="C800" s="53">
        <f>(Table26[[#This Row],[M2 Money Stock, Billions of Dollars, Weekly, Seasonally Adjusted]]-B799)/B799</f>
        <v>3.8718181069281833E-3</v>
      </c>
      <c r="D800" s="54">
        <f>((1+Table26[[#This Row],[Weekly change]])^52)-1</f>
        <v>0.22255848211440954</v>
      </c>
      <c r="E800" s="57">
        <f>(Table26[[#This Row],[M2 Money Stock, Billions of Dollars, Weekly, Seasonally Adjusted]]-B748)/B748</f>
        <v>4.6337903202724774E-2</v>
      </c>
    </row>
    <row r="801" spans="1:5" x14ac:dyDescent="0.2">
      <c r="A801" s="50">
        <v>35086</v>
      </c>
      <c r="B801" s="51">
        <v>3647.5</v>
      </c>
      <c r="C801" s="53">
        <f>(Table26[[#This Row],[M2 Money Stock, Billions of Dollars, Weekly, Seasonally Adjusted]]-B800)/B800</f>
        <v>-2.2703648996116256E-3</v>
      </c>
      <c r="D801" s="54">
        <f>((1+Table26[[#This Row],[Weekly change]])^52)-1</f>
        <v>-0.11147562372307152</v>
      </c>
      <c r="E801" s="57">
        <f>(Table26[[#This Row],[M2 Money Stock, Billions of Dollars, Weekly, Seasonally Adjusted]]-B749)/B749</f>
        <v>4.3574044403753773E-2</v>
      </c>
    </row>
    <row r="802" spans="1:5" x14ac:dyDescent="0.2">
      <c r="A802" s="50">
        <v>35093</v>
      </c>
      <c r="B802" s="51">
        <v>3646.4</v>
      </c>
      <c r="C802" s="53">
        <f>(Table26[[#This Row],[M2 Money Stock, Billions of Dollars, Weekly, Seasonally Adjusted]]-B801)/B801</f>
        <v>-3.0157642220696618E-4</v>
      </c>
      <c r="D802" s="54">
        <f>((1+Table26[[#This Row],[Weekly change]])^52)-1</f>
        <v>-1.5561980381167961E-2</v>
      </c>
      <c r="E802" s="57">
        <f>(Table26[[#This Row],[M2 Money Stock, Billions of Dollars, Weekly, Seasonally Adjusted]]-B750)/B750</f>
        <v>4.3587762227755414E-2</v>
      </c>
    </row>
    <row r="803" spans="1:5" x14ac:dyDescent="0.2">
      <c r="A803" s="50">
        <v>35100</v>
      </c>
      <c r="B803" s="51">
        <v>3651.7</v>
      </c>
      <c r="C803" s="53">
        <f>(Table26[[#This Row],[M2 Money Stock, Billions of Dollars, Weekly, Seasonally Adjusted]]-B802)/B802</f>
        <v>1.4534883720929484E-3</v>
      </c>
      <c r="D803" s="54">
        <f>((1+Table26[[#This Row],[Weekly change]])^52)-1</f>
        <v>7.8451828071490759E-2</v>
      </c>
      <c r="E803" s="57">
        <f>(Table26[[#This Row],[M2 Money Stock, Billions of Dollars, Weekly, Seasonally Adjusted]]-B751)/B751</f>
        <v>4.5613331806207684E-2</v>
      </c>
    </row>
    <row r="804" spans="1:5" x14ac:dyDescent="0.2">
      <c r="A804" s="50">
        <v>35107</v>
      </c>
      <c r="B804" s="51">
        <v>3655.8</v>
      </c>
      <c r="C804" s="53">
        <f>(Table26[[#This Row],[M2 Money Stock, Billions of Dollars, Weekly, Seasonally Adjusted]]-B803)/B803</f>
        <v>1.1227647397103716E-3</v>
      </c>
      <c r="D804" s="54">
        <f>((1+Table26[[#This Row],[Weekly change]])^52)-1</f>
        <v>6.0087037243317543E-2</v>
      </c>
      <c r="E804" s="57">
        <f>(Table26[[#This Row],[M2 Money Stock, Billions of Dollars, Weekly, Seasonally Adjusted]]-B752)/B752</f>
        <v>4.741712746755293E-2</v>
      </c>
    </row>
    <row r="805" spans="1:5" x14ac:dyDescent="0.2">
      <c r="A805" s="50">
        <v>35114</v>
      </c>
      <c r="B805" s="51">
        <v>3660.6</v>
      </c>
      <c r="C805" s="53">
        <f>(Table26[[#This Row],[M2 Money Stock, Billions of Dollars, Weekly, Seasonally Adjusted]]-B804)/B804</f>
        <v>1.3129821106186682E-3</v>
      </c>
      <c r="D805" s="54">
        <f>((1+Table26[[#This Row],[Weekly change]])^52)-1</f>
        <v>7.061182805142896E-2</v>
      </c>
      <c r="E805" s="57">
        <f>(Table26[[#This Row],[M2 Money Stock, Billions of Dollars, Weekly, Seasonally Adjusted]]-B753)/B753</f>
        <v>4.9815021939258311E-2</v>
      </c>
    </row>
    <row r="806" spans="1:5" x14ac:dyDescent="0.2">
      <c r="A806" s="50">
        <v>35121</v>
      </c>
      <c r="B806" s="51">
        <v>3667.4</v>
      </c>
      <c r="C806" s="53">
        <f>(Table26[[#This Row],[M2 Money Stock, Billions of Dollars, Weekly, Seasonally Adjusted]]-B805)/B805</f>
        <v>1.8576189695678801E-3</v>
      </c>
      <c r="D806" s="54">
        <f>((1+Table26[[#This Row],[Weekly change]])^52)-1</f>
        <v>0.10131682549231402</v>
      </c>
      <c r="E806" s="57">
        <f>(Table26[[#This Row],[M2 Money Stock, Billions of Dollars, Weekly, Seasonally Adjusted]]-B754)/B754</f>
        <v>5.0590122607998139E-2</v>
      </c>
    </row>
    <row r="807" spans="1:5" x14ac:dyDescent="0.2">
      <c r="A807" s="50">
        <v>35128</v>
      </c>
      <c r="B807" s="51">
        <v>3681.7</v>
      </c>
      <c r="C807" s="53">
        <f>(Table26[[#This Row],[M2 Money Stock, Billions of Dollars, Weekly, Seasonally Adjusted]]-B806)/B806</f>
        <v>3.8992201559687315E-3</v>
      </c>
      <c r="D807" s="54">
        <f>((1+Table26[[#This Row],[Weekly change]])^52)-1</f>
        <v>0.22429500331476393</v>
      </c>
      <c r="E807" s="57">
        <f>(Table26[[#This Row],[M2 Money Stock, Billions of Dollars, Weekly, Seasonally Adjusted]]-B755)/B755</f>
        <v>5.5957092869844523E-2</v>
      </c>
    </row>
    <row r="808" spans="1:5" x14ac:dyDescent="0.2">
      <c r="A808" s="50">
        <v>35135</v>
      </c>
      <c r="B808" s="51">
        <v>3680.7</v>
      </c>
      <c r="C808" s="53">
        <f>(Table26[[#This Row],[M2 Money Stock, Billions of Dollars, Weekly, Seasonally Adjusted]]-B807)/B807</f>
        <v>-2.7161365673466061E-4</v>
      </c>
      <c r="D808" s="54">
        <f>((1+Table26[[#This Row],[Weekly change]])^52)-1</f>
        <v>-1.4026527225309504E-2</v>
      </c>
      <c r="E808" s="57">
        <f>(Table26[[#This Row],[M2 Money Stock, Billions of Dollars, Weekly, Seasonally Adjusted]]-B756)/B756</f>
        <v>5.3705877300964731E-2</v>
      </c>
    </row>
    <row r="809" spans="1:5" x14ac:dyDescent="0.2">
      <c r="A809" s="50">
        <v>35142</v>
      </c>
      <c r="B809" s="51">
        <v>3687.9</v>
      </c>
      <c r="C809" s="53">
        <f>(Table26[[#This Row],[M2 Money Stock, Billions of Dollars, Weekly, Seasonally Adjusted]]-B808)/B808</f>
        <v>1.9561496454479511E-3</v>
      </c>
      <c r="D809" s="54">
        <f>((1+Table26[[#This Row],[Weekly change]])^52)-1</f>
        <v>0.10696321260320185</v>
      </c>
      <c r="E809" s="57">
        <f>(Table26[[#This Row],[M2 Money Stock, Billions of Dollars, Weekly, Seasonally Adjusted]]-B757)/B757</f>
        <v>5.6008933940383102E-2</v>
      </c>
    </row>
    <row r="810" spans="1:5" x14ac:dyDescent="0.2">
      <c r="A810" s="50">
        <v>35149</v>
      </c>
      <c r="B810" s="51">
        <v>3689.3</v>
      </c>
      <c r="C810" s="53">
        <f>(Table26[[#This Row],[M2 Money Stock, Billions of Dollars, Weekly, Seasonally Adjusted]]-B809)/B809</f>
        <v>3.7961983784812246E-4</v>
      </c>
      <c r="D810" s="54">
        <f>((1+Table26[[#This Row],[Weekly change]])^52)-1</f>
        <v>1.9932537725778632E-2</v>
      </c>
      <c r="E810" s="57">
        <f>(Table26[[#This Row],[M2 Money Stock, Billions of Dollars, Weekly, Seasonally Adjusted]]-B758)/B758</f>
        <v>5.5563503190180621E-2</v>
      </c>
    </row>
    <row r="811" spans="1:5" x14ac:dyDescent="0.2">
      <c r="A811" s="50">
        <v>35156</v>
      </c>
      <c r="B811" s="51">
        <v>3695.6</v>
      </c>
      <c r="C811" s="53">
        <f>(Table26[[#This Row],[M2 Money Stock, Billions of Dollars, Weekly, Seasonally Adjusted]]-B810)/B810</f>
        <v>1.7076410159108035E-3</v>
      </c>
      <c r="D811" s="54">
        <f>((1+Table26[[#This Row],[Weekly change]])^52)-1</f>
        <v>9.2776387263164395E-2</v>
      </c>
      <c r="E811" s="57">
        <f>(Table26[[#This Row],[M2 Money Stock, Billions of Dollars, Weekly, Seasonally Adjusted]]-B759)/B759</f>
        <v>6.0399988522567505E-2</v>
      </c>
    </row>
    <row r="812" spans="1:5" x14ac:dyDescent="0.2">
      <c r="A812" s="50">
        <v>35163</v>
      </c>
      <c r="B812" s="51">
        <v>3696.6</v>
      </c>
      <c r="C812" s="53">
        <f>(Table26[[#This Row],[M2 Money Stock, Billions of Dollars, Weekly, Seasonally Adjusted]]-B811)/B811</f>
        <v>2.7059205541725298E-4</v>
      </c>
      <c r="D812" s="54">
        <f>((1+Table26[[#This Row],[Weekly change]])^52)-1</f>
        <v>1.4168315999191883E-2</v>
      </c>
      <c r="E812" s="57">
        <f>(Table26[[#This Row],[M2 Money Stock, Billions of Dollars, Weekly, Seasonally Adjusted]]-B760)/B760</f>
        <v>5.7470606745430128E-2</v>
      </c>
    </row>
    <row r="813" spans="1:5" x14ac:dyDescent="0.2">
      <c r="A813" s="50">
        <v>35170</v>
      </c>
      <c r="B813" s="51">
        <v>3705.4</v>
      </c>
      <c r="C813" s="53">
        <f>(Table26[[#This Row],[M2 Money Stock, Billions of Dollars, Weekly, Seasonally Adjusted]]-B812)/B812</f>
        <v>2.3805659254450529E-3</v>
      </c>
      <c r="D813" s="54">
        <f>((1+Table26[[#This Row],[Weekly change]])^52)-1</f>
        <v>0.13161104068579244</v>
      </c>
      <c r="E813" s="57">
        <f>(Table26[[#This Row],[M2 Money Stock, Billions of Dollars, Weekly, Seasonally Adjusted]]-B761)/B761</f>
        <v>6.001830873097614E-2</v>
      </c>
    </row>
    <row r="814" spans="1:5" x14ac:dyDescent="0.2">
      <c r="A814" s="50">
        <v>35177</v>
      </c>
      <c r="B814" s="51">
        <v>3695.6</v>
      </c>
      <c r="C814" s="53">
        <f>(Table26[[#This Row],[M2 Money Stock, Billions of Dollars, Weekly, Seasonally Adjusted]]-B813)/B813</f>
        <v>-2.6447886867815031E-3</v>
      </c>
      <c r="D814" s="54">
        <f>((1+Table26[[#This Row],[Weekly change]])^52)-1</f>
        <v>-0.12864969914830204</v>
      </c>
      <c r="E814" s="57">
        <f>(Table26[[#This Row],[M2 Money Stock, Billions of Dollars, Weekly, Seasonally Adjusted]]-B762)/B762</f>
        <v>5.5132048536759432E-2</v>
      </c>
    </row>
    <row r="815" spans="1:5" x14ac:dyDescent="0.2">
      <c r="A815" s="50">
        <v>35184</v>
      </c>
      <c r="B815" s="51">
        <v>3691.9</v>
      </c>
      <c r="C815" s="53">
        <f>(Table26[[#This Row],[M2 Money Stock, Billions of Dollars, Weekly, Seasonally Adjusted]]-B814)/B814</f>
        <v>-1.0011906050437867E-3</v>
      </c>
      <c r="D815" s="54">
        <f>((1+Table26[[#This Row],[Weekly change]])^52)-1</f>
        <v>-5.0754661706662652E-2</v>
      </c>
      <c r="E815" s="57">
        <f>(Table26[[#This Row],[M2 Money Stock, Billions of Dollars, Weekly, Seasonally Adjusted]]-B763)/B763</f>
        <v>5.1613638305751074E-2</v>
      </c>
    </row>
    <row r="816" spans="1:5" x14ac:dyDescent="0.2">
      <c r="A816" s="50">
        <v>35191</v>
      </c>
      <c r="B816" s="51">
        <v>3706.5</v>
      </c>
      <c r="C816" s="53">
        <f>(Table26[[#This Row],[M2 Money Stock, Billions of Dollars, Weekly, Seasonally Adjusted]]-B815)/B815</f>
        <v>3.9546033207833115E-3</v>
      </c>
      <c r="D816" s="54">
        <f>((1+Table26[[#This Row],[Weekly change]])^52)-1</f>
        <v>0.22781213123631483</v>
      </c>
      <c r="E816" s="57">
        <f>(Table26[[#This Row],[M2 Money Stock, Billions of Dollars, Weekly, Seasonally Adjusted]]-B764)/B764</f>
        <v>5.4930980503771168E-2</v>
      </c>
    </row>
    <row r="817" spans="1:5" x14ac:dyDescent="0.2">
      <c r="A817" s="50">
        <v>35198</v>
      </c>
      <c r="B817" s="51">
        <v>3711.1</v>
      </c>
      <c r="C817" s="53">
        <f>(Table26[[#This Row],[M2 Money Stock, Billions of Dollars, Weekly, Seasonally Adjusted]]-B816)/B816</f>
        <v>1.2410629974369107E-3</v>
      </c>
      <c r="D817" s="54">
        <f>((1+Table26[[#This Row],[Weekly change]])^52)-1</f>
        <v>6.6620525435441502E-2</v>
      </c>
      <c r="E817" s="57">
        <f>(Table26[[#This Row],[M2 Money Stock, Billions of Dollars, Weekly, Seasonally Adjusted]]-B765)/B765</f>
        <v>5.4649312265544994E-2</v>
      </c>
    </row>
    <row r="818" spans="1:5" x14ac:dyDescent="0.2">
      <c r="A818" s="50">
        <v>35205</v>
      </c>
      <c r="B818" s="51">
        <v>3710</v>
      </c>
      <c r="C818" s="53">
        <f>(Table26[[#This Row],[M2 Money Stock, Billions of Dollars, Weekly, Seasonally Adjusted]]-B817)/B817</f>
        <v>-2.9640807307803859E-4</v>
      </c>
      <c r="D818" s="54">
        <f>((1+Table26[[#This Row],[Weekly change]])^52)-1</f>
        <v>-1.5297293867926887E-2</v>
      </c>
      <c r="E818" s="57">
        <f>(Table26[[#This Row],[M2 Money Stock, Billions of Dollars, Weekly, Seasonally Adjusted]]-B766)/B766</f>
        <v>5.1319107937317553E-2</v>
      </c>
    </row>
    <row r="819" spans="1:5" x14ac:dyDescent="0.2">
      <c r="A819" s="50">
        <v>35212</v>
      </c>
      <c r="B819" s="51">
        <v>3708.3</v>
      </c>
      <c r="C819" s="53">
        <f>(Table26[[#This Row],[M2 Money Stock, Billions of Dollars, Weekly, Seasonally Adjusted]]-B818)/B818</f>
        <v>-4.5822102425871106E-4</v>
      </c>
      <c r="D819" s="54">
        <f>((1+Table26[[#This Row],[Weekly change]])^52)-1</f>
        <v>-2.3551192054827363E-2</v>
      </c>
      <c r="E819" s="57">
        <f>(Table26[[#This Row],[M2 Money Stock, Billions of Dollars, Weekly, Seasonally Adjusted]]-B767)/B767</f>
        <v>4.9647598290356386E-2</v>
      </c>
    </row>
    <row r="820" spans="1:5" x14ac:dyDescent="0.2">
      <c r="A820" s="50">
        <v>35219</v>
      </c>
      <c r="B820" s="51">
        <v>3713.6</v>
      </c>
      <c r="C820" s="53">
        <f>(Table26[[#This Row],[M2 Money Stock, Billions of Dollars, Weekly, Seasonally Adjusted]]-B819)/B819</f>
        <v>1.429226330124242E-3</v>
      </c>
      <c r="D820" s="54">
        <f>((1+Table26[[#This Row],[Weekly change]])^52)-1</f>
        <v>7.7094038759434547E-2</v>
      </c>
      <c r="E820" s="57">
        <f>(Table26[[#This Row],[M2 Money Stock, Billions of Dollars, Weekly, Seasonally Adjusted]]-B768)/B768</f>
        <v>4.8624837634833627E-2</v>
      </c>
    </row>
    <row r="821" spans="1:5" x14ac:dyDescent="0.2">
      <c r="A821" s="50">
        <v>35226</v>
      </c>
      <c r="B821" s="51">
        <v>3721.7</v>
      </c>
      <c r="C821" s="53">
        <f>(Table26[[#This Row],[M2 Money Stock, Billions of Dollars, Weekly, Seasonally Adjusted]]-B820)/B820</f>
        <v>2.1811719086600361E-3</v>
      </c>
      <c r="D821" s="54">
        <f>((1+Table26[[#This Row],[Weekly change]])^52)-1</f>
        <v>0.11996498736872763</v>
      </c>
      <c r="E821" s="57">
        <f>(Table26[[#This Row],[M2 Money Stock, Billions of Dollars, Weekly, Seasonally Adjusted]]-B769)/B769</f>
        <v>4.8425263395120745E-2</v>
      </c>
    </row>
    <row r="822" spans="1:5" x14ac:dyDescent="0.2">
      <c r="A822" s="50">
        <v>35233</v>
      </c>
      <c r="B822" s="51">
        <v>3722.3</v>
      </c>
      <c r="C822" s="53">
        <f>(Table26[[#This Row],[M2 Money Stock, Billions of Dollars, Weekly, Seasonally Adjusted]]-B821)/B821</f>
        <v>1.6121664830597948E-4</v>
      </c>
      <c r="D822" s="54">
        <f>((1+Table26[[#This Row],[Weekly change]])^52)-1</f>
        <v>8.4178223084117043E-3</v>
      </c>
      <c r="E822" s="57">
        <f>(Table26[[#This Row],[M2 Money Stock, Billions of Dollars, Weekly, Seasonally Adjusted]]-B770)/B770</f>
        <v>4.9214984356061781E-2</v>
      </c>
    </row>
    <row r="823" spans="1:5" x14ac:dyDescent="0.2">
      <c r="A823" s="50">
        <v>35240</v>
      </c>
      <c r="B823" s="51">
        <v>3720.9</v>
      </c>
      <c r="C823" s="53">
        <f>(Table26[[#This Row],[M2 Money Stock, Billions of Dollars, Weekly, Seasonally Adjusted]]-B822)/B822</f>
        <v>-3.7611154393791228E-4</v>
      </c>
      <c r="D823" s="54">
        <f>((1+Table26[[#This Row],[Weekly change]])^52)-1</f>
        <v>-1.9371394891910532E-2</v>
      </c>
      <c r="E823" s="57">
        <f>(Table26[[#This Row],[M2 Money Stock, Billions of Dollars, Weekly, Seasonally Adjusted]]-B771)/B771</f>
        <v>4.7462207583818909E-2</v>
      </c>
    </row>
    <row r="824" spans="1:5" x14ac:dyDescent="0.2">
      <c r="A824" s="50">
        <v>35247</v>
      </c>
      <c r="B824" s="51">
        <v>3730.5</v>
      </c>
      <c r="C824" s="53">
        <f>(Table26[[#This Row],[M2 Money Stock, Billions of Dollars, Weekly, Seasonally Adjusted]]-B823)/B823</f>
        <v>2.5800209626702974E-3</v>
      </c>
      <c r="D824" s="54">
        <f>((1+Table26[[#This Row],[Weekly change]])^52)-1</f>
        <v>0.14337946255414757</v>
      </c>
      <c r="E824" s="57">
        <f>(Table26[[#This Row],[M2 Money Stock, Billions of Dollars, Weekly, Seasonally Adjusted]]-B772)/B772</f>
        <v>4.9987334290298037E-2</v>
      </c>
    </row>
    <row r="825" spans="1:5" x14ac:dyDescent="0.2">
      <c r="A825" s="50">
        <v>35254</v>
      </c>
      <c r="B825" s="51">
        <v>3730.2</v>
      </c>
      <c r="C825" s="53">
        <f>(Table26[[#This Row],[M2 Money Stock, Billions of Dollars, Weekly, Seasonally Adjusted]]-B824)/B824</f>
        <v>-8.0418174507487441E-5</v>
      </c>
      <c r="D825" s="54">
        <f>((1+Table26[[#This Row],[Weekly change]])^52)-1</f>
        <v>-4.1731812048616534E-3</v>
      </c>
      <c r="E825" s="57">
        <f>(Table26[[#This Row],[M2 Money Stock, Billions of Dollars, Weekly, Seasonally Adjusted]]-B773)/B773</f>
        <v>4.7044293493515944E-2</v>
      </c>
    </row>
    <row r="826" spans="1:5" x14ac:dyDescent="0.2">
      <c r="A826" s="50">
        <v>35261</v>
      </c>
      <c r="B826" s="51">
        <v>3734.6</v>
      </c>
      <c r="C826" s="53">
        <f>(Table26[[#This Row],[M2 Money Stock, Billions of Dollars, Weekly, Seasonally Adjusted]]-B825)/B825</f>
        <v>1.1795614176183828E-3</v>
      </c>
      <c r="D826" s="54">
        <f>((1+Table26[[#This Row],[Weekly change]])^52)-1</f>
        <v>6.3218944508800057E-2</v>
      </c>
      <c r="E826" s="57">
        <f>(Table26[[#This Row],[M2 Money Stock, Billions of Dollars, Weekly, Seasonally Adjusted]]-B774)/B774</f>
        <v>4.7514865926175279E-2</v>
      </c>
    </row>
    <row r="827" spans="1:5" x14ac:dyDescent="0.2">
      <c r="A827" s="50">
        <v>35268</v>
      </c>
      <c r="B827" s="51">
        <v>3740.2</v>
      </c>
      <c r="C827" s="53">
        <f>(Table26[[#This Row],[M2 Money Stock, Billions of Dollars, Weekly, Seasonally Adjusted]]-B826)/B826</f>
        <v>1.4994912440421757E-3</v>
      </c>
      <c r="D827" s="54">
        <f>((1+Table26[[#This Row],[Weekly change]])^52)-1</f>
        <v>8.1030921457272642E-2</v>
      </c>
      <c r="E827" s="57">
        <f>(Table26[[#This Row],[M2 Money Stock, Billions of Dollars, Weekly, Seasonally Adjusted]]-B775)/B775</f>
        <v>4.7499019772587213E-2</v>
      </c>
    </row>
    <row r="828" spans="1:5" x14ac:dyDescent="0.2">
      <c r="A828" s="50">
        <v>35275</v>
      </c>
      <c r="B828" s="51">
        <v>3741.4</v>
      </c>
      <c r="C828" s="53">
        <f>(Table26[[#This Row],[M2 Money Stock, Billions of Dollars, Weekly, Seasonally Adjusted]]-B827)/B827</f>
        <v>3.208384578365523E-4</v>
      </c>
      <c r="D828" s="54">
        <f>((1+Table26[[#This Row],[Weekly change]])^52)-1</f>
        <v>1.6820827446157427E-2</v>
      </c>
      <c r="E828" s="57">
        <f>(Table26[[#This Row],[M2 Money Stock, Billions of Dollars, Weekly, Seasonally Adjusted]]-B776)/B776</f>
        <v>4.5872585469488136E-2</v>
      </c>
    </row>
    <row r="829" spans="1:5" x14ac:dyDescent="0.2">
      <c r="A829" s="50">
        <v>35282</v>
      </c>
      <c r="B829" s="51">
        <v>3744.6</v>
      </c>
      <c r="C829" s="53">
        <f>(Table26[[#This Row],[M2 Money Stock, Billions of Dollars, Weekly, Seasonally Adjusted]]-B828)/B828</f>
        <v>8.5529480942957668E-4</v>
      </c>
      <c r="D829" s="54">
        <f>((1+Table26[[#This Row],[Weekly change]])^52)-1</f>
        <v>4.5459311272475045E-2</v>
      </c>
      <c r="E829" s="57">
        <f>(Table26[[#This Row],[M2 Money Stock, Billions of Dollars, Weekly, Seasonally Adjusted]]-B777)/B777</f>
        <v>4.5276909334524287E-2</v>
      </c>
    </row>
    <row r="830" spans="1:5" x14ac:dyDescent="0.2">
      <c r="A830" s="50">
        <v>35289</v>
      </c>
      <c r="B830" s="51">
        <v>3744.7</v>
      </c>
      <c r="C830" s="53">
        <f>(Table26[[#This Row],[M2 Money Stock, Billions of Dollars, Weekly, Seasonally Adjusted]]-B829)/B829</f>
        <v>2.6705122042383445E-5</v>
      </c>
      <c r="D830" s="54">
        <f>((1+Table26[[#This Row],[Weekly change]])^52)-1</f>
        <v>1.3896124220960093E-3</v>
      </c>
      <c r="E830" s="57">
        <f>(Table26[[#This Row],[M2 Money Stock, Billions of Dollars, Weekly, Seasonally Adjusted]]-B778)/B778</f>
        <v>4.4226318284487302E-2</v>
      </c>
    </row>
    <row r="831" spans="1:5" x14ac:dyDescent="0.2">
      <c r="A831" s="50">
        <v>35296</v>
      </c>
      <c r="B831" s="51">
        <v>3743</v>
      </c>
      <c r="C831" s="53">
        <f>(Table26[[#This Row],[M2 Money Stock, Billions of Dollars, Weekly, Seasonally Adjusted]]-B830)/B830</f>
        <v>-4.5397495126440519E-4</v>
      </c>
      <c r="D831" s="54">
        <f>((1+Table26[[#This Row],[Weekly change]])^52)-1</f>
        <v>-2.3335474060832584E-2</v>
      </c>
      <c r="E831" s="57">
        <f>(Table26[[#This Row],[M2 Money Stock, Billions of Dollars, Weekly, Seasonally Adjusted]]-B779)/B779</f>
        <v>4.2124899072862487E-2</v>
      </c>
    </row>
    <row r="832" spans="1:5" x14ac:dyDescent="0.2">
      <c r="A832" s="50">
        <v>35303</v>
      </c>
      <c r="B832" s="51">
        <v>3745.4</v>
      </c>
      <c r="C832" s="53">
        <f>(Table26[[#This Row],[M2 Money Stock, Billions of Dollars, Weekly, Seasonally Adjusted]]-B831)/B831</f>
        <v>6.4119690088167006E-4</v>
      </c>
      <c r="D832" s="54">
        <f>((1+Table26[[#This Row],[Weekly change]])^52)-1</f>
        <v>3.389327381215268E-2</v>
      </c>
      <c r="E832" s="57">
        <f>(Table26[[#This Row],[M2 Money Stock, Billions of Dollars, Weekly, Seasonally Adjusted]]-B780)/B780</f>
        <v>4.2357786930869501E-2</v>
      </c>
    </row>
    <row r="833" spans="1:5" x14ac:dyDescent="0.2">
      <c r="A833" s="50">
        <v>35310</v>
      </c>
      <c r="B833" s="51">
        <v>3743.3</v>
      </c>
      <c r="C833" s="53">
        <f>(Table26[[#This Row],[M2 Money Stock, Billions of Dollars, Weekly, Seasonally Adjusted]]-B832)/B832</f>
        <v>-5.6068777700643698E-4</v>
      </c>
      <c r="D833" s="54">
        <f>((1+Table26[[#This Row],[Weekly change]])^52)-1</f>
        <v>-2.8742777564816469E-2</v>
      </c>
      <c r="E833" s="57">
        <f>(Table26[[#This Row],[M2 Money Stock, Billions of Dollars, Weekly, Seasonally Adjusted]]-B781)/B781</f>
        <v>4.1135895866941115E-2</v>
      </c>
    </row>
    <row r="834" spans="1:5" x14ac:dyDescent="0.2">
      <c r="A834" s="50">
        <v>35317</v>
      </c>
      <c r="B834" s="51">
        <v>3757.4</v>
      </c>
      <c r="C834" s="53">
        <f>(Table26[[#This Row],[M2 Money Stock, Billions of Dollars, Weekly, Seasonally Adjusted]]-B833)/B833</f>
        <v>3.7667298907380943E-3</v>
      </c>
      <c r="D834" s="54">
        <f>((1+Table26[[#This Row],[Weekly change]])^52)-1</f>
        <v>0.21592120564396367</v>
      </c>
      <c r="E834" s="57">
        <f>(Table26[[#This Row],[M2 Money Stock, Billions of Dollars, Weekly, Seasonally Adjusted]]-B782)/B782</f>
        <v>4.3490335481004193E-2</v>
      </c>
    </row>
    <row r="835" spans="1:5" x14ac:dyDescent="0.2">
      <c r="A835" s="50">
        <v>35324</v>
      </c>
      <c r="B835" s="51">
        <v>3752.4</v>
      </c>
      <c r="C835" s="53">
        <f>(Table26[[#This Row],[M2 Money Stock, Billions of Dollars, Weekly, Seasonally Adjusted]]-B834)/B834</f>
        <v>-1.3307074040559961E-3</v>
      </c>
      <c r="D835" s="54">
        <f>((1+Table26[[#This Row],[Weekly change]])^52)-1</f>
        <v>-6.6899965933242544E-2</v>
      </c>
      <c r="E835" s="57">
        <f>(Table26[[#This Row],[M2 Money Stock, Billions of Dollars, Weekly, Seasonally Adjusted]]-B783)/B783</f>
        <v>4.2014939879481322E-2</v>
      </c>
    </row>
    <row r="836" spans="1:5" x14ac:dyDescent="0.2">
      <c r="A836" s="50">
        <v>35331</v>
      </c>
      <c r="B836" s="51">
        <v>3749.2</v>
      </c>
      <c r="C836" s="53">
        <f>(Table26[[#This Row],[M2 Money Stock, Billions of Dollars, Weekly, Seasonally Adjusted]]-B835)/B835</f>
        <v>-8.5278754930185284E-4</v>
      </c>
      <c r="D836" s="54">
        <f>((1+Table26[[#This Row],[Weekly change]])^52)-1</f>
        <v>-4.3394187677154861E-2</v>
      </c>
      <c r="E836" s="57">
        <f>(Table26[[#This Row],[M2 Money Stock, Billions of Dollars, Weekly, Seasonally Adjusted]]-B784)/B784</f>
        <v>3.9682759768170574E-2</v>
      </c>
    </row>
    <row r="837" spans="1:5" x14ac:dyDescent="0.2">
      <c r="A837" s="50">
        <v>35338</v>
      </c>
      <c r="B837" s="51">
        <v>3758.2</v>
      </c>
      <c r="C837" s="53">
        <f>(Table26[[#This Row],[M2 Money Stock, Billions of Dollars, Weekly, Seasonally Adjusted]]-B836)/B836</f>
        <v>2.4005121092499733E-3</v>
      </c>
      <c r="D837" s="54">
        <f>((1+Table26[[#This Row],[Weekly change]])^52)-1</f>
        <v>0.13278255631046143</v>
      </c>
      <c r="E837" s="57">
        <f>(Table26[[#This Row],[M2 Money Stock, Billions of Dollars, Weekly, Seasonally Adjusted]]-B785)/B785</f>
        <v>4.2525451468834012E-2</v>
      </c>
    </row>
    <row r="838" spans="1:5" x14ac:dyDescent="0.2">
      <c r="A838" s="50">
        <v>35345</v>
      </c>
      <c r="B838" s="51">
        <v>3763.3</v>
      </c>
      <c r="C838" s="53">
        <f>(Table26[[#This Row],[M2 Money Stock, Billions of Dollars, Weekly, Seasonally Adjusted]]-B837)/B837</f>
        <v>1.3570326219999903E-3</v>
      </c>
      <c r="D838" s="54">
        <f>((1+Table26[[#This Row],[Weekly change]])^52)-1</f>
        <v>7.3063733792048557E-2</v>
      </c>
      <c r="E838" s="57">
        <f>(Table26[[#This Row],[M2 Money Stock, Billions of Dollars, Weekly, Seasonally Adjusted]]-B786)/B786</f>
        <v>4.1167519712270076E-2</v>
      </c>
    </row>
    <row r="839" spans="1:5" x14ac:dyDescent="0.2">
      <c r="A839" s="50">
        <v>35352</v>
      </c>
      <c r="B839" s="51">
        <v>3767.8</v>
      </c>
      <c r="C839" s="53">
        <f>(Table26[[#This Row],[M2 Money Stock, Billions of Dollars, Weekly, Seasonally Adjusted]]-B838)/B838</f>
        <v>1.1957590412669731E-3</v>
      </c>
      <c r="D839" s="54">
        <f>((1+Table26[[#This Row],[Weekly change]])^52)-1</f>
        <v>6.4113782799327668E-2</v>
      </c>
      <c r="E839" s="57">
        <f>(Table26[[#This Row],[M2 Money Stock, Billions of Dollars, Weekly, Seasonally Adjusted]]-B787)/B787</f>
        <v>4.2268326417704061E-2</v>
      </c>
    </row>
    <row r="840" spans="1:5" x14ac:dyDescent="0.2">
      <c r="A840" s="50">
        <v>35359</v>
      </c>
      <c r="B840" s="51">
        <v>3772.5</v>
      </c>
      <c r="C840" s="53">
        <f>(Table26[[#This Row],[M2 Money Stock, Billions of Dollars, Weekly, Seasonally Adjusted]]-B839)/B839</f>
        <v>1.2474122830298364E-3</v>
      </c>
      <c r="D840" s="54">
        <f>((1+Table26[[#This Row],[Weekly change]])^52)-1</f>
        <v>6.6972304281362582E-2</v>
      </c>
      <c r="E840" s="57">
        <f>(Table26[[#This Row],[M2 Money Stock, Billions of Dollars, Weekly, Seasonally Adjusted]]-B788)/B788</f>
        <v>4.4203941541186842E-2</v>
      </c>
    </row>
    <row r="841" spans="1:5" x14ac:dyDescent="0.2">
      <c r="A841" s="50">
        <v>35366</v>
      </c>
      <c r="B841" s="51">
        <v>3776.1</v>
      </c>
      <c r="C841" s="53">
        <f>(Table26[[#This Row],[M2 Money Stock, Billions of Dollars, Weekly, Seasonally Adjusted]]-B840)/B840</f>
        <v>9.5427435387671544E-4</v>
      </c>
      <c r="D841" s="54">
        <f>((1+Table26[[#This Row],[Weekly change]])^52)-1</f>
        <v>5.084920590877906E-2</v>
      </c>
      <c r="E841" s="57">
        <f>(Table26[[#This Row],[M2 Money Stock, Billions of Dollars, Weekly, Seasonally Adjusted]]-B789)/B789</f>
        <v>4.5142540824799314E-2</v>
      </c>
    </row>
    <row r="842" spans="1:5" x14ac:dyDescent="0.2">
      <c r="A842" s="50">
        <v>35373</v>
      </c>
      <c r="B842" s="51">
        <v>3779.9</v>
      </c>
      <c r="C842" s="53">
        <f>(Table26[[#This Row],[M2 Money Stock, Billions of Dollars, Weekly, Seasonally Adjusted]]-B841)/B841</f>
        <v>1.0063292815339058E-3</v>
      </c>
      <c r="D842" s="54">
        <f>((1+Table26[[#This Row],[Weekly change]])^52)-1</f>
        <v>5.3694763654493549E-2</v>
      </c>
      <c r="E842" s="57">
        <f>(Table26[[#This Row],[M2 Money Stock, Billions of Dollars, Weekly, Seasonally Adjusted]]-B790)/B790</f>
        <v>4.4892881824464437E-2</v>
      </c>
    </row>
    <row r="843" spans="1:5" x14ac:dyDescent="0.2">
      <c r="A843" s="50">
        <v>35380</v>
      </c>
      <c r="B843" s="51">
        <v>3787.2</v>
      </c>
      <c r="C843" s="53">
        <f>(Table26[[#This Row],[M2 Money Stock, Billions of Dollars, Weekly, Seasonally Adjusted]]-B842)/B842</f>
        <v>1.9312680229634982E-3</v>
      </c>
      <c r="D843" s="54">
        <f>((1+Table26[[#This Row],[Weekly change]])^52)-1</f>
        <v>0.10553467549504703</v>
      </c>
      <c r="E843" s="57">
        <f>(Table26[[#This Row],[M2 Money Stock, Billions of Dollars, Weekly, Seasonally Adjusted]]-B791)/B791</f>
        <v>4.7026623538193556E-2</v>
      </c>
    </row>
    <row r="844" spans="1:5" x14ac:dyDescent="0.2">
      <c r="A844" s="50">
        <v>35387</v>
      </c>
      <c r="B844" s="51">
        <v>3789.4</v>
      </c>
      <c r="C844" s="53">
        <f>(Table26[[#This Row],[M2 Money Stock, Billions of Dollars, Weekly, Seasonally Adjusted]]-B843)/B843</f>
        <v>5.8090409801443623E-4</v>
      </c>
      <c r="D844" s="54">
        <f>((1+Table26[[#This Row],[Weekly change]])^52)-1</f>
        <v>3.065883439981465E-2</v>
      </c>
      <c r="E844" s="57">
        <f>(Table26[[#This Row],[M2 Money Stock, Billions of Dollars, Weekly, Seasonally Adjusted]]-B792)/B792</f>
        <v>4.679558011049726E-2</v>
      </c>
    </row>
    <row r="845" spans="1:5" x14ac:dyDescent="0.2">
      <c r="A845" s="50">
        <v>35394</v>
      </c>
      <c r="B845" s="51">
        <v>3792</v>
      </c>
      <c r="C845" s="53">
        <f>(Table26[[#This Row],[M2 Money Stock, Billions of Dollars, Weekly, Seasonally Adjusted]]-B844)/B844</f>
        <v>6.861244524198842E-4</v>
      </c>
      <c r="D845" s="54">
        <f>((1+Table26[[#This Row],[Weekly change]])^52)-1</f>
        <v>3.6309907052347157E-2</v>
      </c>
      <c r="E845" s="57">
        <f>(Table26[[#This Row],[M2 Money Stock, Billions of Dollars, Weekly, Seasonally Adjusted]]-B793)/B793</f>
        <v>4.6357615894039736E-2</v>
      </c>
    </row>
    <row r="846" spans="1:5" x14ac:dyDescent="0.2">
      <c r="A846" s="50">
        <v>35401</v>
      </c>
      <c r="B846" s="51">
        <v>3800.3</v>
      </c>
      <c r="C846" s="53">
        <f>(Table26[[#This Row],[M2 Money Stock, Billions of Dollars, Weekly, Seasonally Adjusted]]-B845)/B845</f>
        <v>2.1888185654008918E-3</v>
      </c>
      <c r="D846" s="54">
        <f>((1+Table26[[#This Row],[Weekly change]])^52)-1</f>
        <v>0.12040943198157561</v>
      </c>
      <c r="E846" s="57">
        <f>(Table26[[#This Row],[M2 Money Stock, Billions of Dollars, Weekly, Seasonally Adjusted]]-B794)/B794</f>
        <v>4.9516708091687428E-2</v>
      </c>
    </row>
    <row r="847" spans="1:5" x14ac:dyDescent="0.2">
      <c r="A847" s="50">
        <v>35408</v>
      </c>
      <c r="B847" s="51">
        <v>3810.5</v>
      </c>
      <c r="C847" s="53">
        <f>(Table26[[#This Row],[M2 Money Stock, Billions of Dollars, Weekly, Seasonally Adjusted]]-B846)/B846</f>
        <v>2.6839986316869241E-3</v>
      </c>
      <c r="D847" s="54">
        <f>((1+Table26[[#This Row],[Weekly change]])^52)-1</f>
        <v>0.14956195745570899</v>
      </c>
      <c r="E847" s="57">
        <f>(Table26[[#This Row],[M2 Money Stock, Billions of Dollars, Weekly, Seasonally Adjusted]]-B795)/B795</f>
        <v>5.0332148074643708E-2</v>
      </c>
    </row>
    <row r="848" spans="1:5" x14ac:dyDescent="0.2">
      <c r="A848" s="50">
        <v>35415</v>
      </c>
      <c r="B848" s="51">
        <v>3808.4</v>
      </c>
      <c r="C848" s="53">
        <f>(Table26[[#This Row],[M2 Money Stock, Billions of Dollars, Weekly, Seasonally Adjusted]]-B847)/B847</f>
        <v>-5.5110877837551738E-4</v>
      </c>
      <c r="D848" s="54">
        <f>((1+Table26[[#This Row],[Weekly change]])^52)-1</f>
        <v>-2.8258596909116696E-2</v>
      </c>
      <c r="E848" s="57">
        <f>(Table26[[#This Row],[M2 Money Stock, Billions of Dollars, Weekly, Seasonally Adjusted]]-B796)/B796</f>
        <v>5.0013785497656491E-2</v>
      </c>
    </row>
    <row r="849" spans="1:5" x14ac:dyDescent="0.2">
      <c r="A849" s="50">
        <v>35422</v>
      </c>
      <c r="B849" s="51">
        <v>3813.4</v>
      </c>
      <c r="C849" s="53">
        <f>(Table26[[#This Row],[M2 Money Stock, Billions of Dollars, Weekly, Seasonally Adjusted]]-B848)/B848</f>
        <v>1.3128873017540174E-3</v>
      </c>
      <c r="D849" s="54">
        <f>((1+Table26[[#This Row],[Weekly change]])^52)-1</f>
        <v>7.0606556803654463E-2</v>
      </c>
      <c r="E849" s="57">
        <f>(Table26[[#This Row],[M2 Money Stock, Billions of Dollars, Weekly, Seasonally Adjusted]]-B797)/B797</f>
        <v>4.9887120753262564E-2</v>
      </c>
    </row>
    <row r="850" spans="1:5" x14ac:dyDescent="0.2">
      <c r="A850" s="50">
        <v>35429</v>
      </c>
      <c r="B850" s="51">
        <v>3810.6</v>
      </c>
      <c r="C850" s="53">
        <f>(Table26[[#This Row],[M2 Money Stock, Billions of Dollars, Weekly, Seasonally Adjusted]]-B849)/B849</f>
        <v>-7.3425289767666175E-4</v>
      </c>
      <c r="D850" s="54">
        <f>((1+Table26[[#This Row],[Weekly change]])^52)-1</f>
        <v>-3.7474938131959346E-2</v>
      </c>
      <c r="E850" s="57">
        <f>(Table26[[#This Row],[M2 Money Stock, Billions of Dollars, Weekly, Seasonally Adjusted]]-B798)/B798</f>
        <v>4.7760455332838354E-2</v>
      </c>
    </row>
    <row r="851" spans="1:5" x14ac:dyDescent="0.2">
      <c r="A851" s="50">
        <v>35436</v>
      </c>
      <c r="B851" s="51">
        <v>3820.2</v>
      </c>
      <c r="C851" s="53">
        <f>(Table26[[#This Row],[M2 Money Stock, Billions of Dollars, Weekly, Seasonally Adjusted]]-B850)/B850</f>
        <v>2.5192883010549281E-3</v>
      </c>
      <c r="D851" s="54">
        <f>((1+Table26[[#This Row],[Weekly change]])^52)-1</f>
        <v>0.13978340772375031</v>
      </c>
      <c r="E851" s="57">
        <f>(Table26[[#This Row],[M2 Money Stock, Billions of Dollars, Weekly, Seasonally Adjusted]]-B799)/B799</f>
        <v>4.9015569651536375E-2</v>
      </c>
    </row>
    <row r="852" spans="1:5" x14ac:dyDescent="0.2">
      <c r="A852" s="50">
        <v>35443</v>
      </c>
      <c r="B852" s="51">
        <v>3823.9</v>
      </c>
      <c r="C852" s="53">
        <f>(Table26[[#This Row],[M2 Money Stock, Billions of Dollars, Weekly, Seasonally Adjusted]]-B851)/B851</f>
        <v>9.6853567876034575E-4</v>
      </c>
      <c r="D852" s="54">
        <f>((1+Table26[[#This Row],[Weekly change]])^52)-1</f>
        <v>5.1628043983454219E-2</v>
      </c>
      <c r="E852" s="57">
        <f>(Table26[[#This Row],[M2 Money Stock, Billions of Dollars, Weekly, Seasonally Adjusted]]-B800)/B800</f>
        <v>4.5981727665627192E-2</v>
      </c>
    </row>
    <row r="853" spans="1:5" x14ac:dyDescent="0.2">
      <c r="A853" s="50">
        <v>35450</v>
      </c>
      <c r="B853" s="51">
        <v>3824.8</v>
      </c>
      <c r="C853" s="53">
        <f>(Table26[[#This Row],[M2 Money Stock, Billions of Dollars, Weekly, Seasonally Adjusted]]-B852)/B852</f>
        <v>2.35361803394464E-4</v>
      </c>
      <c r="D853" s="54">
        <f>((1+Table26[[#This Row],[Weekly change]])^52)-1</f>
        <v>1.2312556753629744E-2</v>
      </c>
      <c r="E853" s="57">
        <f>(Table26[[#This Row],[M2 Money Stock, Billions of Dollars, Weekly, Seasonally Adjusted]]-B801)/B801</f>
        <v>4.8608636052090523E-2</v>
      </c>
    </row>
    <row r="854" spans="1:5" x14ac:dyDescent="0.2">
      <c r="A854" s="50">
        <v>35457</v>
      </c>
      <c r="B854" s="51">
        <v>3826.7</v>
      </c>
      <c r="C854" s="53">
        <f>(Table26[[#This Row],[M2 Money Stock, Billions of Dollars, Weekly, Seasonally Adjusted]]-B853)/B853</f>
        <v>4.9675800041822744E-4</v>
      </c>
      <c r="D854" s="54">
        <f>((1+Table26[[#This Row],[Weekly change]])^52)-1</f>
        <v>2.6161356743479525E-2</v>
      </c>
      <c r="E854" s="57">
        <f>(Table26[[#This Row],[M2 Money Stock, Billions of Dollars, Weekly, Seasonally Adjusted]]-B802)/B802</f>
        <v>4.9446028960070131E-2</v>
      </c>
    </row>
    <row r="855" spans="1:5" x14ac:dyDescent="0.2">
      <c r="A855" s="50">
        <v>35464</v>
      </c>
      <c r="B855" s="51">
        <v>3828.1</v>
      </c>
      <c r="C855" s="53">
        <f>(Table26[[#This Row],[M2 Money Stock, Billions of Dollars, Weekly, Seasonally Adjusted]]-B854)/B854</f>
        <v>3.658504716858105E-4</v>
      </c>
      <c r="D855" s="54">
        <f>((1+Table26[[#This Row],[Weekly change]])^52)-1</f>
        <v>1.9202792132483548E-2</v>
      </c>
      <c r="E855" s="57">
        <f>(Table26[[#This Row],[M2 Money Stock, Billions of Dollars, Weekly, Seasonally Adjusted]]-B803)/B803</f>
        <v>4.8306268313388315E-2</v>
      </c>
    </row>
    <row r="856" spans="1:5" x14ac:dyDescent="0.2">
      <c r="A856" s="50">
        <v>35471</v>
      </c>
      <c r="B856" s="51">
        <v>3837.6</v>
      </c>
      <c r="C856" s="53">
        <f>(Table26[[#This Row],[M2 Money Stock, Billions of Dollars, Weekly, Seasonally Adjusted]]-B855)/B855</f>
        <v>2.4816488597476554E-3</v>
      </c>
      <c r="D856" s="54">
        <f>((1+Table26[[#This Row],[Weekly change]])^52)-1</f>
        <v>0.13756030067467395</v>
      </c>
      <c r="E856" s="57">
        <f>(Table26[[#This Row],[M2 Money Stock, Billions of Dollars, Weekly, Seasonally Adjusted]]-B804)/B804</f>
        <v>4.9729197439684805E-2</v>
      </c>
    </row>
    <row r="857" spans="1:5" x14ac:dyDescent="0.2">
      <c r="A857" s="50">
        <v>35478</v>
      </c>
      <c r="B857" s="51">
        <v>3837.1</v>
      </c>
      <c r="C857" s="53">
        <f>(Table26[[#This Row],[M2 Money Stock, Billions of Dollars, Weekly, Seasonally Adjusted]]-B856)/B856</f>
        <v>-1.302897644361059E-4</v>
      </c>
      <c r="D857" s="54">
        <f>((1+Table26[[#This Row],[Weekly change]])^52)-1</f>
        <v>-6.7526071413340771E-3</v>
      </c>
      <c r="E857" s="57">
        <f>(Table26[[#This Row],[M2 Money Stock, Billions of Dollars, Weekly, Seasonally Adjusted]]-B805)/B805</f>
        <v>4.8216139430694423E-2</v>
      </c>
    </row>
    <row r="858" spans="1:5" x14ac:dyDescent="0.2">
      <c r="A858" s="50">
        <v>35485</v>
      </c>
      <c r="B858" s="51">
        <v>3836.3</v>
      </c>
      <c r="C858" s="53">
        <f>(Table26[[#This Row],[M2 Money Stock, Billions of Dollars, Weekly, Seasonally Adjusted]]-B857)/B857</f>
        <v>-2.084907873132645E-4</v>
      </c>
      <c r="D858" s="54">
        <f>((1+Table26[[#This Row],[Weekly change]])^52)-1</f>
        <v>-1.0784081607297935E-2</v>
      </c>
      <c r="E858" s="57">
        <f>(Table26[[#This Row],[M2 Money Stock, Billions of Dollars, Weekly, Seasonally Adjusted]]-B806)/B806</f>
        <v>4.6054425478540682E-2</v>
      </c>
    </row>
    <row r="859" spans="1:5" x14ac:dyDescent="0.2">
      <c r="A859" s="50">
        <v>35492</v>
      </c>
      <c r="B859" s="51">
        <v>3838.5</v>
      </c>
      <c r="C859" s="53">
        <f>(Table26[[#This Row],[M2 Money Stock, Billions of Dollars, Weekly, Seasonally Adjusted]]-B858)/B858</f>
        <v>5.7346922816250501E-4</v>
      </c>
      <c r="D859" s="54">
        <f>((1+Table26[[#This Row],[Weekly change]])^52)-1</f>
        <v>3.0260674840663304E-2</v>
      </c>
      <c r="E859" s="57">
        <f>(Table26[[#This Row],[M2 Money Stock, Billions of Dollars, Weekly, Seasonally Adjusted]]-B807)/B807</f>
        <v>4.2589021375994837E-2</v>
      </c>
    </row>
    <row r="860" spans="1:5" x14ac:dyDescent="0.2">
      <c r="A860" s="50">
        <v>35499</v>
      </c>
      <c r="B860" s="51">
        <v>3851.9</v>
      </c>
      <c r="C860" s="53">
        <f>(Table26[[#This Row],[M2 Money Stock, Billions of Dollars, Weekly, Seasonally Adjusted]]-B859)/B859</f>
        <v>3.490946984499177E-3</v>
      </c>
      <c r="D860" s="54">
        <f>((1+Table26[[#This Row],[Weekly change]])^52)-1</f>
        <v>0.1986706177902906</v>
      </c>
      <c r="E860" s="57">
        <f>(Table26[[#This Row],[M2 Money Stock, Billions of Dollars, Weekly, Seasonally Adjusted]]-B808)/B808</f>
        <v>4.651289156953848E-2</v>
      </c>
    </row>
    <row r="861" spans="1:5" x14ac:dyDescent="0.2">
      <c r="A861" s="50">
        <v>35506</v>
      </c>
      <c r="B861" s="51">
        <v>3850.6</v>
      </c>
      <c r="C861" s="53">
        <f>(Table26[[#This Row],[M2 Money Stock, Billions of Dollars, Weekly, Seasonally Adjusted]]-B860)/B860</f>
        <v>-3.3749578130278093E-4</v>
      </c>
      <c r="D861" s="54">
        <f>((1+Table26[[#This Row],[Weekly change]])^52)-1</f>
        <v>-1.7399590781518426E-2</v>
      </c>
      <c r="E861" s="57">
        <f>(Table26[[#This Row],[M2 Money Stock, Billions of Dollars, Weekly, Seasonally Adjusted]]-B809)/B809</f>
        <v>4.4117248298489606E-2</v>
      </c>
    </row>
    <row r="862" spans="1:5" x14ac:dyDescent="0.2">
      <c r="A862" s="50">
        <v>35513</v>
      </c>
      <c r="B862" s="51">
        <v>3852</v>
      </c>
      <c r="C862" s="53">
        <f>(Table26[[#This Row],[M2 Money Stock, Billions of Dollars, Weekly, Seasonally Adjusted]]-B861)/B861</f>
        <v>3.6357970186466811E-4</v>
      </c>
      <c r="D862" s="54">
        <f>((1+Table26[[#This Row],[Weekly change]])^52)-1</f>
        <v>1.9082495611900452E-2</v>
      </c>
      <c r="E862" s="57">
        <f>(Table26[[#This Row],[M2 Money Stock, Billions of Dollars, Weekly, Seasonally Adjusted]]-B810)/B810</f>
        <v>4.4100506871222134E-2</v>
      </c>
    </row>
    <row r="863" spans="1:5" x14ac:dyDescent="0.2">
      <c r="A863" s="50">
        <v>35520</v>
      </c>
      <c r="B863" s="51">
        <v>3855.7</v>
      </c>
      <c r="C863" s="53">
        <f>(Table26[[#This Row],[M2 Money Stock, Billions of Dollars, Weekly, Seasonally Adjusted]]-B862)/B862</f>
        <v>9.6053997923152079E-4</v>
      </c>
      <c r="D863" s="54">
        <f>((1+Table26[[#This Row],[Weekly change]])^52)-1</f>
        <v>5.1191313926922666E-2</v>
      </c>
      <c r="E863" s="57">
        <f>(Table26[[#This Row],[M2 Money Stock, Billions of Dollars, Weekly, Seasonally Adjusted]]-B811)/B811</f>
        <v>4.3321788072302171E-2</v>
      </c>
    </row>
    <row r="864" spans="1:5" x14ac:dyDescent="0.2">
      <c r="A864" s="50">
        <v>35527</v>
      </c>
      <c r="B864" s="51">
        <v>3866.4</v>
      </c>
      <c r="C864" s="53">
        <f>(Table26[[#This Row],[M2 Money Stock, Billions of Dollars, Weekly, Seasonally Adjusted]]-B863)/B863</f>
        <v>2.7751121715901841E-3</v>
      </c>
      <c r="D864" s="54">
        <f>((1+Table26[[#This Row],[Weekly change]])^52)-1</f>
        <v>0.1550064982653252</v>
      </c>
      <c r="E864" s="57">
        <f>(Table26[[#This Row],[M2 Money Stock, Billions of Dollars, Weekly, Seasonally Adjusted]]-B812)/B812</f>
        <v>4.593410160688205E-2</v>
      </c>
    </row>
    <row r="865" spans="1:5" x14ac:dyDescent="0.2">
      <c r="A865" s="50">
        <v>35534</v>
      </c>
      <c r="B865" s="51">
        <v>3867.8</v>
      </c>
      <c r="C865" s="53">
        <f>(Table26[[#This Row],[M2 Money Stock, Billions of Dollars, Weekly, Seasonally Adjusted]]-B864)/B864</f>
        <v>3.6209393751295541E-4</v>
      </c>
      <c r="D865" s="54">
        <f>((1+Table26[[#This Row],[Weekly change]])^52)-1</f>
        <v>1.9003793153293813E-2</v>
      </c>
      <c r="E865" s="57">
        <f>(Table26[[#This Row],[M2 Money Stock, Billions of Dollars, Weekly, Seasonally Adjusted]]-B813)/B813</f>
        <v>4.3827926809521266E-2</v>
      </c>
    </row>
    <row r="866" spans="1:5" x14ac:dyDescent="0.2">
      <c r="A866" s="50">
        <v>35541</v>
      </c>
      <c r="B866" s="51">
        <v>3869.4</v>
      </c>
      <c r="C866" s="53">
        <f>(Table26[[#This Row],[M2 Money Stock, Billions of Dollars, Weekly, Seasonally Adjusted]]-B865)/B865</f>
        <v>4.1367185480115543E-4</v>
      </c>
      <c r="D866" s="54">
        <f>((1+Table26[[#This Row],[Weekly change]])^52)-1</f>
        <v>2.1739419812640826E-2</v>
      </c>
      <c r="E866" s="57">
        <f>(Table26[[#This Row],[M2 Money Stock, Billions of Dollars, Weekly, Seasonally Adjusted]]-B814)/B814</f>
        <v>4.7028899231518616E-2</v>
      </c>
    </row>
    <row r="867" spans="1:5" x14ac:dyDescent="0.2">
      <c r="A867" s="50">
        <v>35548</v>
      </c>
      <c r="B867" s="51">
        <v>3865</v>
      </c>
      <c r="C867" s="53">
        <f>(Table26[[#This Row],[M2 Money Stock, Billions of Dollars, Weekly, Seasonally Adjusted]]-B866)/B866</f>
        <v>-1.1371272031839796E-3</v>
      </c>
      <c r="D867" s="54">
        <f>((1+Table26[[#This Row],[Weekly change]])^52)-1</f>
        <v>-5.7448066752307958E-2</v>
      </c>
      <c r="E867" s="57">
        <f>(Table26[[#This Row],[M2 Money Stock, Billions of Dollars, Weekly, Seasonally Adjusted]]-B815)/B815</f>
        <v>4.688642704298597E-2</v>
      </c>
    </row>
    <row r="868" spans="1:5" x14ac:dyDescent="0.2">
      <c r="A868" s="50">
        <v>35555</v>
      </c>
      <c r="B868" s="51">
        <v>3867.9</v>
      </c>
      <c r="C868" s="53">
        <f>(Table26[[#This Row],[M2 Money Stock, Billions of Dollars, Weekly, Seasonally Adjusted]]-B867)/B867</f>
        <v>7.5032341526522401E-4</v>
      </c>
      <c r="D868" s="54">
        <f>((1+Table26[[#This Row],[Weekly change]])^52)-1</f>
        <v>3.9772757938182135E-2</v>
      </c>
      <c r="E868" s="57">
        <f>(Table26[[#This Row],[M2 Money Stock, Billions of Dollars, Weekly, Seasonally Adjusted]]-B816)/B816</f>
        <v>4.354512343180901E-2</v>
      </c>
    </row>
    <row r="869" spans="1:5" x14ac:dyDescent="0.2">
      <c r="A869" s="50">
        <v>35562</v>
      </c>
      <c r="B869" s="51">
        <v>3874.5</v>
      </c>
      <c r="C869" s="53">
        <f>(Table26[[#This Row],[M2 Money Stock, Billions of Dollars, Weekly, Seasonally Adjusted]]-B868)/B868</f>
        <v>1.7063522841851931E-3</v>
      </c>
      <c r="D869" s="54">
        <f>((1+Table26[[#This Row],[Weekly change]])^52)-1</f>
        <v>9.2703283130045833E-2</v>
      </c>
      <c r="E869" s="57">
        <f>(Table26[[#This Row],[M2 Money Stock, Billions of Dollars, Weekly, Seasonally Adjusted]]-B817)/B817</f>
        <v>4.4030071946323218E-2</v>
      </c>
    </row>
    <row r="870" spans="1:5" x14ac:dyDescent="0.2">
      <c r="A870" s="50">
        <v>35569</v>
      </c>
      <c r="B870" s="51">
        <v>3877.3</v>
      </c>
      <c r="C870" s="53">
        <f>(Table26[[#This Row],[M2 Money Stock, Billions of Dollars, Weekly, Seasonally Adjusted]]-B869)/B869</f>
        <v>7.226738934056477E-4</v>
      </c>
      <c r="D870" s="54">
        <f>((1+Table26[[#This Row],[Weekly change]])^52)-1</f>
        <v>3.8279971356895981E-2</v>
      </c>
      <c r="E870" s="57">
        <f>(Table26[[#This Row],[M2 Money Stock, Billions of Dollars, Weekly, Seasonally Adjusted]]-B818)/B818</f>
        <v>4.509433962264156E-2</v>
      </c>
    </row>
    <row r="871" spans="1:5" x14ac:dyDescent="0.2">
      <c r="A871" s="50">
        <v>35576</v>
      </c>
      <c r="B871" s="51">
        <v>3887.5</v>
      </c>
      <c r="C871" s="53">
        <f>(Table26[[#This Row],[M2 Money Stock, Billions of Dollars, Weekly, Seasonally Adjusted]]-B870)/B870</f>
        <v>2.6306966187810634E-3</v>
      </c>
      <c r="D871" s="54">
        <f>((1+Table26[[#This Row],[Weekly change]])^52)-1</f>
        <v>0.14638854397921719</v>
      </c>
      <c r="E871" s="57">
        <f>(Table26[[#This Row],[M2 Money Stock, Billions of Dollars, Weekly, Seasonally Adjusted]]-B819)/B819</f>
        <v>4.8324029878920212E-2</v>
      </c>
    </row>
    <row r="872" spans="1:5" x14ac:dyDescent="0.2">
      <c r="A872" s="50">
        <v>35583</v>
      </c>
      <c r="B872" s="51">
        <v>3887.3</v>
      </c>
      <c r="C872" s="53">
        <f>(Table26[[#This Row],[M2 Money Stock, Billions of Dollars, Weekly, Seasonally Adjusted]]-B871)/B871</f>
        <v>-5.1446945337573787E-5</v>
      </c>
      <c r="D872" s="54">
        <f>((1+Table26[[#This Row],[Weekly change]])^52)-1</f>
        <v>-2.6717345238616019E-3</v>
      </c>
      <c r="E872" s="57">
        <f>(Table26[[#This Row],[M2 Money Stock, Billions of Dollars, Weekly, Seasonally Adjusted]]-B820)/B820</f>
        <v>4.677401981904359E-2</v>
      </c>
    </row>
    <row r="873" spans="1:5" x14ac:dyDescent="0.2">
      <c r="A873" s="50">
        <v>35590</v>
      </c>
      <c r="B873" s="51">
        <v>3899.2</v>
      </c>
      <c r="C873" s="53">
        <f>(Table26[[#This Row],[M2 Money Stock, Billions of Dollars, Weekly, Seasonally Adjusted]]-B872)/B872</f>
        <v>3.0612507395877948E-3</v>
      </c>
      <c r="D873" s="54">
        <f>((1+Table26[[#This Row],[Weekly change]])^52)-1</f>
        <v>0.17226981462523194</v>
      </c>
      <c r="E873" s="57">
        <f>(Table26[[#This Row],[M2 Money Stock, Billions of Dollars, Weekly, Seasonally Adjusted]]-B821)/B821</f>
        <v>4.7693258457156676E-2</v>
      </c>
    </row>
    <row r="874" spans="1:5" x14ac:dyDescent="0.2">
      <c r="A874" s="50">
        <v>35597</v>
      </c>
      <c r="B874" s="51">
        <v>3892.6</v>
      </c>
      <c r="C874" s="53">
        <f>(Table26[[#This Row],[M2 Money Stock, Billions of Dollars, Weekly, Seasonally Adjusted]]-B873)/B873</f>
        <v>-1.6926549035699398E-3</v>
      </c>
      <c r="D874" s="54">
        <f>((1+Table26[[#This Row],[Weekly change]])^52)-1</f>
        <v>-8.4323947421077849E-2</v>
      </c>
      <c r="E874" s="57">
        <f>(Table26[[#This Row],[M2 Money Stock, Billions of Dollars, Weekly, Seasonally Adjusted]]-B822)/B822</f>
        <v>4.5751282809015859E-2</v>
      </c>
    </row>
    <row r="875" spans="1:5" x14ac:dyDescent="0.2">
      <c r="A875" s="50">
        <v>35604</v>
      </c>
      <c r="B875" s="51">
        <v>3893.8</v>
      </c>
      <c r="C875" s="53">
        <f>(Table26[[#This Row],[M2 Money Stock, Billions of Dollars, Weekly, Seasonally Adjusted]]-B874)/B874</f>
        <v>3.0827724400150875E-4</v>
      </c>
      <c r="D875" s="54">
        <f>((1+Table26[[#This Row],[Weekly change]])^52)-1</f>
        <v>1.6157082829240332E-2</v>
      </c>
      <c r="E875" s="57">
        <f>(Table26[[#This Row],[M2 Money Stock, Billions of Dollars, Weekly, Seasonally Adjusted]]-B823)/B823</f>
        <v>4.646725254642696E-2</v>
      </c>
    </row>
    <row r="876" spans="1:5" x14ac:dyDescent="0.2">
      <c r="A876" s="50">
        <v>35611</v>
      </c>
      <c r="B876" s="51">
        <v>3900.1</v>
      </c>
      <c r="C876" s="53">
        <f>(Table26[[#This Row],[M2 Money Stock, Billions of Dollars, Weekly, Seasonally Adjusted]]-B875)/B875</f>
        <v>1.6179567517591368E-3</v>
      </c>
      <c r="D876" s="54">
        <f>((1+Table26[[#This Row],[Weekly change]])^52)-1</f>
        <v>8.7700420846642535E-2</v>
      </c>
      <c r="E876" s="57">
        <f>(Table26[[#This Row],[M2 Money Stock, Billions of Dollars, Weekly, Seasonally Adjusted]]-B824)/B824</f>
        <v>4.5463074654871975E-2</v>
      </c>
    </row>
    <row r="877" spans="1:5" x14ac:dyDescent="0.2">
      <c r="A877" s="50">
        <v>35618</v>
      </c>
      <c r="B877" s="51">
        <v>3912.4</v>
      </c>
      <c r="C877" s="53">
        <f>(Table26[[#This Row],[M2 Money Stock, Billions of Dollars, Weekly, Seasonally Adjusted]]-B876)/B876</f>
        <v>3.1537652880695836E-3</v>
      </c>
      <c r="D877" s="54">
        <f>((1+Table26[[#This Row],[Weekly change]])^52)-1</f>
        <v>0.17790535157111176</v>
      </c>
      <c r="E877" s="57">
        <f>(Table26[[#This Row],[M2 Money Stock, Billions of Dollars, Weekly, Seasonally Adjusted]]-B825)/B825</f>
        <v>4.8844565975014818E-2</v>
      </c>
    </row>
    <row r="878" spans="1:5" x14ac:dyDescent="0.2">
      <c r="A878" s="50">
        <v>35625</v>
      </c>
      <c r="B878" s="51">
        <v>3910.7</v>
      </c>
      <c r="C878" s="53">
        <f>(Table26[[#This Row],[M2 Money Stock, Billions of Dollars, Weekly, Seasonally Adjusted]]-B877)/B877</f>
        <v>-4.3451589816999103E-4</v>
      </c>
      <c r="D878" s="54">
        <f>((1+Table26[[#This Row],[Weekly change]])^52)-1</f>
        <v>-2.2346275951169781E-2</v>
      </c>
      <c r="E878" s="57">
        <f>(Table26[[#This Row],[M2 Money Stock, Billions of Dollars, Weekly, Seasonally Adjusted]]-B826)/B826</f>
        <v>4.7153644299255587E-2</v>
      </c>
    </row>
    <row r="879" spans="1:5" x14ac:dyDescent="0.2">
      <c r="A879" s="50">
        <v>35632</v>
      </c>
      <c r="B879" s="51">
        <v>3911.9</v>
      </c>
      <c r="C879" s="53">
        <f>(Table26[[#This Row],[M2 Money Stock, Billions of Dollars, Weekly, Seasonally Adjusted]]-B878)/B878</f>
        <v>3.0685043598339756E-4</v>
      </c>
      <c r="D879" s="54">
        <f>((1+Table26[[#This Row],[Weekly change]])^52)-1</f>
        <v>1.6081716029439752E-2</v>
      </c>
      <c r="E879" s="57">
        <f>(Table26[[#This Row],[M2 Money Stock, Billions of Dollars, Weekly, Seasonally Adjusted]]-B827)/B827</f>
        <v>4.5906636008769659E-2</v>
      </c>
    </row>
    <row r="880" spans="1:5" x14ac:dyDescent="0.2">
      <c r="A880" s="50">
        <v>35639</v>
      </c>
      <c r="B880" s="51">
        <v>3914.2</v>
      </c>
      <c r="C880" s="53">
        <f>(Table26[[#This Row],[M2 Money Stock, Billions of Dollars, Weekly, Seasonally Adjusted]]-B879)/B879</f>
        <v>5.8794958971336868E-4</v>
      </c>
      <c r="D880" s="54">
        <f>((1+Table26[[#This Row],[Weekly change]])^52)-1</f>
        <v>3.1036280857078768E-2</v>
      </c>
      <c r="E880" s="57">
        <f>(Table26[[#This Row],[M2 Money Stock, Billions of Dollars, Weekly, Seasonally Adjusted]]-B828)/B828</f>
        <v>4.6185919709199691E-2</v>
      </c>
    </row>
    <row r="881" spans="1:5" x14ac:dyDescent="0.2">
      <c r="A881" s="50">
        <v>35646</v>
      </c>
      <c r="B881" s="51">
        <v>3927.5</v>
      </c>
      <c r="C881" s="53">
        <f>(Table26[[#This Row],[M2 Money Stock, Billions of Dollars, Weekly, Seasonally Adjusted]]-B880)/B880</f>
        <v>3.3978846252108175E-3</v>
      </c>
      <c r="D881" s="54">
        <f>((1+Table26[[#This Row],[Weekly change]])^52)-1</f>
        <v>0.19290378788988538</v>
      </c>
      <c r="E881" s="57">
        <f>(Table26[[#This Row],[M2 Money Stock, Billions of Dollars, Weekly, Seasonally Adjusted]]-B829)/B829</f>
        <v>4.8843668215563768E-2</v>
      </c>
    </row>
    <row r="882" spans="1:5" x14ac:dyDescent="0.2">
      <c r="A882" s="50">
        <v>35653</v>
      </c>
      <c r="B882" s="51">
        <v>3939</v>
      </c>
      <c r="C882" s="53">
        <f>(Table26[[#This Row],[M2 Money Stock, Billions of Dollars, Weekly, Seasonally Adjusted]]-B881)/B881</f>
        <v>2.9280712921705919E-3</v>
      </c>
      <c r="D882" s="54">
        <f>((1+Table26[[#This Row],[Weekly change]])^52)-1</f>
        <v>0.16420357629197246</v>
      </c>
      <c r="E882" s="57">
        <f>(Table26[[#This Row],[M2 Money Stock, Billions of Dollars, Weekly, Seasonally Adjusted]]-B830)/B830</f>
        <v>5.1886666488637323E-2</v>
      </c>
    </row>
    <row r="883" spans="1:5" x14ac:dyDescent="0.2">
      <c r="A883" s="50">
        <v>35660</v>
      </c>
      <c r="B883" s="51">
        <v>3947.2</v>
      </c>
      <c r="C883" s="53">
        <f>(Table26[[#This Row],[M2 Money Stock, Billions of Dollars, Weekly, Seasonally Adjusted]]-B882)/B882</f>
        <v>2.0817466362020357E-3</v>
      </c>
      <c r="D883" s="54">
        <f>((1+Table26[[#This Row],[Weekly change]])^52)-1</f>
        <v>0.11420183532635764</v>
      </c>
      <c r="E883" s="57">
        <f>(Table26[[#This Row],[M2 Money Stock, Billions of Dollars, Weekly, Seasonally Adjusted]]-B831)/B831</f>
        <v>5.4555169650013308E-2</v>
      </c>
    </row>
    <row r="884" spans="1:5" x14ac:dyDescent="0.2">
      <c r="A884" s="50">
        <v>35667</v>
      </c>
      <c r="B884" s="51">
        <v>3953.7</v>
      </c>
      <c r="C884" s="53">
        <f>(Table26[[#This Row],[M2 Money Stock, Billions of Dollars, Weekly, Seasonally Adjusted]]-B883)/B883</f>
        <v>1.6467369274422376E-3</v>
      </c>
      <c r="D884" s="54">
        <f>((1+Table26[[#This Row],[Weekly change]])^52)-1</f>
        <v>8.932680160036055E-2</v>
      </c>
      <c r="E884" s="57">
        <f>(Table26[[#This Row],[M2 Money Stock, Billions of Dollars, Weekly, Seasonally Adjusted]]-B832)/B832</f>
        <v>5.5614887595450344E-2</v>
      </c>
    </row>
    <row r="885" spans="1:5" x14ac:dyDescent="0.2">
      <c r="A885" s="50">
        <v>35674</v>
      </c>
      <c r="B885" s="51">
        <v>3963</v>
      </c>
      <c r="C885" s="53">
        <f>(Table26[[#This Row],[M2 Money Stock, Billions of Dollars, Weekly, Seasonally Adjusted]]-B884)/B884</f>
        <v>2.3522270278473791E-3</v>
      </c>
      <c r="D885" s="54">
        <f>((1+Table26[[#This Row],[Weekly change]])^52)-1</f>
        <v>0.12994863209621177</v>
      </c>
      <c r="E885" s="57">
        <f>(Table26[[#This Row],[M2 Money Stock, Billions of Dollars, Weekly, Seasonally Adjusted]]-B833)/B833</f>
        <v>5.8691528864905244E-2</v>
      </c>
    </row>
    <row r="886" spans="1:5" x14ac:dyDescent="0.2">
      <c r="A886" s="50">
        <v>35681</v>
      </c>
      <c r="B886" s="51">
        <v>3963.1</v>
      </c>
      <c r="C886" s="53">
        <f>(Table26[[#This Row],[M2 Money Stock, Billions of Dollars, Weekly, Seasonally Adjusted]]-B885)/B885</f>
        <v>2.5233409033537483E-5</v>
      </c>
      <c r="D886" s="54">
        <f>((1+Table26[[#This Row],[Weekly change]])^52)-1</f>
        <v>1.3129819221897598E-3</v>
      </c>
      <c r="E886" s="57">
        <f>(Table26[[#This Row],[M2 Money Stock, Billions of Dollars, Weekly, Seasonally Adjusted]]-B834)/B834</f>
        <v>5.474530260286363E-2</v>
      </c>
    </row>
    <row r="887" spans="1:5" x14ac:dyDescent="0.2">
      <c r="A887" s="50">
        <v>35688</v>
      </c>
      <c r="B887" s="51">
        <v>3961.1</v>
      </c>
      <c r="C887" s="53">
        <f>(Table26[[#This Row],[M2 Money Stock, Billions of Dollars, Weekly, Seasonally Adjusted]]-B886)/B886</f>
        <v>-5.0465544649390631E-4</v>
      </c>
      <c r="D887" s="54">
        <f>((1+Table26[[#This Row],[Weekly change]])^52)-1</f>
        <v>-2.5907204267106909E-2</v>
      </c>
      <c r="E887" s="57">
        <f>(Table26[[#This Row],[M2 Money Stock, Billions of Dollars, Weekly, Seasonally Adjusted]]-B835)/B835</f>
        <v>5.5617737981025428E-2</v>
      </c>
    </row>
    <row r="888" spans="1:5" x14ac:dyDescent="0.2">
      <c r="A888" s="50">
        <v>35695</v>
      </c>
      <c r="B888" s="51">
        <v>3960.7</v>
      </c>
      <c r="C888" s="53">
        <f>(Table26[[#This Row],[M2 Money Stock, Billions of Dollars, Weekly, Seasonally Adjusted]]-B887)/B887</f>
        <v>-1.0098205044055716E-4</v>
      </c>
      <c r="D888" s="54">
        <f>((1+Table26[[#This Row],[Weekly change]])^52)-1</f>
        <v>-5.2375676336943178E-3</v>
      </c>
      <c r="E888" s="57">
        <f>(Table26[[#This Row],[M2 Money Stock, Billions of Dollars, Weekly, Seasonally Adjusted]]-B836)/B836</f>
        <v>5.6412034567374376E-2</v>
      </c>
    </row>
    <row r="889" spans="1:5" x14ac:dyDescent="0.2">
      <c r="A889" s="50">
        <v>35702</v>
      </c>
      <c r="B889" s="51">
        <v>3965.1</v>
      </c>
      <c r="C889" s="53">
        <f>(Table26[[#This Row],[M2 Money Stock, Billions of Dollars, Weekly, Seasonally Adjusted]]-B888)/B888</f>
        <v>1.1109147372939357E-3</v>
      </c>
      <c r="D889" s="54">
        <f>((1+Table26[[#This Row],[Weekly change]])^52)-1</f>
        <v>5.943474098127921E-2</v>
      </c>
      <c r="E889" s="57">
        <f>(Table26[[#This Row],[M2 Money Stock, Billions of Dollars, Weekly, Seasonally Adjusted]]-B837)/B837</f>
        <v>5.505295088074081E-2</v>
      </c>
    </row>
    <row r="890" spans="1:5" x14ac:dyDescent="0.2">
      <c r="A890" s="50">
        <v>35709</v>
      </c>
      <c r="B890" s="51">
        <v>3976.6</v>
      </c>
      <c r="C890" s="53">
        <f>(Table26[[#This Row],[M2 Money Stock, Billions of Dollars, Weekly, Seasonally Adjusted]]-B889)/B889</f>
        <v>2.9003051625431896E-3</v>
      </c>
      <c r="D890" s="54">
        <f>((1+Table26[[#This Row],[Weekly change]])^52)-1</f>
        <v>0.16252874422614072</v>
      </c>
      <c r="E890" s="57">
        <f>(Table26[[#This Row],[M2 Money Stock, Billions of Dollars, Weekly, Seasonally Adjusted]]-B838)/B838</f>
        <v>5.667897855605445E-2</v>
      </c>
    </row>
    <row r="891" spans="1:5" x14ac:dyDescent="0.2">
      <c r="A891" s="50">
        <v>35716</v>
      </c>
      <c r="B891" s="51">
        <v>3977.5</v>
      </c>
      <c r="C891" s="53">
        <f>(Table26[[#This Row],[M2 Money Stock, Billions of Dollars, Weekly, Seasonally Adjusted]]-B890)/B890</f>
        <v>2.2632399537295453E-4</v>
      </c>
      <c r="D891" s="54">
        <f>((1+Table26[[#This Row],[Weekly change]])^52)-1</f>
        <v>1.1837025776647803E-2</v>
      </c>
      <c r="E891" s="57">
        <f>(Table26[[#This Row],[M2 Money Stock, Billions of Dollars, Weekly, Seasonally Adjusted]]-B839)/B839</f>
        <v>5.5655820372631191E-2</v>
      </c>
    </row>
    <row r="892" spans="1:5" x14ac:dyDescent="0.2">
      <c r="A892" s="50">
        <v>35723</v>
      </c>
      <c r="B892" s="51">
        <v>3984</v>
      </c>
      <c r="C892" s="53">
        <f>(Table26[[#This Row],[M2 Money Stock, Billions of Dollars, Weekly, Seasonally Adjusted]]-B891)/B891</f>
        <v>1.6341923318667505E-3</v>
      </c>
      <c r="D892" s="54">
        <f>((1+Table26[[#This Row],[Weekly change]])^52)-1</f>
        <v>8.8617607805946408E-2</v>
      </c>
      <c r="E892" s="57">
        <f>(Table26[[#This Row],[M2 Money Stock, Billions of Dollars, Weekly, Seasonally Adjusted]]-B840)/B840</f>
        <v>5.6063618290258452E-2</v>
      </c>
    </row>
    <row r="893" spans="1:5" x14ac:dyDescent="0.2">
      <c r="A893" s="50">
        <v>35730</v>
      </c>
      <c r="B893" s="51">
        <v>3983.8</v>
      </c>
      <c r="C893" s="53">
        <f>(Table26[[#This Row],[M2 Money Stock, Billions of Dollars, Weekly, Seasonally Adjusted]]-B892)/B892</f>
        <v>-5.0200803212805749E-5</v>
      </c>
      <c r="D893" s="54">
        <f>((1+Table26[[#This Row],[Weekly change]])^52)-1</f>
        <v>-2.6071028812925112E-3</v>
      </c>
      <c r="E893" s="57">
        <f>(Table26[[#This Row],[M2 Money Stock, Billions of Dollars, Weekly, Seasonally Adjusted]]-B841)/B841</f>
        <v>5.5003839940679609E-2</v>
      </c>
    </row>
    <row r="894" spans="1:5" x14ac:dyDescent="0.2">
      <c r="A894" s="50">
        <v>35737</v>
      </c>
      <c r="B894" s="51">
        <v>3992.3</v>
      </c>
      <c r="C894" s="53">
        <f>(Table26[[#This Row],[M2 Money Stock, Billions of Dollars, Weekly, Seasonally Adjusted]]-B893)/B893</f>
        <v>2.1336412470505548E-3</v>
      </c>
      <c r="D894" s="54">
        <f>((1+Table26[[#This Row],[Weekly change]])^52)-1</f>
        <v>0.11720625053071676</v>
      </c>
      <c r="E894" s="57">
        <f>(Table26[[#This Row],[M2 Money Stock, Billions of Dollars, Weekly, Seasonally Adjusted]]-B842)/B842</f>
        <v>5.6191962750337332E-2</v>
      </c>
    </row>
    <row r="895" spans="1:5" x14ac:dyDescent="0.2">
      <c r="A895" s="50">
        <v>35744</v>
      </c>
      <c r="B895" s="51">
        <v>4001.2</v>
      </c>
      <c r="C895" s="53">
        <f>(Table26[[#This Row],[M2 Money Stock, Billions of Dollars, Weekly, Seasonally Adjusted]]-B894)/B894</f>
        <v>2.2292913859178008E-3</v>
      </c>
      <c r="D895" s="54">
        <f>((1+Table26[[#This Row],[Weekly change]])^52)-1</f>
        <v>0.12276470537654127</v>
      </c>
      <c r="E895" s="57">
        <f>(Table26[[#This Row],[M2 Money Stock, Billions of Dollars, Weekly, Seasonally Adjusted]]-B843)/B843</f>
        <v>5.6506125897760884E-2</v>
      </c>
    </row>
    <row r="896" spans="1:5" x14ac:dyDescent="0.2">
      <c r="A896" s="50">
        <v>35751</v>
      </c>
      <c r="B896" s="51">
        <v>4000.4</v>
      </c>
      <c r="C896" s="53">
        <f>(Table26[[#This Row],[M2 Money Stock, Billions of Dollars, Weekly, Seasonally Adjusted]]-B895)/B895</f>
        <v>-1.9994001799453345E-4</v>
      </c>
      <c r="D896" s="54">
        <f>((1+Table26[[#This Row],[Weekly change]])^52)-1</f>
        <v>-1.0344048954562313E-2</v>
      </c>
      <c r="E896" s="57">
        <f>(Table26[[#This Row],[M2 Money Stock, Billions of Dollars, Weekly, Seasonally Adjusted]]-B844)/B844</f>
        <v>5.5681638254077161E-2</v>
      </c>
    </row>
    <row r="897" spans="1:5" x14ac:dyDescent="0.2">
      <c r="A897" s="50">
        <v>35758</v>
      </c>
      <c r="B897" s="51">
        <v>4006.8</v>
      </c>
      <c r="C897" s="53">
        <f>(Table26[[#This Row],[M2 Money Stock, Billions of Dollars, Weekly, Seasonally Adjusted]]-B896)/B896</f>
        <v>1.5998400159984228E-3</v>
      </c>
      <c r="D897" s="54">
        <f>((1+Table26[[#This Row],[Weekly change]])^52)-1</f>
        <v>8.6677857567965422E-2</v>
      </c>
      <c r="E897" s="57">
        <f>(Table26[[#This Row],[M2 Money Stock, Billions of Dollars, Weekly, Seasonally Adjusted]]-B845)/B845</f>
        <v>5.664556962025321E-2</v>
      </c>
    </row>
    <row r="898" spans="1:5" x14ac:dyDescent="0.2">
      <c r="A898" s="50">
        <v>35765</v>
      </c>
      <c r="B898" s="51">
        <v>4017.2</v>
      </c>
      <c r="C898" s="53">
        <f>(Table26[[#This Row],[M2 Money Stock, Billions of Dollars, Weekly, Seasonally Adjusted]]-B897)/B897</f>
        <v>2.5955875012477875E-3</v>
      </c>
      <c r="D898" s="54">
        <f>((1+Table26[[#This Row],[Weekly change]])^52)-1</f>
        <v>0.14430296637314188</v>
      </c>
      <c r="E898" s="57">
        <f>(Table26[[#This Row],[M2 Money Stock, Billions of Dollars, Weekly, Seasonally Adjusted]]-B846)/B846</f>
        <v>5.7074441491461105E-2</v>
      </c>
    </row>
    <row r="899" spans="1:5" x14ac:dyDescent="0.2">
      <c r="A899" s="50">
        <v>35772</v>
      </c>
      <c r="B899" s="51">
        <v>4018.7</v>
      </c>
      <c r="C899" s="53">
        <f>(Table26[[#This Row],[M2 Money Stock, Billions of Dollars, Weekly, Seasonally Adjusted]]-B898)/B898</f>
        <v>3.7339440406253114E-4</v>
      </c>
      <c r="D899" s="54">
        <f>((1+Table26[[#This Row],[Weekly change]])^52)-1</f>
        <v>1.9602540219963771E-2</v>
      </c>
      <c r="E899" s="57">
        <f>(Table26[[#This Row],[M2 Money Stock, Billions of Dollars, Weekly, Seasonally Adjusted]]-B847)/B847</f>
        <v>5.4638498884660755E-2</v>
      </c>
    </row>
    <row r="900" spans="1:5" x14ac:dyDescent="0.2">
      <c r="A900" s="50">
        <v>35779</v>
      </c>
      <c r="B900" s="51">
        <v>4016.6</v>
      </c>
      <c r="C900" s="53">
        <f>(Table26[[#This Row],[M2 Money Stock, Billions of Dollars, Weekly, Seasonally Adjusted]]-B899)/B899</f>
        <v>-5.2255704581081173E-4</v>
      </c>
      <c r="D900" s="54">
        <f>((1+Table26[[#This Row],[Weekly change]])^52)-1</f>
        <v>-2.6814014462013369E-2</v>
      </c>
      <c r="E900" s="57">
        <f>(Table26[[#This Row],[M2 Money Stock, Billions of Dollars, Weekly, Seasonally Adjusted]]-B848)/B848</f>
        <v>5.4668627245037238E-2</v>
      </c>
    </row>
    <row r="901" spans="1:5" x14ac:dyDescent="0.2">
      <c r="A901" s="50">
        <v>35786</v>
      </c>
      <c r="B901" s="51">
        <v>4021.1</v>
      </c>
      <c r="C901" s="53">
        <f>(Table26[[#This Row],[M2 Money Stock, Billions of Dollars, Weekly, Seasonally Adjusted]]-B900)/B900</f>
        <v>1.1203505452372653E-3</v>
      </c>
      <c r="D901" s="54">
        <f>((1+Table26[[#This Row],[Weekly change]])^52)-1</f>
        <v>5.9954113342970183E-2</v>
      </c>
      <c r="E901" s="57">
        <f>(Table26[[#This Row],[M2 Money Stock, Billions of Dollars, Weekly, Seasonally Adjusted]]-B849)/B849</f>
        <v>5.4465831016940212E-2</v>
      </c>
    </row>
    <row r="902" spans="1:5" x14ac:dyDescent="0.2">
      <c r="A902" s="50">
        <v>35793</v>
      </c>
      <c r="B902" s="51">
        <v>4029.2</v>
      </c>
      <c r="C902" s="53">
        <f>(Table26[[#This Row],[M2 Money Stock, Billions of Dollars, Weekly, Seasonally Adjusted]]-B901)/B901</f>
        <v>2.0143741762204148E-3</v>
      </c>
      <c r="D902" s="54">
        <f>((1+Table26[[#This Row],[Weekly change]])^52)-1</f>
        <v>0.1103131563150388</v>
      </c>
      <c r="E902" s="57">
        <f>(Table26[[#This Row],[M2 Money Stock, Billions of Dollars, Weekly, Seasonally Adjusted]]-B850)/B850</f>
        <v>5.7366294021938782E-2</v>
      </c>
    </row>
    <row r="903" spans="1:5" x14ac:dyDescent="0.2">
      <c r="A903" s="50">
        <v>35800</v>
      </c>
      <c r="B903" s="51">
        <v>4044.8</v>
      </c>
      <c r="C903" s="53">
        <f>(Table26[[#This Row],[M2 Money Stock, Billions of Dollars, Weekly, Seasonally Adjusted]]-B902)/B902</f>
        <v>3.8717363248288407E-3</v>
      </c>
      <c r="D903" s="54">
        <f>((1+Table26[[#This Row],[Weekly change]])^52)-1</f>
        <v>0.22255330304087817</v>
      </c>
      <c r="E903" s="57">
        <f>(Table26[[#This Row],[M2 Money Stock, Billions of Dollars, Weekly, Seasonally Adjusted]]-B851)/B851</f>
        <v>5.87927333647454E-2</v>
      </c>
    </row>
    <row r="904" spans="1:5" x14ac:dyDescent="0.2">
      <c r="A904" s="50">
        <v>35807</v>
      </c>
      <c r="B904" s="51">
        <v>4042.8</v>
      </c>
      <c r="C904" s="53">
        <f>(Table26[[#This Row],[M2 Money Stock, Billions of Dollars, Weekly, Seasonally Adjusted]]-B903)/B903</f>
        <v>-4.9446202531645562E-4</v>
      </c>
      <c r="D904" s="54">
        <f>((1+Table26[[#This Row],[Weekly change]])^52)-1</f>
        <v>-2.5390483618053405E-2</v>
      </c>
      <c r="E904" s="57">
        <f>(Table26[[#This Row],[M2 Money Stock, Billions of Dollars, Weekly, Seasonally Adjusted]]-B852)/B852</f>
        <v>5.7245220847825538E-2</v>
      </c>
    </row>
    <row r="905" spans="1:5" x14ac:dyDescent="0.2">
      <c r="A905" s="50">
        <v>35814</v>
      </c>
      <c r="B905" s="51">
        <v>4042.2</v>
      </c>
      <c r="C905" s="53">
        <f>(Table26[[#This Row],[M2 Money Stock, Billions of Dollars, Weekly, Seasonally Adjusted]]-B904)/B904</f>
        <v>-1.4841199168901843E-4</v>
      </c>
      <c r="D905" s="54">
        <f>((1+Table26[[#This Row],[Weekly change]])^52)-1</f>
        <v>-7.6882890460916453E-3</v>
      </c>
      <c r="E905" s="57">
        <f>(Table26[[#This Row],[M2 Money Stock, Billions of Dollars, Weekly, Seasonally Adjusted]]-B853)/B853</f>
        <v>5.6839573311022698E-2</v>
      </c>
    </row>
    <row r="906" spans="1:5" x14ac:dyDescent="0.2">
      <c r="A906" s="50">
        <v>35821</v>
      </c>
      <c r="B906" s="51">
        <v>4047.5</v>
      </c>
      <c r="C906" s="53">
        <f>(Table26[[#This Row],[M2 Money Stock, Billions of Dollars, Weekly, Seasonally Adjusted]]-B905)/B905</f>
        <v>1.3111671861857856E-3</v>
      </c>
      <c r="D906" s="54">
        <f>((1+Table26[[#This Row],[Weekly change]])^52)-1</f>
        <v>7.0510925067797769E-2</v>
      </c>
      <c r="E906" s="57">
        <f>(Table26[[#This Row],[M2 Money Stock, Billions of Dollars, Weekly, Seasonally Adjusted]]-B854)/B854</f>
        <v>5.7699845820158413E-2</v>
      </c>
    </row>
    <row r="907" spans="1:5" x14ac:dyDescent="0.2">
      <c r="A907" s="50">
        <v>35828</v>
      </c>
      <c r="B907" s="51">
        <v>4055.6</v>
      </c>
      <c r="C907" s="53">
        <f>(Table26[[#This Row],[M2 Money Stock, Billions of Dollars, Weekly, Seasonally Adjusted]]-B906)/B906</f>
        <v>2.0012353304508733E-3</v>
      </c>
      <c r="D907" s="54">
        <f>((1+Table26[[#This Row],[Weekly change]])^52)-1</f>
        <v>0.10955634627260635</v>
      </c>
      <c r="E907" s="57">
        <f>(Table26[[#This Row],[M2 Money Stock, Billions of Dollars, Weekly, Seasonally Adjusted]]-B855)/B855</f>
        <v>5.9428959536062274E-2</v>
      </c>
    </row>
    <row r="908" spans="1:5" x14ac:dyDescent="0.2">
      <c r="A908" s="50">
        <v>35835</v>
      </c>
      <c r="B908" s="51">
        <v>4070.3</v>
      </c>
      <c r="C908" s="53">
        <f>(Table26[[#This Row],[M2 Money Stock, Billions of Dollars, Weekly, Seasonally Adjusted]]-B907)/B907</f>
        <v>3.6246178124076027E-3</v>
      </c>
      <c r="D908" s="54">
        <f>((1+Table26[[#This Row],[Weekly change]])^52)-1</f>
        <v>0.20700171766982667</v>
      </c>
      <c r="E908" s="57">
        <f>(Table26[[#This Row],[M2 Money Stock, Billions of Dollars, Weekly, Seasonally Adjusted]]-B856)/B856</f>
        <v>6.0636856368563759E-2</v>
      </c>
    </row>
    <row r="909" spans="1:5" x14ac:dyDescent="0.2">
      <c r="A909" s="50">
        <v>35842</v>
      </c>
      <c r="B909" s="51">
        <v>4076</v>
      </c>
      <c r="C909" s="53">
        <f>(Table26[[#This Row],[M2 Money Stock, Billions of Dollars, Weekly, Seasonally Adjusted]]-B908)/B908</f>
        <v>1.4003881777755491E-3</v>
      </c>
      <c r="D909" s="54">
        <f>((1+Table26[[#This Row],[Weekly change]])^52)-1</f>
        <v>7.5482334850782262E-2</v>
      </c>
      <c r="E909" s="57">
        <f>(Table26[[#This Row],[M2 Money Stock, Billions of Dollars, Weekly, Seasonally Adjusted]]-B857)/B857</f>
        <v>6.2260561361444866E-2</v>
      </c>
    </row>
    <row r="910" spans="1:5" x14ac:dyDescent="0.2">
      <c r="A910" s="50">
        <v>35849</v>
      </c>
      <c r="B910" s="51">
        <v>4086</v>
      </c>
      <c r="C910" s="53">
        <f>(Table26[[#This Row],[M2 Money Stock, Billions of Dollars, Weekly, Seasonally Adjusted]]-B909)/B909</f>
        <v>2.4533856722276743E-3</v>
      </c>
      <c r="D910" s="54">
        <f>((1+Table26[[#This Row],[Weekly change]])^52)-1</f>
        <v>0.13589378160320065</v>
      </c>
      <c r="E910" s="57">
        <f>(Table26[[#This Row],[M2 Money Stock, Billions of Dollars, Weekly, Seasonally Adjusted]]-B858)/B858</f>
        <v>6.5088757396449648E-2</v>
      </c>
    </row>
    <row r="911" spans="1:5" x14ac:dyDescent="0.2">
      <c r="A911" s="50">
        <v>35856</v>
      </c>
      <c r="B911" s="51">
        <v>4094</v>
      </c>
      <c r="C911" s="53">
        <f>(Table26[[#This Row],[M2 Money Stock, Billions of Dollars, Weekly, Seasonally Adjusted]]-B910)/B910</f>
        <v>1.9579050416054823E-3</v>
      </c>
      <c r="D911" s="54">
        <f>((1+Table26[[#This Row],[Weekly change]])^52)-1</f>
        <v>0.10706406410331692</v>
      </c>
      <c r="E911" s="57">
        <f>(Table26[[#This Row],[M2 Money Stock, Billions of Dollars, Weekly, Seasonally Adjusted]]-B859)/B859</f>
        <v>6.6562459293995055E-2</v>
      </c>
    </row>
    <row r="912" spans="1:5" x14ac:dyDescent="0.2">
      <c r="A912" s="50">
        <v>35863</v>
      </c>
      <c r="B912" s="51">
        <v>4106.1000000000004</v>
      </c>
      <c r="C912" s="53">
        <f>(Table26[[#This Row],[M2 Money Stock, Billions of Dollars, Weekly, Seasonally Adjusted]]-B911)/B911</f>
        <v>2.9555446995604209E-3</v>
      </c>
      <c r="D912" s="54">
        <f>((1+Table26[[#This Row],[Weekly change]])^52)-1</f>
        <v>0.16586308070064848</v>
      </c>
      <c r="E912" s="57">
        <f>(Table26[[#This Row],[M2 Money Stock, Billions of Dollars, Weekly, Seasonally Adjusted]]-B860)/B860</f>
        <v>6.5993405851657694E-2</v>
      </c>
    </row>
    <row r="913" spans="1:5" x14ac:dyDescent="0.2">
      <c r="A913" s="50">
        <v>35870</v>
      </c>
      <c r="B913" s="51">
        <v>4107</v>
      </c>
      <c r="C913" s="53">
        <f>(Table26[[#This Row],[M2 Money Stock, Billions of Dollars, Weekly, Seasonally Adjusted]]-B912)/B912</f>
        <v>2.1918608898946352E-4</v>
      </c>
      <c r="D913" s="54">
        <f>((1+Table26[[#This Row],[Weekly change]])^52)-1</f>
        <v>1.1461614382473062E-2</v>
      </c>
      <c r="E913" s="57">
        <f>(Table26[[#This Row],[M2 Money Stock, Billions of Dollars, Weekly, Seasonally Adjusted]]-B861)/B861</f>
        <v>6.6587025398639199E-2</v>
      </c>
    </row>
    <row r="914" spans="1:5" x14ac:dyDescent="0.2">
      <c r="A914" s="50">
        <v>35877</v>
      </c>
      <c r="B914" s="51">
        <v>4102.3999999999996</v>
      </c>
      <c r="C914" s="53">
        <f>(Table26[[#This Row],[M2 Money Stock, Billions of Dollars, Weekly, Seasonally Adjusted]]-B913)/B913</f>
        <v>-1.1200389578768842E-3</v>
      </c>
      <c r="D914" s="54">
        <f>((1+Table26[[#This Row],[Weekly change]])^52)-1</f>
        <v>-5.6609206333106954E-2</v>
      </c>
      <c r="E914" s="57">
        <f>(Table26[[#This Row],[M2 Money Stock, Billions of Dollars, Weekly, Seasonally Adjusted]]-B862)/B862</f>
        <v>6.5005192107995755E-2</v>
      </c>
    </row>
    <row r="915" spans="1:5" x14ac:dyDescent="0.2">
      <c r="A915" s="50">
        <v>35884</v>
      </c>
      <c r="B915" s="51">
        <v>4101.8</v>
      </c>
      <c r="C915" s="53">
        <f>(Table26[[#This Row],[M2 Money Stock, Billions of Dollars, Weekly, Seasonally Adjusted]]-B914)/B914</f>
        <v>-1.4625585023387636E-4</v>
      </c>
      <c r="D915" s="54">
        <f>((1+Table26[[#This Row],[Weekly change]])^52)-1</f>
        <v>-7.5770090629180276E-3</v>
      </c>
      <c r="E915" s="57">
        <f>(Table26[[#This Row],[M2 Money Stock, Billions of Dollars, Weekly, Seasonally Adjusted]]-B863)/B863</f>
        <v>6.3827579946572705E-2</v>
      </c>
    </row>
    <row r="916" spans="1:5" x14ac:dyDescent="0.2">
      <c r="A916" s="50">
        <v>35891</v>
      </c>
      <c r="B916" s="51">
        <v>4125.2</v>
      </c>
      <c r="C916" s="53">
        <f>(Table26[[#This Row],[M2 Money Stock, Billions of Dollars, Weekly, Seasonally Adjusted]]-B915)/B915</f>
        <v>5.7048125213320089E-3</v>
      </c>
      <c r="D916" s="54">
        <f>((1+Table26[[#This Row],[Weekly change]])^52)-1</f>
        <v>0.34421108696014691</v>
      </c>
      <c r="E916" s="57">
        <f>(Table26[[#This Row],[M2 Money Stock, Billions of Dollars, Weekly, Seasonally Adjusted]]-B864)/B864</f>
        <v>6.693565073453335E-2</v>
      </c>
    </row>
    <row r="917" spans="1:5" x14ac:dyDescent="0.2">
      <c r="A917" s="50">
        <v>35898</v>
      </c>
      <c r="B917" s="51">
        <v>4128.8999999999996</v>
      </c>
      <c r="C917" s="53">
        <f>(Table26[[#This Row],[M2 Money Stock, Billions of Dollars, Weekly, Seasonally Adjusted]]-B916)/B916</f>
        <v>8.969262096382765E-4</v>
      </c>
      <c r="D917" s="54">
        <f>((1+Table26[[#This Row],[Weekly change]])^52)-1</f>
        <v>4.7723022025835338E-2</v>
      </c>
      <c r="E917" s="57">
        <f>(Table26[[#This Row],[M2 Money Stock, Billions of Dollars, Weekly, Seasonally Adjusted]]-B865)/B865</f>
        <v>6.7506075805367244E-2</v>
      </c>
    </row>
    <row r="918" spans="1:5" x14ac:dyDescent="0.2">
      <c r="A918" s="50">
        <v>35905</v>
      </c>
      <c r="B918" s="51">
        <v>4133.2</v>
      </c>
      <c r="C918" s="53">
        <f>(Table26[[#This Row],[M2 Money Stock, Billions of Dollars, Weekly, Seasonally Adjusted]]-B917)/B917</f>
        <v>1.0414396086125075E-3</v>
      </c>
      <c r="D918" s="54">
        <f>((1+Table26[[#This Row],[Weekly change]])^52)-1</f>
        <v>5.5618319100831481E-2</v>
      </c>
      <c r="E918" s="57">
        <f>(Table26[[#This Row],[M2 Money Stock, Billions of Dollars, Weekly, Seasonally Adjusted]]-B866)/B866</f>
        <v>6.8175944590892573E-2</v>
      </c>
    </row>
    <row r="919" spans="1:5" x14ac:dyDescent="0.2">
      <c r="A919" s="50">
        <v>35912</v>
      </c>
      <c r="B919" s="51">
        <v>4128.3</v>
      </c>
      <c r="C919" s="53">
        <f>(Table26[[#This Row],[M2 Money Stock, Billions of Dollars, Weekly, Seasonally Adjusted]]-B918)/B918</f>
        <v>-1.1855221136164802E-3</v>
      </c>
      <c r="D919" s="54">
        <f>((1+Table26[[#This Row],[Weekly change]])^52)-1</f>
        <v>-5.9819800828747383E-2</v>
      </c>
      <c r="E919" s="57">
        <f>(Table26[[#This Row],[M2 Money Stock, Billions of Dollars, Weekly, Seasonally Adjusted]]-B867)/B867</f>
        <v>6.8124191461837041E-2</v>
      </c>
    </row>
    <row r="920" spans="1:5" x14ac:dyDescent="0.2">
      <c r="A920" s="50">
        <v>35919</v>
      </c>
      <c r="B920" s="51">
        <v>4139.8999999999996</v>
      </c>
      <c r="C920" s="53">
        <f>(Table26[[#This Row],[M2 Money Stock, Billions of Dollars, Weekly, Seasonally Adjusted]]-B919)/B919</f>
        <v>2.8098733134703036E-3</v>
      </c>
      <c r="D920" s="54">
        <f>((1+Table26[[#This Row],[Weekly change]])^52)-1</f>
        <v>0.15709032789180033</v>
      </c>
      <c r="E920" s="57">
        <f>(Table26[[#This Row],[M2 Money Stock, Billions of Dollars, Weekly, Seasonally Adjusted]]-B868)/B868</f>
        <v>7.0322397166420941E-2</v>
      </c>
    </row>
    <row r="921" spans="1:5" x14ac:dyDescent="0.2">
      <c r="A921" s="50">
        <v>35926</v>
      </c>
      <c r="B921" s="51">
        <v>4148.3999999999996</v>
      </c>
      <c r="C921" s="53">
        <f>(Table26[[#This Row],[M2 Money Stock, Billions of Dollars, Weekly, Seasonally Adjusted]]-B920)/B920</f>
        <v>2.0531896905722361E-3</v>
      </c>
      <c r="D921" s="54">
        <f>((1+Table26[[#This Row],[Weekly change]])^52)-1</f>
        <v>0.11255192532727842</v>
      </c>
      <c r="E921" s="57">
        <f>(Table26[[#This Row],[M2 Money Stock, Billions of Dollars, Weekly, Seasonally Adjusted]]-B869)/B869</f>
        <v>7.0692992644212069E-2</v>
      </c>
    </row>
    <row r="922" spans="1:5" x14ac:dyDescent="0.2">
      <c r="A922" s="50">
        <v>35933</v>
      </c>
      <c r="B922" s="51">
        <v>4152.1000000000004</v>
      </c>
      <c r="C922" s="53">
        <f>(Table26[[#This Row],[M2 Money Stock, Billions of Dollars, Weekly, Seasonally Adjusted]]-B921)/B921</f>
        <v>8.9191013402775232E-4</v>
      </c>
      <c r="D922" s="54">
        <f>((1+Table26[[#This Row],[Weekly change]])^52)-1</f>
        <v>4.7450018001101268E-2</v>
      </c>
      <c r="E922" s="57">
        <f>(Table26[[#This Row],[M2 Money Stock, Billions of Dollars, Weekly, Seasonally Adjusted]]-B870)/B870</f>
        <v>7.0874061847161732E-2</v>
      </c>
    </row>
    <row r="923" spans="1:5" x14ac:dyDescent="0.2">
      <c r="A923" s="50">
        <v>35940</v>
      </c>
      <c r="B923" s="51">
        <v>4156.1000000000004</v>
      </c>
      <c r="C923" s="53">
        <f>(Table26[[#This Row],[M2 Money Stock, Billions of Dollars, Weekly, Seasonally Adjusted]]-B922)/B922</f>
        <v>9.6336793429830682E-4</v>
      </c>
      <c r="D923" s="54">
        <f>((1+Table26[[#This Row],[Weekly change]])^52)-1</f>
        <v>5.1345758247846929E-2</v>
      </c>
      <c r="E923" s="57">
        <f>(Table26[[#This Row],[M2 Money Stock, Billions of Dollars, Weekly, Seasonally Adjusted]]-B871)/B871</f>
        <v>6.9093247588424528E-2</v>
      </c>
    </row>
    <row r="924" spans="1:5" x14ac:dyDescent="0.2">
      <c r="A924" s="50">
        <v>35947</v>
      </c>
      <c r="B924" s="51">
        <v>4169.6000000000004</v>
      </c>
      <c r="C924" s="53">
        <f>(Table26[[#This Row],[M2 Money Stock, Billions of Dollars, Weekly, Seasonally Adjusted]]-B923)/B923</f>
        <v>3.2482375303770359E-3</v>
      </c>
      <c r="D924" s="54">
        <f>((1+Table26[[#This Row],[Weekly change]])^52)-1</f>
        <v>0.18368756054827906</v>
      </c>
      <c r="E924" s="57">
        <f>(Table26[[#This Row],[M2 Money Stock, Billions of Dollars, Weekly, Seasonally Adjusted]]-B872)/B872</f>
        <v>7.262109947778668E-2</v>
      </c>
    </row>
    <row r="925" spans="1:5" x14ac:dyDescent="0.2">
      <c r="A925" s="50">
        <v>35954</v>
      </c>
      <c r="B925" s="51">
        <v>4173.6000000000004</v>
      </c>
      <c r="C925" s="53">
        <f>(Table26[[#This Row],[M2 Money Stock, Billions of Dollars, Weekly, Seasonally Adjusted]]-B924)/B924</f>
        <v>9.5932463545663849E-4</v>
      </c>
      <c r="D925" s="54">
        <f>((1+Table26[[#This Row],[Weekly change]])^52)-1</f>
        <v>5.1124946673523963E-2</v>
      </c>
      <c r="E925" s="57">
        <f>(Table26[[#This Row],[M2 Money Stock, Billions of Dollars, Weekly, Seasonally Adjusted]]-B873)/B873</f>
        <v>7.0373409930242242E-2</v>
      </c>
    </row>
    <row r="926" spans="1:5" x14ac:dyDescent="0.2">
      <c r="A926" s="50">
        <v>35961</v>
      </c>
      <c r="B926" s="51">
        <v>4174.8999999999996</v>
      </c>
      <c r="C926" s="53">
        <f>(Table26[[#This Row],[M2 Money Stock, Billions of Dollars, Weekly, Seasonally Adjusted]]-B925)/B925</f>
        <v>3.114816944602435E-4</v>
      </c>
      <c r="D926" s="54">
        <f>((1+Table26[[#This Row],[Weekly change]])^52)-1</f>
        <v>1.6326368176502681E-2</v>
      </c>
      <c r="E926" s="57">
        <f>(Table26[[#This Row],[M2 Money Stock, Billions of Dollars, Weekly, Seasonally Adjusted]]-B874)/B874</f>
        <v>7.252222165133837E-2</v>
      </c>
    </row>
    <row r="927" spans="1:5" x14ac:dyDescent="0.2">
      <c r="A927" s="50">
        <v>35968</v>
      </c>
      <c r="B927" s="51">
        <v>4172.5</v>
      </c>
      <c r="C927" s="53">
        <f>(Table26[[#This Row],[M2 Money Stock, Billions of Dollars, Weekly, Seasonally Adjusted]]-B926)/B926</f>
        <v>-5.7486406860035848E-4</v>
      </c>
      <c r="D927" s="54">
        <f>((1+Table26[[#This Row],[Weekly change]])^52)-1</f>
        <v>-2.9458899109400916E-2</v>
      </c>
      <c r="E927" s="57">
        <f>(Table26[[#This Row],[M2 Money Stock, Billions of Dollars, Weekly, Seasonally Adjusted]]-B875)/B875</f>
        <v>7.1575324875442964E-2</v>
      </c>
    </row>
    <row r="928" spans="1:5" x14ac:dyDescent="0.2">
      <c r="A928" s="50">
        <v>35975</v>
      </c>
      <c r="B928" s="51">
        <v>4171.3999999999996</v>
      </c>
      <c r="C928" s="53">
        <f>(Table26[[#This Row],[M2 Money Stock, Billions of Dollars, Weekly, Seasonally Adjusted]]-B927)/B927</f>
        <v>-2.6363091671668395E-4</v>
      </c>
      <c r="D928" s="54">
        <f>((1+Table26[[#This Row],[Weekly change]])^52)-1</f>
        <v>-1.3617052625010784E-2</v>
      </c>
      <c r="E928" s="57">
        <f>(Table26[[#This Row],[M2 Money Stock, Billions of Dollars, Weekly, Seasonally Adjusted]]-B876)/B876</f>
        <v>6.9562318914899543E-2</v>
      </c>
    </row>
    <row r="929" spans="1:5" x14ac:dyDescent="0.2">
      <c r="A929" s="50">
        <v>35982</v>
      </c>
      <c r="B929" s="51">
        <v>4197.6000000000004</v>
      </c>
      <c r="C929" s="53">
        <f>(Table26[[#This Row],[M2 Money Stock, Billions of Dollars, Weekly, Seasonally Adjusted]]-B928)/B928</f>
        <v>6.280864937431253E-3</v>
      </c>
      <c r="D929" s="54">
        <f>((1+Table26[[#This Row],[Weekly change]])^52)-1</f>
        <v>0.38483856117700865</v>
      </c>
      <c r="E929" s="57">
        <f>(Table26[[#This Row],[M2 Money Stock, Billions of Dollars, Weekly, Seasonally Adjusted]]-B877)/B877</f>
        <v>7.2896431857683325E-2</v>
      </c>
    </row>
    <row r="930" spans="1:5" x14ac:dyDescent="0.2">
      <c r="A930" s="50">
        <v>35989</v>
      </c>
      <c r="B930" s="51">
        <v>4187.7</v>
      </c>
      <c r="C930" s="53">
        <f>(Table26[[#This Row],[M2 Money Stock, Billions of Dollars, Weekly, Seasonally Adjusted]]-B929)/B929</f>
        <v>-2.3584905660378659E-3</v>
      </c>
      <c r="D930" s="54">
        <f>((1+Table26[[#This Row],[Weekly change]])^52)-1</f>
        <v>-0.11554740463315438</v>
      </c>
      <c r="E930" s="57">
        <f>(Table26[[#This Row],[M2 Money Stock, Billions of Dollars, Weekly, Seasonally Adjusted]]-B878)/B878</f>
        <v>7.0831308972818169E-2</v>
      </c>
    </row>
    <row r="931" spans="1:5" x14ac:dyDescent="0.2">
      <c r="A931" s="50">
        <v>35996</v>
      </c>
      <c r="B931" s="51">
        <v>4192.1000000000004</v>
      </c>
      <c r="C931" s="53">
        <f>(Table26[[#This Row],[M2 Money Stock, Billions of Dollars, Weekly, Seasonally Adjusted]]-B930)/B930</f>
        <v>1.0506960861572095E-3</v>
      </c>
      <c r="D931" s="54">
        <f>((1+Table26[[#This Row],[Weekly change]])^52)-1</f>
        <v>5.6126018168354941E-2</v>
      </c>
      <c r="E931" s="57">
        <f>(Table26[[#This Row],[M2 Money Stock, Billions of Dollars, Weekly, Seasonally Adjusted]]-B879)/B879</f>
        <v>7.1627597842480697E-2</v>
      </c>
    </row>
    <row r="932" spans="1:5" x14ac:dyDescent="0.2">
      <c r="A932" s="50">
        <v>36003</v>
      </c>
      <c r="B932" s="51">
        <v>4193.3</v>
      </c>
      <c r="C932" s="53">
        <f>(Table26[[#This Row],[M2 Money Stock, Billions of Dollars, Weekly, Seasonally Adjusted]]-B931)/B931</f>
        <v>2.8625271343713605E-4</v>
      </c>
      <c r="D932" s="54">
        <f>((1+Table26[[#This Row],[Weekly change]])^52)-1</f>
        <v>1.4994314549693799E-2</v>
      </c>
      <c r="E932" s="57">
        <f>(Table26[[#This Row],[M2 Money Stock, Billions of Dollars, Weekly, Seasonally Adjusted]]-B880)/B880</f>
        <v>7.1304481120024618E-2</v>
      </c>
    </row>
    <row r="933" spans="1:5" x14ac:dyDescent="0.2">
      <c r="A933" s="50">
        <v>36010</v>
      </c>
      <c r="B933" s="51">
        <v>4200.3999999999996</v>
      </c>
      <c r="C933" s="53">
        <f>(Table26[[#This Row],[M2 Money Stock, Billions of Dollars, Weekly, Seasonally Adjusted]]-B932)/B932</f>
        <v>1.6931772112654601E-3</v>
      </c>
      <c r="D933" s="54">
        <f>((1+Table26[[#This Row],[Weekly change]])^52)-1</f>
        <v>9.1956193789588081E-2</v>
      </c>
      <c r="E933" s="57">
        <f>(Table26[[#This Row],[M2 Money Stock, Billions of Dollars, Weekly, Seasonally Adjusted]]-B881)/B881</f>
        <v>6.9484404837682909E-2</v>
      </c>
    </row>
    <row r="934" spans="1:5" x14ac:dyDescent="0.2">
      <c r="A934" s="50">
        <v>36017</v>
      </c>
      <c r="B934" s="51">
        <v>4217.1000000000004</v>
      </c>
      <c r="C934" s="53">
        <f>(Table26[[#This Row],[M2 Money Stock, Billions of Dollars, Weekly, Seasonally Adjusted]]-B933)/B933</f>
        <v>3.9758118274451784E-3</v>
      </c>
      <c r="D934" s="54">
        <f>((1+Table26[[#This Row],[Weekly change]])^52)-1</f>
        <v>0.22916160748821479</v>
      </c>
      <c r="E934" s="57">
        <f>(Table26[[#This Row],[M2 Money Stock, Billions of Dollars, Weekly, Seasonally Adjusted]]-B882)/B882</f>
        <v>7.0601675552170701E-2</v>
      </c>
    </row>
    <row r="935" spans="1:5" x14ac:dyDescent="0.2">
      <c r="A935" s="50">
        <v>36024</v>
      </c>
      <c r="B935" s="51">
        <v>4215.8</v>
      </c>
      <c r="C935" s="53">
        <f>(Table26[[#This Row],[M2 Money Stock, Billions of Dollars, Weekly, Seasonally Adjusted]]-B934)/B934</f>
        <v>-3.082687154680187E-4</v>
      </c>
      <c r="D935" s="54">
        <f>((1+Table26[[#This Row],[Weekly change]])^52)-1</f>
        <v>-1.5904608927731267E-2</v>
      </c>
      <c r="E935" s="57">
        <f>(Table26[[#This Row],[M2 Money Stock, Billions of Dollars, Weekly, Seasonally Adjusted]]-B883)/B883</f>
        <v>6.8048236724767022E-2</v>
      </c>
    </row>
    <row r="936" spans="1:5" x14ac:dyDescent="0.2">
      <c r="A936" s="50">
        <v>36031</v>
      </c>
      <c r="B936" s="51">
        <v>4220.1000000000004</v>
      </c>
      <c r="C936" s="53">
        <f>(Table26[[#This Row],[M2 Money Stock, Billions of Dollars, Weekly, Seasonally Adjusted]]-B935)/B935</f>
        <v>1.019972484463253E-3</v>
      </c>
      <c r="D936" s="54">
        <f>((1+Table26[[#This Row],[Weekly change]])^52)-1</f>
        <v>5.4441811863316758E-2</v>
      </c>
      <c r="E936" s="57">
        <f>(Table26[[#This Row],[M2 Money Stock, Billions of Dollars, Weekly, Seasonally Adjusted]]-B884)/B884</f>
        <v>6.7379922604143092E-2</v>
      </c>
    </row>
    <row r="937" spans="1:5" x14ac:dyDescent="0.2">
      <c r="A937" s="50">
        <v>36038</v>
      </c>
      <c r="B937" s="51">
        <v>4228.6000000000004</v>
      </c>
      <c r="C937" s="53">
        <f>(Table26[[#This Row],[M2 Money Stock, Billions of Dollars, Weekly, Seasonally Adjusted]]-B936)/B936</f>
        <v>2.0141702803251108E-3</v>
      </c>
      <c r="D937" s="54">
        <f>((1+Table26[[#This Row],[Weekly change]])^52)-1</f>
        <v>0.11030140785058729</v>
      </c>
      <c r="E937" s="57">
        <f>(Table26[[#This Row],[M2 Money Stock, Billions of Dollars, Weekly, Seasonally Adjusted]]-B885)/B885</f>
        <v>6.701993439313661E-2</v>
      </c>
    </row>
    <row r="938" spans="1:5" x14ac:dyDescent="0.2">
      <c r="A938" s="50">
        <v>36045</v>
      </c>
      <c r="B938" s="51">
        <v>4249.7</v>
      </c>
      <c r="C938" s="53">
        <f>(Table26[[#This Row],[M2 Money Stock, Billions of Dollars, Weekly, Seasonally Adjusted]]-B937)/B937</f>
        <v>4.9898311497893989E-3</v>
      </c>
      <c r="D938" s="54">
        <f>((1+Table26[[#This Row],[Weekly change]])^52)-1</f>
        <v>0.29540839251164042</v>
      </c>
      <c r="E938" s="57">
        <f>(Table26[[#This Row],[M2 Money Stock, Billions of Dollars, Weekly, Seasonally Adjusted]]-B886)/B886</f>
        <v>7.2317125482576752E-2</v>
      </c>
    </row>
    <row r="939" spans="1:5" x14ac:dyDescent="0.2">
      <c r="A939" s="50">
        <v>36052</v>
      </c>
      <c r="B939" s="51">
        <v>4257.5</v>
      </c>
      <c r="C939" s="53">
        <f>(Table26[[#This Row],[M2 Money Stock, Billions of Dollars, Weekly, Seasonally Adjusted]]-B938)/B938</f>
        <v>1.8354236769654757E-3</v>
      </c>
      <c r="D939" s="54">
        <f>((1+Table26[[#This Row],[Weekly change]])^52)-1</f>
        <v>0.10004880824016094</v>
      </c>
      <c r="E939" s="57">
        <f>(Table26[[#This Row],[M2 Money Stock, Billions of Dollars, Weekly, Seasonally Adjusted]]-B887)/B887</f>
        <v>7.4827699376435866E-2</v>
      </c>
    </row>
    <row r="940" spans="1:5" x14ac:dyDescent="0.2">
      <c r="A940" s="50">
        <v>36059</v>
      </c>
      <c r="B940" s="51">
        <v>4262</v>
      </c>
      <c r="C940" s="53">
        <f>(Table26[[#This Row],[M2 Money Stock, Billions of Dollars, Weekly, Seasonally Adjusted]]-B939)/B939</f>
        <v>1.0569583088667059E-3</v>
      </c>
      <c r="D940" s="54">
        <f>((1+Table26[[#This Row],[Weekly change]])^52)-1</f>
        <v>5.6469624218528081E-2</v>
      </c>
      <c r="E940" s="57">
        <f>(Table26[[#This Row],[M2 Money Stock, Billions of Dollars, Weekly, Seasonally Adjusted]]-B888)/B888</f>
        <v>7.6072411442421842E-2</v>
      </c>
    </row>
    <row r="941" spans="1:5" x14ac:dyDescent="0.2">
      <c r="A941" s="50">
        <v>36066</v>
      </c>
      <c r="B941" s="51">
        <v>4255.5</v>
      </c>
      <c r="C941" s="53">
        <f>(Table26[[#This Row],[M2 Money Stock, Billions of Dollars, Weekly, Seasonally Adjusted]]-B940)/B940</f>
        <v>-1.5251055842327545E-3</v>
      </c>
      <c r="D941" s="54">
        <f>((1+Table26[[#This Row],[Weekly change]])^52)-1</f>
        <v>-7.6298236818380771E-2</v>
      </c>
      <c r="E941" s="57">
        <f>(Table26[[#This Row],[M2 Money Stock, Billions of Dollars, Weekly, Seasonally Adjusted]]-B889)/B889</f>
        <v>7.3239010365438478E-2</v>
      </c>
    </row>
    <row r="942" spans="1:5" x14ac:dyDescent="0.2">
      <c r="A942" s="50">
        <v>36073</v>
      </c>
      <c r="B942" s="51">
        <v>4274.3</v>
      </c>
      <c r="C942" s="53">
        <f>(Table26[[#This Row],[M2 Money Stock, Billions of Dollars, Weekly, Seasonally Adjusted]]-B941)/B941</f>
        <v>4.4178122429797163E-3</v>
      </c>
      <c r="D942" s="54">
        <f>((1+Table26[[#This Row],[Weekly change]])^52)-1</f>
        <v>0.25761904001269453</v>
      </c>
      <c r="E942" s="57">
        <f>(Table26[[#This Row],[M2 Money Stock, Billions of Dollars, Weekly, Seasonally Adjusted]]-B890)/B890</f>
        <v>7.4862948247246458E-2</v>
      </c>
    </row>
    <row r="943" spans="1:5" x14ac:dyDescent="0.2">
      <c r="A943" s="50">
        <v>36080</v>
      </c>
      <c r="B943" s="51">
        <v>4285.6000000000004</v>
      </c>
      <c r="C943" s="53">
        <f>(Table26[[#This Row],[M2 Money Stock, Billions of Dollars, Weekly, Seasonally Adjusted]]-B942)/B942</f>
        <v>2.6437077416185529E-3</v>
      </c>
      <c r="D943" s="54">
        <f>((1+Table26[[#This Row],[Weekly change]])^52)-1</f>
        <v>0.14716238666538461</v>
      </c>
      <c r="E943" s="57">
        <f>(Table26[[#This Row],[M2 Money Stock, Billions of Dollars, Weekly, Seasonally Adjusted]]-B891)/B891</f>
        <v>7.7460716530484058E-2</v>
      </c>
    </row>
    <row r="944" spans="1:5" x14ac:dyDescent="0.2">
      <c r="A944" s="50">
        <v>36087</v>
      </c>
      <c r="B944" s="51">
        <v>4297.2</v>
      </c>
      <c r="C944" s="53">
        <f>(Table26[[#This Row],[M2 Money Stock, Billions of Dollars, Weekly, Seasonally Adjusted]]-B943)/B943</f>
        <v>2.7067388463691091E-3</v>
      </c>
      <c r="D944" s="54">
        <f>((1+Table26[[#This Row],[Weekly change]])^52)-1</f>
        <v>0.15091844992746584</v>
      </c>
      <c r="E944" s="57">
        <f>(Table26[[#This Row],[M2 Money Stock, Billions of Dollars, Weekly, Seasonally Adjusted]]-B892)/B892</f>
        <v>7.8614457831325257E-2</v>
      </c>
    </row>
    <row r="945" spans="1:5" x14ac:dyDescent="0.2">
      <c r="A945" s="50">
        <v>36094</v>
      </c>
      <c r="B945" s="51">
        <v>4311.3999999999996</v>
      </c>
      <c r="C945" s="53">
        <f>(Table26[[#This Row],[M2 Money Stock, Billions of Dollars, Weekly, Seasonally Adjusted]]-B944)/B944</f>
        <v>3.304477334077962E-3</v>
      </c>
      <c r="D945" s="54">
        <f>((1+Table26[[#This Row],[Weekly change]])^52)-1</f>
        <v>0.18714294811260612</v>
      </c>
      <c r="E945" s="57">
        <f>(Table26[[#This Row],[M2 Money Stock, Billions of Dollars, Weekly, Seasonally Adjusted]]-B893)/B893</f>
        <v>8.223304382750124E-2</v>
      </c>
    </row>
    <row r="946" spans="1:5" x14ac:dyDescent="0.2">
      <c r="A946" s="50">
        <v>36101</v>
      </c>
      <c r="B946" s="51">
        <v>4318.2</v>
      </c>
      <c r="C946" s="53">
        <f>(Table26[[#This Row],[M2 Money Stock, Billions of Dollars, Weekly, Seasonally Adjusted]]-B945)/B945</f>
        <v>1.5772138980378026E-3</v>
      </c>
      <c r="D946" s="54">
        <f>((1+Table26[[#This Row],[Weekly change]])^52)-1</f>
        <v>8.5402095129901934E-2</v>
      </c>
      <c r="E946" s="57">
        <f>(Table26[[#This Row],[M2 Money Stock, Billions of Dollars, Weekly, Seasonally Adjusted]]-B894)/B894</f>
        <v>8.1632141873105635E-2</v>
      </c>
    </row>
    <row r="947" spans="1:5" x14ac:dyDescent="0.2">
      <c r="A947" s="50">
        <v>36108</v>
      </c>
      <c r="B947" s="51">
        <v>4335.1000000000004</v>
      </c>
      <c r="C947" s="53">
        <f>(Table26[[#This Row],[M2 Money Stock, Billions of Dollars, Weekly, Seasonally Adjusted]]-B946)/B946</f>
        <v>3.9136677319254656E-3</v>
      </c>
      <c r="D947" s="54">
        <f>((1+Table26[[#This Row],[Weekly change]])^52)-1</f>
        <v>0.22521154807202004</v>
      </c>
      <c r="E947" s="57">
        <f>(Table26[[#This Row],[M2 Money Stock, Billions of Dollars, Weekly, Seasonally Adjusted]]-B895)/B895</f>
        <v>8.3449965010496993E-2</v>
      </c>
    </row>
    <row r="948" spans="1:5" x14ac:dyDescent="0.2">
      <c r="A948" s="50">
        <v>36115</v>
      </c>
      <c r="B948" s="51">
        <v>4338.3999999999996</v>
      </c>
      <c r="C948" s="53">
        <f>(Table26[[#This Row],[M2 Money Stock, Billions of Dollars, Weekly, Seasonally Adjusted]]-B947)/B947</f>
        <v>7.6122811469153467E-4</v>
      </c>
      <c r="D948" s="54">
        <f>((1+Table26[[#This Row],[Weekly change]])^52)-1</f>
        <v>4.0362076903058153E-2</v>
      </c>
      <c r="E948" s="57">
        <f>(Table26[[#This Row],[M2 Money Stock, Billions of Dollars, Weekly, Seasonally Adjusted]]-B896)/B896</f>
        <v>8.4491550844915386E-2</v>
      </c>
    </row>
    <row r="949" spans="1:5" x14ac:dyDescent="0.2">
      <c r="A949" s="50">
        <v>36122</v>
      </c>
      <c r="B949" s="51">
        <v>4336.8999999999996</v>
      </c>
      <c r="C949" s="53">
        <f>(Table26[[#This Row],[M2 Money Stock, Billions of Dollars, Weekly, Seasonally Adjusted]]-B948)/B948</f>
        <v>-3.457495851004979E-4</v>
      </c>
      <c r="D949" s="54">
        <f>((1+Table26[[#This Row],[Weekly change]])^52)-1</f>
        <v>-1.7821374283019664E-2</v>
      </c>
      <c r="E949" s="57">
        <f>(Table26[[#This Row],[M2 Money Stock, Billions of Dollars, Weekly, Seasonally Adjusted]]-B897)/B897</f>
        <v>8.2384945592492625E-2</v>
      </c>
    </row>
    <row r="950" spans="1:5" x14ac:dyDescent="0.2">
      <c r="A950" s="50">
        <v>36129</v>
      </c>
      <c r="B950" s="51">
        <v>4339.1000000000004</v>
      </c>
      <c r="C950" s="53">
        <f>(Table26[[#This Row],[M2 Money Stock, Billions of Dollars, Weekly, Seasonally Adjusted]]-B949)/B949</f>
        <v>5.0727478152614257E-4</v>
      </c>
      <c r="D950" s="54">
        <f>((1+Table26[[#This Row],[Weekly change]])^52)-1</f>
        <v>2.6722408031619294E-2</v>
      </c>
      <c r="E950" s="57">
        <f>(Table26[[#This Row],[M2 Money Stock, Billions of Dollars, Weekly, Seasonally Adjusted]]-B898)/B898</f>
        <v>8.0130439111819315E-2</v>
      </c>
    </row>
    <row r="951" spans="1:5" x14ac:dyDescent="0.2">
      <c r="A951" s="50">
        <v>36136</v>
      </c>
      <c r="B951" s="51">
        <v>4358</v>
      </c>
      <c r="C951" s="53">
        <f>(Table26[[#This Row],[M2 Money Stock, Billions of Dollars, Weekly, Seasonally Adjusted]]-B950)/B950</f>
        <v>4.3557419741420186E-3</v>
      </c>
      <c r="D951" s="54">
        <f>((1+Table26[[#This Row],[Weekly change]])^52)-1</f>
        <v>0.25358409649834668</v>
      </c>
      <c r="E951" s="57">
        <f>(Table26[[#This Row],[M2 Money Stock, Billions of Dollars, Weekly, Seasonally Adjusted]]-B899)/B899</f>
        <v>8.4430288401721995E-2</v>
      </c>
    </row>
    <row r="952" spans="1:5" x14ac:dyDescent="0.2">
      <c r="A952" s="50">
        <v>36143</v>
      </c>
      <c r="B952" s="51">
        <v>4360</v>
      </c>
      <c r="C952" s="53">
        <f>(Table26[[#This Row],[M2 Money Stock, Billions of Dollars, Weekly, Seasonally Adjusted]]-B951)/B951</f>
        <v>4.5892611289582378E-4</v>
      </c>
      <c r="D952" s="54">
        <f>((1+Table26[[#This Row],[Weekly change]])^52)-1</f>
        <v>2.4145579100401493E-2</v>
      </c>
      <c r="E952" s="57">
        <f>(Table26[[#This Row],[M2 Money Stock, Billions of Dollars, Weekly, Seasonally Adjusted]]-B900)/B900</f>
        <v>8.549519494099489E-2</v>
      </c>
    </row>
    <row r="953" spans="1:5" x14ac:dyDescent="0.2">
      <c r="A953" s="50">
        <v>36150</v>
      </c>
      <c r="B953" s="51">
        <v>4364.2</v>
      </c>
      <c r="C953" s="53">
        <f>(Table26[[#This Row],[M2 Money Stock, Billions of Dollars, Weekly, Seasonally Adjusted]]-B952)/B952</f>
        <v>9.6330275229353625E-4</v>
      </c>
      <c r="D953" s="54">
        <f>((1+Table26[[#This Row],[Weekly change]])^52)-1</f>
        <v>5.1342198184548993E-2</v>
      </c>
      <c r="E953" s="57">
        <f>(Table26[[#This Row],[M2 Money Stock, Billions of Dollars, Weekly, Seasonally Adjusted]]-B901)/B901</f>
        <v>8.5324911093979244E-2</v>
      </c>
    </row>
    <row r="954" spans="1:5" x14ac:dyDescent="0.2">
      <c r="A954" s="50">
        <v>36157</v>
      </c>
      <c r="B954" s="51">
        <v>4369.8</v>
      </c>
      <c r="C954" s="53">
        <f>(Table26[[#This Row],[M2 Money Stock, Billions of Dollars, Weekly, Seasonally Adjusted]]-B953)/B953</f>
        <v>1.2831675908529317E-3</v>
      </c>
      <c r="D954" s="54">
        <f>((1+Table26[[#This Row],[Weekly change]])^52)-1</f>
        <v>6.8955434074916777E-2</v>
      </c>
      <c r="E954" s="57">
        <f>(Table26[[#This Row],[M2 Money Stock, Billions of Dollars, Weekly, Seasonally Adjusted]]-B902)/B902</f>
        <v>8.4532909758761141E-2</v>
      </c>
    </row>
    <row r="955" spans="1:5" x14ac:dyDescent="0.2">
      <c r="A955" s="50">
        <v>36164</v>
      </c>
      <c r="B955" s="51">
        <v>4384</v>
      </c>
      <c r="C955" s="53">
        <f>(Table26[[#This Row],[M2 Money Stock, Billions of Dollars, Weekly, Seasonally Adjusted]]-B954)/B954</f>
        <v>3.2495766396631008E-3</v>
      </c>
      <c r="D955" s="54">
        <f>((1+Table26[[#This Row],[Weekly change]])^52)-1</f>
        <v>0.18376972100135025</v>
      </c>
      <c r="E955" s="57">
        <f>(Table26[[#This Row],[M2 Money Stock, Billions of Dollars, Weekly, Seasonally Adjusted]]-B903)/B903</f>
        <v>8.3860759493670833E-2</v>
      </c>
    </row>
    <row r="956" spans="1:5" x14ac:dyDescent="0.2">
      <c r="A956" s="50">
        <v>36171</v>
      </c>
      <c r="B956" s="51">
        <v>4388.3999999999996</v>
      </c>
      <c r="C956" s="53">
        <f>(Table26[[#This Row],[M2 Money Stock, Billions of Dollars, Weekly, Seasonally Adjusted]]-B955)/B955</f>
        <v>1.0036496350364133E-3</v>
      </c>
      <c r="D956" s="54">
        <f>((1+Table26[[#This Row],[Weekly change]])^52)-1</f>
        <v>5.3548097737661449E-2</v>
      </c>
      <c r="E956" s="57">
        <f>(Table26[[#This Row],[M2 Money Stock, Billions of Dollars, Weekly, Seasonally Adjusted]]-B904)/B904</f>
        <v>8.5485307212822659E-2</v>
      </c>
    </row>
    <row r="957" spans="1:5" x14ac:dyDescent="0.2">
      <c r="A957" s="50">
        <v>36178</v>
      </c>
      <c r="B957" s="51">
        <v>4392.2</v>
      </c>
      <c r="C957" s="53">
        <f>(Table26[[#This Row],[M2 Money Stock, Billions of Dollars, Weekly, Seasonally Adjusted]]-B956)/B956</f>
        <v>8.6591924163708462E-4</v>
      </c>
      <c r="D957" s="54">
        <f>((1+Table26[[#This Row],[Weekly change]])^52)-1</f>
        <v>4.6036559332407245E-2</v>
      </c>
      <c r="E957" s="57">
        <f>(Table26[[#This Row],[M2 Money Stock, Billions of Dollars, Weekly, Seasonally Adjusted]]-B905)/B905</f>
        <v>8.6586512295284745E-2</v>
      </c>
    </row>
    <row r="958" spans="1:5" x14ac:dyDescent="0.2">
      <c r="A958" s="50">
        <v>36185</v>
      </c>
      <c r="B958" s="51">
        <v>4388.8</v>
      </c>
      <c r="C958" s="53">
        <f>(Table26[[#This Row],[M2 Money Stock, Billions of Dollars, Weekly, Seasonally Adjusted]]-B957)/B957</f>
        <v>-7.7409954009371985E-4</v>
      </c>
      <c r="D958" s="54">
        <f>((1+Table26[[#This Row],[Weekly change]])^52)-1</f>
        <v>-3.9468751870692986E-2</v>
      </c>
      <c r="E958" s="57">
        <f>(Table26[[#This Row],[M2 Money Stock, Billions of Dollars, Weekly, Seasonally Adjusted]]-B906)/B906</f>
        <v>8.432365657813469E-2</v>
      </c>
    </row>
    <row r="959" spans="1:5" x14ac:dyDescent="0.2">
      <c r="A959" s="50">
        <v>36192</v>
      </c>
      <c r="B959" s="51">
        <v>4407.2</v>
      </c>
      <c r="C959" s="53">
        <f>(Table26[[#This Row],[M2 Money Stock, Billions of Dollars, Weekly, Seasonally Adjusted]]-B958)/B958</f>
        <v>4.1924899744804128E-3</v>
      </c>
      <c r="D959" s="54">
        <f>((1+Table26[[#This Row],[Weekly change]])^52)-1</f>
        <v>0.24303224157608438</v>
      </c>
      <c r="E959" s="57">
        <f>(Table26[[#This Row],[M2 Money Stock, Billions of Dollars, Weekly, Seasonally Adjusted]]-B907)/B907</f>
        <v>8.669494032942103E-2</v>
      </c>
    </row>
    <row r="960" spans="1:5" x14ac:dyDescent="0.2">
      <c r="A960" s="50">
        <v>36199</v>
      </c>
      <c r="B960" s="51">
        <v>4409.8</v>
      </c>
      <c r="C960" s="53">
        <f>(Table26[[#This Row],[M2 Money Stock, Billions of Dollars, Weekly, Seasonally Adjusted]]-B959)/B959</f>
        <v>5.8994372844444636E-4</v>
      </c>
      <c r="D960" s="54">
        <f>((1+Table26[[#This Row],[Weekly change]])^52)-1</f>
        <v>3.1143136992456855E-2</v>
      </c>
      <c r="E960" s="57">
        <f>(Table26[[#This Row],[M2 Money Stock, Billions of Dollars, Weekly, Seasonally Adjusted]]-B908)/B908</f>
        <v>8.3409085325405988E-2</v>
      </c>
    </row>
    <row r="961" spans="1:5" x14ac:dyDescent="0.2">
      <c r="A961" s="50">
        <v>36206</v>
      </c>
      <c r="B961" s="51">
        <v>4415.3</v>
      </c>
      <c r="C961" s="53">
        <f>(Table26[[#This Row],[M2 Money Stock, Billions of Dollars, Weekly, Seasonally Adjusted]]-B960)/B960</f>
        <v>1.2472220962401923E-3</v>
      </c>
      <c r="D961" s="54">
        <f>((1+Table26[[#This Row],[Weekly change]])^52)-1</f>
        <v>6.6961765428834363E-2</v>
      </c>
      <c r="E961" s="57">
        <f>(Table26[[#This Row],[M2 Money Stock, Billions of Dollars, Weekly, Seasonally Adjusted]]-B909)/B909</f>
        <v>8.3243375858685034E-2</v>
      </c>
    </row>
    <row r="962" spans="1:5" x14ac:dyDescent="0.2">
      <c r="A962" s="50">
        <v>36213</v>
      </c>
      <c r="B962" s="51">
        <v>4418.8</v>
      </c>
      <c r="C962" s="53">
        <f>(Table26[[#This Row],[M2 Money Stock, Billions of Dollars, Weekly, Seasonally Adjusted]]-B961)/B961</f>
        <v>7.9269811790818288E-4</v>
      </c>
      <c r="D962" s="54">
        <f>((1+Table26[[#This Row],[Weekly change]])^52)-1</f>
        <v>4.206463705716712E-2</v>
      </c>
      <c r="E962" s="57">
        <f>(Table26[[#This Row],[M2 Money Stock, Billions of Dollars, Weekly, Seasonally Adjusted]]-B910)/B910</f>
        <v>8.14488497307881E-2</v>
      </c>
    </row>
    <row r="963" spans="1:5" x14ac:dyDescent="0.2">
      <c r="A963" s="50">
        <v>36220</v>
      </c>
      <c r="B963" s="51">
        <v>4418.3</v>
      </c>
      <c r="C963" s="53">
        <f>(Table26[[#This Row],[M2 Money Stock, Billions of Dollars, Weekly, Seasonally Adjusted]]-B962)/B962</f>
        <v>-1.1315289218792432E-4</v>
      </c>
      <c r="D963" s="54">
        <f>((1+Table26[[#This Row],[Weekly change]])^52)-1</f>
        <v>-5.8670048239599648E-3</v>
      </c>
      <c r="E963" s="57">
        <f>(Table26[[#This Row],[M2 Money Stock, Billions of Dollars, Weekly, Seasonally Adjusted]]-B911)/B911</f>
        <v>7.9213483146067465E-2</v>
      </c>
    </row>
    <row r="964" spans="1:5" x14ac:dyDescent="0.2">
      <c r="A964" s="50">
        <v>36227</v>
      </c>
      <c r="B964" s="51">
        <v>4420.8999999999996</v>
      </c>
      <c r="C964" s="53">
        <f>(Table26[[#This Row],[M2 Money Stock, Billions of Dollars, Weekly, Seasonally Adjusted]]-B963)/B963</f>
        <v>5.8846162551195124E-4</v>
      </c>
      <c r="D964" s="54">
        <f>((1+Table26[[#This Row],[Weekly change]])^52)-1</f>
        <v>3.106371731329638E-2</v>
      </c>
      <c r="E964" s="57">
        <f>(Table26[[#This Row],[M2 Money Stock, Billions of Dollars, Weekly, Seasonally Adjusted]]-B912)/B912</f>
        <v>7.6666423126567601E-2</v>
      </c>
    </row>
    <row r="965" spans="1:5" x14ac:dyDescent="0.2">
      <c r="A965" s="50">
        <v>36234</v>
      </c>
      <c r="B965" s="51">
        <v>4417.1000000000004</v>
      </c>
      <c r="C965" s="53">
        <f>(Table26[[#This Row],[M2 Money Stock, Billions of Dollars, Weekly, Seasonally Adjusted]]-B964)/B964</f>
        <v>-8.5955348458442238E-4</v>
      </c>
      <c r="D965" s="54">
        <f>((1+Table26[[#This Row],[Weekly change]])^52)-1</f>
        <v>-4.3730978094340678E-2</v>
      </c>
      <c r="E965" s="57">
        <f>(Table26[[#This Row],[M2 Money Stock, Billions of Dollars, Weekly, Seasonally Adjusted]]-B913)/B913</f>
        <v>7.5505234964694509E-2</v>
      </c>
    </row>
    <row r="966" spans="1:5" x14ac:dyDescent="0.2">
      <c r="A966" s="50">
        <v>36241</v>
      </c>
      <c r="B966" s="51">
        <v>4419.8</v>
      </c>
      <c r="C966" s="53">
        <f>(Table26[[#This Row],[M2 Money Stock, Billions of Dollars, Weekly, Seasonally Adjusted]]-B965)/B965</f>
        <v>6.1126078196097392E-4</v>
      </c>
      <c r="D966" s="54">
        <f>((1+Table26[[#This Row],[Weekly change]])^52)-1</f>
        <v>3.2286092428018387E-2</v>
      </c>
      <c r="E966" s="57">
        <f>(Table26[[#This Row],[M2 Money Stock, Billions of Dollars, Weekly, Seasonally Adjusted]]-B914)/B914</f>
        <v>7.7369344773791093E-2</v>
      </c>
    </row>
    <row r="967" spans="1:5" x14ac:dyDescent="0.2">
      <c r="A967" s="50">
        <v>36248</v>
      </c>
      <c r="B967" s="51">
        <v>4425.3</v>
      </c>
      <c r="C967" s="53">
        <f>(Table26[[#This Row],[M2 Money Stock, Billions of Dollars, Weekly, Seasonally Adjusted]]-B966)/B966</f>
        <v>1.2444001991040318E-3</v>
      </c>
      <c r="D967" s="54">
        <f>((1+Table26[[#This Row],[Weekly change]])^52)-1</f>
        <v>6.6805407163674113E-2</v>
      </c>
      <c r="E967" s="57">
        <f>(Table26[[#This Row],[M2 Money Stock, Billions of Dollars, Weekly, Seasonally Adjusted]]-B915)/B915</f>
        <v>7.8867814130381783E-2</v>
      </c>
    </row>
    <row r="968" spans="1:5" x14ac:dyDescent="0.2">
      <c r="A968" s="50">
        <v>36255</v>
      </c>
      <c r="B968" s="51">
        <v>4440.8999999999996</v>
      </c>
      <c r="C968" s="53">
        <f>(Table26[[#This Row],[M2 Money Stock, Billions of Dollars, Weekly, Seasonally Adjusted]]-B967)/B967</f>
        <v>3.525184733238301E-3</v>
      </c>
      <c r="D968" s="54">
        <f>((1+Table26[[#This Row],[Weekly change]])^52)-1</f>
        <v>0.20079911381223026</v>
      </c>
      <c r="E968" s="57">
        <f>(Table26[[#This Row],[M2 Money Stock, Billions of Dollars, Weekly, Seasonally Adjusted]]-B916)/B916</f>
        <v>7.652962280616693E-2</v>
      </c>
    </row>
    <row r="969" spans="1:5" x14ac:dyDescent="0.2">
      <c r="A969" s="50">
        <v>36262</v>
      </c>
      <c r="B969" s="51">
        <v>4444.5</v>
      </c>
      <c r="C969" s="53">
        <f>(Table26[[#This Row],[M2 Money Stock, Billions of Dollars, Weekly, Seasonally Adjusted]]-B968)/B968</f>
        <v>8.1064649057631648E-4</v>
      </c>
      <c r="D969" s="54">
        <f>((1+Table26[[#This Row],[Weekly change]])^52)-1</f>
        <v>4.3036886220398474E-2</v>
      </c>
      <c r="E969" s="57">
        <f>(Table26[[#This Row],[M2 Money Stock, Billions of Dollars, Weekly, Seasonally Adjusted]]-B917)/B917</f>
        <v>7.6436823366998571E-2</v>
      </c>
    </row>
    <row r="970" spans="1:5" x14ac:dyDescent="0.2">
      <c r="A970" s="50">
        <v>36269</v>
      </c>
      <c r="B970" s="51">
        <v>4453</v>
      </c>
      <c r="C970" s="53">
        <f>(Table26[[#This Row],[M2 Money Stock, Billions of Dollars, Weekly, Seasonally Adjusted]]-B969)/B969</f>
        <v>1.9124760940488245E-3</v>
      </c>
      <c r="D970" s="54">
        <f>((1+Table26[[#This Row],[Weekly change]])^52)-1</f>
        <v>0.10445696664725546</v>
      </c>
      <c r="E970" s="57">
        <f>(Table26[[#This Row],[M2 Money Stock, Billions of Dollars, Weekly, Seasonally Adjusted]]-B918)/B918</f>
        <v>7.7373463660118116E-2</v>
      </c>
    </row>
    <row r="971" spans="1:5" x14ac:dyDescent="0.2">
      <c r="A971" s="50">
        <v>36276</v>
      </c>
      <c r="B971" s="51">
        <v>4458.8999999999996</v>
      </c>
      <c r="C971" s="53">
        <f>(Table26[[#This Row],[M2 Money Stock, Billions of Dollars, Weekly, Seasonally Adjusted]]-B970)/B970</f>
        <v>1.3249494722658065E-3</v>
      </c>
      <c r="D971" s="54">
        <f>((1+Table26[[#This Row],[Weekly change]])^52)-1</f>
        <v>7.1277401999347179E-2</v>
      </c>
      <c r="E971" s="57">
        <f>(Table26[[#This Row],[M2 Money Stock, Billions of Dollars, Weekly, Seasonally Adjusted]]-B919)/B919</f>
        <v>8.0081389433907288E-2</v>
      </c>
    </row>
    <row r="972" spans="1:5" x14ac:dyDescent="0.2">
      <c r="A972" s="50">
        <v>36283</v>
      </c>
      <c r="B972" s="51">
        <v>4454.5</v>
      </c>
      <c r="C972" s="53">
        <f>(Table26[[#This Row],[M2 Money Stock, Billions of Dollars, Weekly, Seasonally Adjusted]]-B971)/B971</f>
        <v>-9.8679046401570713E-4</v>
      </c>
      <c r="D972" s="54">
        <f>((1+Table26[[#This Row],[Weekly change]])^52)-1</f>
        <v>-5.0042885879464594E-2</v>
      </c>
      <c r="E972" s="57">
        <f>(Table26[[#This Row],[M2 Money Stock, Billions of Dollars, Weekly, Seasonally Adjusted]]-B920)/B920</f>
        <v>7.599217372400309E-2</v>
      </c>
    </row>
    <row r="973" spans="1:5" x14ac:dyDescent="0.2">
      <c r="A973" s="50">
        <v>36290</v>
      </c>
      <c r="B973" s="51">
        <v>4471.7</v>
      </c>
      <c r="C973" s="53">
        <f>(Table26[[#This Row],[M2 Money Stock, Billions of Dollars, Weekly, Seasonally Adjusted]]-B972)/B972</f>
        <v>3.8612638904478207E-3</v>
      </c>
      <c r="D973" s="54">
        <f>((1+Table26[[#This Row],[Weekly change]])^52)-1</f>
        <v>0.22189028546269096</v>
      </c>
      <c r="E973" s="57">
        <f>(Table26[[#This Row],[M2 Money Stock, Billions of Dollars, Weekly, Seasonally Adjusted]]-B921)/B921</f>
        <v>7.7933661170571836E-2</v>
      </c>
    </row>
    <row r="974" spans="1:5" x14ac:dyDescent="0.2">
      <c r="A974" s="50">
        <v>36297</v>
      </c>
      <c r="B974" s="51">
        <v>4471.6000000000004</v>
      </c>
      <c r="C974" s="53">
        <f>(Table26[[#This Row],[M2 Money Stock, Billions of Dollars, Weekly, Seasonally Adjusted]]-B973)/B973</f>
        <v>-2.2362859762384398E-5</v>
      </c>
      <c r="D974" s="54">
        <f>((1+Table26[[#This Row],[Weekly change]])^52)-1</f>
        <v>-1.1622058254550094E-3</v>
      </c>
      <c r="E974" s="57">
        <f>(Table26[[#This Row],[M2 Money Stock, Billions of Dollars, Weekly, Seasonally Adjusted]]-B922)/B922</f>
        <v>7.6949013752077258E-2</v>
      </c>
    </row>
    <row r="975" spans="1:5" x14ac:dyDescent="0.2">
      <c r="A975" s="50">
        <v>36304</v>
      </c>
      <c r="B975" s="51">
        <v>4476.8</v>
      </c>
      <c r="C975" s="53">
        <f>(Table26[[#This Row],[M2 Money Stock, Billions of Dollars, Weekly, Seasonally Adjusted]]-B974)/B974</f>
        <v>1.1628947133016858E-3</v>
      </c>
      <c r="D975" s="54">
        <f>((1+Table26[[#This Row],[Weekly change]])^52)-1</f>
        <v>6.2298962235093347E-2</v>
      </c>
      <c r="E975" s="57">
        <f>(Table26[[#This Row],[M2 Money Stock, Billions of Dollars, Weekly, Seasonally Adjusted]]-B923)/B923</f>
        <v>7.7163687110512205E-2</v>
      </c>
    </row>
    <row r="976" spans="1:5" x14ac:dyDescent="0.2">
      <c r="A976" s="50">
        <v>36311</v>
      </c>
      <c r="B976" s="51">
        <v>4487.8999999999996</v>
      </c>
      <c r="C976" s="53">
        <f>(Table26[[#This Row],[M2 Money Stock, Billions of Dollars, Weekly, Seasonally Adjusted]]-B975)/B975</f>
        <v>2.4794496068619221E-3</v>
      </c>
      <c r="D976" s="54">
        <f>((1+Table26[[#This Row],[Weekly change]])^52)-1</f>
        <v>0.13743053727501309</v>
      </c>
      <c r="E976" s="57">
        <f>(Table26[[#This Row],[M2 Money Stock, Billions of Dollars, Weekly, Seasonally Adjusted]]-B924)/B924</f>
        <v>7.6338257866461826E-2</v>
      </c>
    </row>
    <row r="977" spans="1:5" x14ac:dyDescent="0.2">
      <c r="A977" s="50">
        <v>36318</v>
      </c>
      <c r="B977" s="51">
        <v>4492.3999999999996</v>
      </c>
      <c r="C977" s="53">
        <f>(Table26[[#This Row],[M2 Money Stock, Billions of Dollars, Weekly, Seasonally Adjusted]]-B976)/B976</f>
        <v>1.00269613850576E-3</v>
      </c>
      <c r="D977" s="54">
        <f>((1+Table26[[#This Row],[Weekly change]])^52)-1</f>
        <v>5.3495914548377099E-2</v>
      </c>
      <c r="E977" s="57">
        <f>(Table26[[#This Row],[M2 Money Stock, Billions of Dollars, Weekly, Seasonally Adjusted]]-B925)/B925</f>
        <v>7.6384895533831529E-2</v>
      </c>
    </row>
    <row r="978" spans="1:5" x14ac:dyDescent="0.2">
      <c r="A978" s="50">
        <v>36325</v>
      </c>
      <c r="B978" s="51">
        <v>4494.1000000000004</v>
      </c>
      <c r="C978" s="53">
        <f>(Table26[[#This Row],[M2 Money Stock, Billions of Dollars, Weekly, Seasonally Adjusted]]-B977)/B977</f>
        <v>3.784168818450556E-4</v>
      </c>
      <c r="D978" s="54">
        <f>((1+Table26[[#This Row],[Weekly change]])^52)-1</f>
        <v>1.986876332574572E-2</v>
      </c>
      <c r="E978" s="57">
        <f>(Table26[[#This Row],[M2 Money Stock, Billions of Dollars, Weekly, Seasonally Adjusted]]-B926)/B926</f>
        <v>7.6456921123859434E-2</v>
      </c>
    </row>
    <row r="979" spans="1:5" x14ac:dyDescent="0.2">
      <c r="A979" s="50">
        <v>36332</v>
      </c>
      <c r="B979" s="51">
        <v>4499.3</v>
      </c>
      <c r="C979" s="53">
        <f>(Table26[[#This Row],[M2 Money Stock, Billions of Dollars, Weekly, Seasonally Adjusted]]-B978)/B978</f>
        <v>1.1570726063060051E-3</v>
      </c>
      <c r="D979" s="54">
        <f>((1+Table26[[#This Row],[Weekly change]])^52)-1</f>
        <v>6.1977772884486138E-2</v>
      </c>
      <c r="E979" s="57">
        <f>(Table26[[#This Row],[M2 Money Stock, Billions of Dollars, Weekly, Seasonally Adjusted]]-B927)/B927</f>
        <v>7.8322348711803519E-2</v>
      </c>
    </row>
    <row r="980" spans="1:5" x14ac:dyDescent="0.2">
      <c r="A980" s="50">
        <v>36339</v>
      </c>
      <c r="B980" s="51">
        <v>4498.3</v>
      </c>
      <c r="C980" s="53">
        <f>(Table26[[#This Row],[M2 Money Stock, Billions of Dollars, Weekly, Seasonally Adjusted]]-B979)/B979</f>
        <v>-2.2225679550152245E-4</v>
      </c>
      <c r="D980" s="54">
        <f>((1+Table26[[#This Row],[Weekly change]])^52)-1</f>
        <v>-1.1492093485834465E-2</v>
      </c>
      <c r="E980" s="57">
        <f>(Table26[[#This Row],[M2 Money Stock, Billions of Dollars, Weekly, Seasonally Adjusted]]-B928)/B928</f>
        <v>7.8366975116268056E-2</v>
      </c>
    </row>
    <row r="981" spans="1:5" x14ac:dyDescent="0.2">
      <c r="A981" s="50">
        <v>36346</v>
      </c>
      <c r="B981" s="51">
        <v>4505.6000000000004</v>
      </c>
      <c r="C981" s="53">
        <f>(Table26[[#This Row],[M2 Money Stock, Billions of Dollars, Weekly, Seasonally Adjusted]]-B980)/B980</f>
        <v>1.6228352933330772E-3</v>
      </c>
      <c r="D981" s="54">
        <f>((1+Table26[[#This Row],[Weekly change]])^52)-1</f>
        <v>8.7975941709498739E-2</v>
      </c>
      <c r="E981" s="57">
        <f>(Table26[[#This Row],[M2 Money Stock, Billions of Dollars, Weekly, Seasonally Adjusted]]-B929)/B929</f>
        <v>7.3375262054507326E-2</v>
      </c>
    </row>
    <row r="982" spans="1:5" x14ac:dyDescent="0.2">
      <c r="A982" s="50">
        <v>36353</v>
      </c>
      <c r="B982" s="51">
        <v>4523.6000000000004</v>
      </c>
      <c r="C982" s="53">
        <f>(Table26[[#This Row],[M2 Money Stock, Billions of Dollars, Weekly, Seasonally Adjusted]]-B981)/B981</f>
        <v>3.995028409090909E-3</v>
      </c>
      <c r="D982" s="54">
        <f>((1+Table26[[#This Row],[Weekly change]])^52)-1</f>
        <v>0.2303855956105556</v>
      </c>
      <c r="E982" s="57">
        <f>(Table26[[#This Row],[M2 Money Stock, Billions of Dollars, Weekly, Seasonally Adjusted]]-B930)/B930</f>
        <v>8.0211094395491692E-2</v>
      </c>
    </row>
    <row r="983" spans="1:5" x14ac:dyDescent="0.2">
      <c r="A983" s="50">
        <v>36360</v>
      </c>
      <c r="B983" s="51">
        <v>4523.2</v>
      </c>
      <c r="C983" s="53">
        <f>(Table26[[#This Row],[M2 Money Stock, Billions of Dollars, Weekly, Seasonally Adjusted]]-B982)/B982</f>
        <v>-8.842514811224371E-5</v>
      </c>
      <c r="D983" s="54">
        <f>((1+Table26[[#This Row],[Weekly change]])^52)-1</f>
        <v>-4.5877549621293756E-3</v>
      </c>
      <c r="E983" s="57">
        <f>(Table26[[#This Row],[M2 Money Stock, Billions of Dollars, Weekly, Seasonally Adjusted]]-B931)/B931</f>
        <v>7.8981894515874965E-2</v>
      </c>
    </row>
    <row r="984" spans="1:5" x14ac:dyDescent="0.2">
      <c r="A984" s="50">
        <v>36367</v>
      </c>
      <c r="B984" s="51">
        <v>4532</v>
      </c>
      <c r="C984" s="53">
        <f>(Table26[[#This Row],[M2 Money Stock, Billions of Dollars, Weekly, Seasonally Adjusted]]-B983)/B983</f>
        <v>1.9455252918288341E-3</v>
      </c>
      <c r="D984" s="54">
        <f>((1+Table26[[#This Row],[Weekly change]])^52)-1</f>
        <v>0.10635301161148303</v>
      </c>
      <c r="E984" s="57">
        <f>(Table26[[#This Row],[M2 Money Stock, Billions of Dollars, Weekly, Seasonally Adjusted]]-B932)/B932</f>
        <v>8.0771707247275365E-2</v>
      </c>
    </row>
    <row r="985" spans="1:5" x14ac:dyDescent="0.2">
      <c r="A985" s="50">
        <v>36374</v>
      </c>
      <c r="B985" s="51">
        <v>4532.3999999999996</v>
      </c>
      <c r="C985" s="53">
        <f>(Table26[[#This Row],[M2 Money Stock, Billions of Dollars, Weekly, Seasonally Adjusted]]-B984)/B984</f>
        <v>8.8261253309716723E-5</v>
      </c>
      <c r="D985" s="54">
        <f>((1+Table26[[#This Row],[Weekly change]])^52)-1</f>
        <v>4.5999299883690004E-3</v>
      </c>
      <c r="E985" s="57">
        <f>(Table26[[#This Row],[M2 Money Stock, Billions of Dollars, Weekly, Seasonally Adjusted]]-B933)/B933</f>
        <v>7.9040091419864775E-2</v>
      </c>
    </row>
    <row r="986" spans="1:5" x14ac:dyDescent="0.2">
      <c r="A986" s="50">
        <v>36381</v>
      </c>
      <c r="B986" s="51">
        <v>4540.8999999999996</v>
      </c>
      <c r="C986" s="53">
        <f>(Table26[[#This Row],[M2 Money Stock, Billions of Dollars, Weekly, Seasonally Adjusted]]-B985)/B985</f>
        <v>1.8753861089047747E-3</v>
      </c>
      <c r="D986" s="54">
        <f>((1+Table26[[#This Row],[Weekly change]])^52)-1</f>
        <v>0.10233289526598921</v>
      </c>
      <c r="E986" s="57">
        <f>(Table26[[#This Row],[M2 Money Stock, Billions of Dollars, Weekly, Seasonally Adjusted]]-B934)/B934</f>
        <v>7.6782623129638669E-2</v>
      </c>
    </row>
    <row r="987" spans="1:5" x14ac:dyDescent="0.2">
      <c r="A987" s="50">
        <v>36388</v>
      </c>
      <c r="B987" s="51">
        <v>4544.7</v>
      </c>
      <c r="C987" s="53">
        <f>(Table26[[#This Row],[M2 Money Stock, Billions of Dollars, Weekly, Seasonally Adjusted]]-B986)/B986</f>
        <v>8.368385121892537E-4</v>
      </c>
      <c r="D987" s="54">
        <f>((1+Table26[[#This Row],[Weekly change]])^52)-1</f>
        <v>4.4457283962080041E-2</v>
      </c>
      <c r="E987" s="57">
        <f>(Table26[[#This Row],[M2 Money Stock, Billions of Dollars, Weekly, Seasonally Adjusted]]-B935)/B935</f>
        <v>7.8016034916267282E-2</v>
      </c>
    </row>
    <row r="988" spans="1:5" x14ac:dyDescent="0.2">
      <c r="A988" s="50">
        <v>36395</v>
      </c>
      <c r="B988" s="51">
        <v>4540.8</v>
      </c>
      <c r="C988" s="53">
        <f>(Table26[[#This Row],[M2 Money Stock, Billions of Dollars, Weekly, Seasonally Adjusted]]-B987)/B987</f>
        <v>-8.5814245164689338E-4</v>
      </c>
      <c r="D988" s="54">
        <f>((1+Table26[[#This Row],[Weekly change]])^52)-1</f>
        <v>-4.3660750194317921E-2</v>
      </c>
      <c r="E988" s="57">
        <f>(Table26[[#This Row],[M2 Money Stock, Billions of Dollars, Weekly, Seasonally Adjusted]]-B936)/B936</f>
        <v>7.5993459870619132E-2</v>
      </c>
    </row>
    <row r="989" spans="1:5" x14ac:dyDescent="0.2">
      <c r="A989" s="50">
        <v>36402</v>
      </c>
      <c r="B989" s="51">
        <v>4539.6000000000004</v>
      </c>
      <c r="C989" s="53">
        <f>(Table26[[#This Row],[M2 Money Stock, Billions of Dollars, Weekly, Seasonally Adjusted]]-B988)/B988</f>
        <v>-2.6427061310778236E-4</v>
      </c>
      <c r="D989" s="54">
        <f>((1+Table26[[#This Row],[Weekly change]])^52)-1</f>
        <v>-1.3649871993656748E-2</v>
      </c>
      <c r="E989" s="57">
        <f>(Table26[[#This Row],[M2 Money Stock, Billions of Dollars, Weekly, Seasonally Adjusted]]-B937)/B937</f>
        <v>7.3546800359457029E-2</v>
      </c>
    </row>
    <row r="990" spans="1:5" x14ac:dyDescent="0.2">
      <c r="A990" s="50">
        <v>36409</v>
      </c>
      <c r="B990" s="51">
        <v>4550.1000000000004</v>
      </c>
      <c r="C990" s="53">
        <f>(Table26[[#This Row],[M2 Money Stock, Billions of Dollars, Weekly, Seasonally Adjusted]]-B989)/B989</f>
        <v>2.3129791171028285E-3</v>
      </c>
      <c r="D990" s="54">
        <f>((1+Table26[[#This Row],[Weekly change]])^52)-1</f>
        <v>0.12765023712320023</v>
      </c>
      <c r="E990" s="57">
        <f>(Table26[[#This Row],[M2 Money Stock, Billions of Dollars, Weekly, Seasonally Adjusted]]-B938)/B938</f>
        <v>7.0687342635950903E-2</v>
      </c>
    </row>
    <row r="991" spans="1:5" x14ac:dyDescent="0.2">
      <c r="A991" s="50">
        <v>36416</v>
      </c>
      <c r="B991" s="51">
        <v>4553.7</v>
      </c>
      <c r="C991" s="53">
        <f>(Table26[[#This Row],[M2 Money Stock, Billions of Dollars, Weekly, Seasonally Adjusted]]-B990)/B990</f>
        <v>7.9119140238664073E-4</v>
      </c>
      <c r="D991" s="54">
        <f>((1+Table26[[#This Row],[Weekly change]])^52)-1</f>
        <v>4.1983059919453058E-2</v>
      </c>
      <c r="E991" s="57">
        <f>(Table26[[#This Row],[M2 Money Stock, Billions of Dollars, Weekly, Seasonally Adjusted]]-B939)/B939</f>
        <v>6.9571344685848455E-2</v>
      </c>
    </row>
    <row r="992" spans="1:5" x14ac:dyDescent="0.2">
      <c r="A992" s="50">
        <v>36423</v>
      </c>
      <c r="B992" s="51">
        <v>4561.3</v>
      </c>
      <c r="C992" s="53">
        <f>(Table26[[#This Row],[M2 Money Stock, Billions of Dollars, Weekly, Seasonally Adjusted]]-B991)/B991</f>
        <v>1.6689724839142597E-3</v>
      </c>
      <c r="D992" s="54">
        <f>((1+Table26[[#This Row],[Weekly change]])^52)-1</f>
        <v>9.0584975927509026E-2</v>
      </c>
      <c r="E992" s="57">
        <f>(Table26[[#This Row],[M2 Money Stock, Billions of Dollars, Weekly, Seasonally Adjusted]]-B940)/B940</f>
        <v>7.0225246363209801E-2</v>
      </c>
    </row>
    <row r="993" spans="1:5" x14ac:dyDescent="0.2">
      <c r="A993" s="50">
        <v>36430</v>
      </c>
      <c r="B993" s="51">
        <v>4557.8</v>
      </c>
      <c r="C993" s="53">
        <f>(Table26[[#This Row],[M2 Money Stock, Billions of Dollars, Weekly, Seasonally Adjusted]]-B992)/B992</f>
        <v>-7.6732510468506781E-4</v>
      </c>
      <c r="D993" s="54">
        <f>((1+Table26[[#This Row],[Weekly change]])^52)-1</f>
        <v>-3.9130064229883743E-2</v>
      </c>
      <c r="E993" s="57">
        <f>(Table26[[#This Row],[M2 Money Stock, Billions of Dollars, Weekly, Seasonally Adjusted]]-B941)/B941</f>
        <v>7.1037480907061495E-2</v>
      </c>
    </row>
    <row r="994" spans="1:5" x14ac:dyDescent="0.2">
      <c r="A994" s="50">
        <v>36437</v>
      </c>
      <c r="B994" s="51">
        <v>4568.5</v>
      </c>
      <c r="C994" s="53">
        <f>(Table26[[#This Row],[M2 Money Stock, Billions of Dollars, Weekly, Seasonally Adjusted]]-B993)/B993</f>
        <v>2.3476238536135454E-3</v>
      </c>
      <c r="D994" s="54">
        <f>((1+Table26[[#This Row],[Weekly change]])^52)-1</f>
        <v>0.12967882818508625</v>
      </c>
      <c r="E994" s="57">
        <f>(Table26[[#This Row],[M2 Money Stock, Billions of Dollars, Weekly, Seasonally Adjusted]]-B942)/B942</f>
        <v>6.8829983857005783E-2</v>
      </c>
    </row>
    <row r="995" spans="1:5" x14ac:dyDescent="0.2">
      <c r="A995" s="50">
        <v>36444</v>
      </c>
      <c r="B995" s="51">
        <v>4574.8</v>
      </c>
      <c r="C995" s="53">
        <f>(Table26[[#This Row],[M2 Money Stock, Billions of Dollars, Weekly, Seasonally Adjusted]]-B994)/B994</f>
        <v>1.3790084272737621E-3</v>
      </c>
      <c r="D995" s="54">
        <f>((1+Table26[[#This Row],[Weekly change]])^52)-1</f>
        <v>7.4288992419494937E-2</v>
      </c>
      <c r="E995" s="57">
        <f>(Table26[[#This Row],[M2 Money Stock, Billions of Dollars, Weekly, Seasonally Adjusted]]-B943)/B943</f>
        <v>6.7481799514653676E-2</v>
      </c>
    </row>
    <row r="996" spans="1:5" x14ac:dyDescent="0.2">
      <c r="A996" s="50">
        <v>36451</v>
      </c>
      <c r="B996" s="51">
        <v>4577.3999999999996</v>
      </c>
      <c r="C996" s="53">
        <f>(Table26[[#This Row],[M2 Money Stock, Billions of Dollars, Weekly, Seasonally Adjusted]]-B995)/B995</f>
        <v>5.6833085599358529E-4</v>
      </c>
      <c r="D996" s="54">
        <f>((1+Table26[[#This Row],[Weekly change]])^52)-1</f>
        <v>2.9985587776035327E-2</v>
      </c>
      <c r="E996" s="57">
        <f>(Table26[[#This Row],[M2 Money Stock, Billions of Dollars, Weekly, Seasonally Adjusted]]-B944)/B944</f>
        <v>6.5205249930187059E-2</v>
      </c>
    </row>
    <row r="997" spans="1:5" x14ac:dyDescent="0.2">
      <c r="A997" s="50">
        <v>36458</v>
      </c>
      <c r="B997" s="51">
        <v>4584.3</v>
      </c>
      <c r="C997" s="53">
        <f>(Table26[[#This Row],[M2 Money Stock, Billions of Dollars, Weekly, Seasonally Adjusted]]-B996)/B996</f>
        <v>1.5074059509766562E-3</v>
      </c>
      <c r="D997" s="54">
        <f>((1+Table26[[#This Row],[Weekly change]])^52)-1</f>
        <v>8.1475259081472684E-2</v>
      </c>
      <c r="E997" s="57">
        <f>(Table26[[#This Row],[M2 Money Stock, Billions of Dollars, Weekly, Seasonally Adjusted]]-B945)/B945</f>
        <v>6.3297304819780256E-2</v>
      </c>
    </row>
    <row r="998" spans="1:5" x14ac:dyDescent="0.2">
      <c r="A998" s="50">
        <v>36465</v>
      </c>
      <c r="B998" s="51">
        <v>4596.6000000000004</v>
      </c>
      <c r="C998" s="53">
        <f>(Table26[[#This Row],[M2 Money Stock, Billions of Dollars, Weekly, Seasonally Adjusted]]-B997)/B997</f>
        <v>2.6830704796806889E-3</v>
      </c>
      <c r="D998" s="54">
        <f>((1+Table26[[#This Row],[Weekly change]])^52)-1</f>
        <v>0.14950662492942723</v>
      </c>
      <c r="E998" s="57">
        <f>(Table26[[#This Row],[M2 Money Stock, Billions of Dollars, Weekly, Seasonally Adjusted]]-B946)/B946</f>
        <v>6.4471307489231758E-2</v>
      </c>
    </row>
    <row r="999" spans="1:5" x14ac:dyDescent="0.2">
      <c r="A999" s="50">
        <v>36472</v>
      </c>
      <c r="B999" s="51">
        <v>4593.7</v>
      </c>
      <c r="C999" s="53">
        <f>(Table26[[#This Row],[M2 Money Stock, Billions of Dollars, Weekly, Seasonally Adjusted]]-B998)/B998</f>
        <v>-6.3090110081376349E-4</v>
      </c>
      <c r="D999" s="54">
        <f>((1+Table26[[#This Row],[Weekly change]])^52)-1</f>
        <v>-3.2284568393830315E-2</v>
      </c>
      <c r="E999" s="57">
        <f>(Table26[[#This Row],[M2 Money Stock, Billions of Dollars, Weekly, Seasonally Adjusted]]-B947)/B947</f>
        <v>5.9652603169476931E-2</v>
      </c>
    </row>
    <row r="1000" spans="1:5" x14ac:dyDescent="0.2">
      <c r="A1000" s="50">
        <v>36479</v>
      </c>
      <c r="B1000" s="51">
        <v>4599.6000000000004</v>
      </c>
      <c r="C1000" s="53">
        <f>(Table26[[#This Row],[M2 Money Stock, Billions of Dollars, Weekly, Seasonally Adjusted]]-B999)/B999</f>
        <v>1.2843677210093271E-3</v>
      </c>
      <c r="D1000" s="54">
        <f>((1+Table26[[#This Row],[Weekly change]])^52)-1</f>
        <v>6.9022060674714503E-2</v>
      </c>
      <c r="E1000" s="57">
        <f>(Table26[[#This Row],[M2 Money Stock, Billions of Dollars, Weekly, Seasonally Adjusted]]-B948)/B948</f>
        <v>6.0206527752166873E-2</v>
      </c>
    </row>
    <row r="1001" spans="1:5" x14ac:dyDescent="0.2">
      <c r="A1001" s="50">
        <v>36486</v>
      </c>
      <c r="B1001" s="51">
        <v>4603.8999999999996</v>
      </c>
      <c r="C1001" s="53">
        <f>(Table26[[#This Row],[M2 Money Stock, Billions of Dollars, Weekly, Seasonally Adjusted]]-B1000)/B1000</f>
        <v>9.3486390120864251E-4</v>
      </c>
      <c r="D1001" s="54">
        <f>((1+Table26[[#This Row],[Weekly change]])^52)-1</f>
        <v>4.979007308101413E-2</v>
      </c>
      <c r="E1001" s="57">
        <f>(Table26[[#This Row],[M2 Money Stock, Billions of Dollars, Weekly, Seasonally Adjusted]]-B949)/B949</f>
        <v>6.1564712121561491E-2</v>
      </c>
    </row>
    <row r="1002" spans="1:5" x14ac:dyDescent="0.2">
      <c r="A1002" s="50">
        <v>36493</v>
      </c>
      <c r="B1002" s="51">
        <v>4601.1000000000004</v>
      </c>
      <c r="C1002" s="53">
        <f>(Table26[[#This Row],[M2 Money Stock, Billions of Dollars, Weekly, Seasonally Adjusted]]-B1001)/B1001</f>
        <v>-6.0818002128614271E-4</v>
      </c>
      <c r="D1002" s="54">
        <f>((1+Table26[[#This Row],[Weekly change]])^52)-1</f>
        <v>-3.1139831021760433E-2</v>
      </c>
      <c r="E1002" s="57">
        <f>(Table26[[#This Row],[M2 Money Stock, Billions of Dollars, Weekly, Seasonally Adjusted]]-B950)/B950</f>
        <v>6.0381185038372011E-2</v>
      </c>
    </row>
    <row r="1003" spans="1:5" x14ac:dyDescent="0.2">
      <c r="A1003" s="50">
        <v>36500</v>
      </c>
      <c r="B1003" s="51">
        <v>4613.2</v>
      </c>
      <c r="C1003" s="53">
        <f>(Table26[[#This Row],[M2 Money Stock, Billions of Dollars, Weekly, Seasonally Adjusted]]-B1002)/B1002</f>
        <v>2.6298059159764954E-3</v>
      </c>
      <c r="D1003" s="54">
        <f>((1+Table26[[#This Row],[Weekly change]])^52)-1</f>
        <v>0.14633558773628197</v>
      </c>
      <c r="E1003" s="57">
        <f>(Table26[[#This Row],[M2 Money Stock, Billions of Dollars, Weekly, Seasonally Adjusted]]-B951)/B951</f>
        <v>5.8558972005507075E-2</v>
      </c>
    </row>
    <row r="1004" spans="1:5" x14ac:dyDescent="0.2">
      <c r="A1004" s="50">
        <v>36507</v>
      </c>
      <c r="B1004" s="51">
        <v>4617.8</v>
      </c>
      <c r="C1004" s="53">
        <f>(Table26[[#This Row],[M2 Money Stock, Billions of Dollars, Weekly, Seasonally Adjusted]]-B1003)/B1003</f>
        <v>9.9713864562567494E-4</v>
      </c>
      <c r="D1004" s="54">
        <f>((1+Table26[[#This Row],[Weekly change]])^52)-1</f>
        <v>5.3191813173520064E-2</v>
      </c>
      <c r="E1004" s="57">
        <f>(Table26[[#This Row],[M2 Money Stock, Billions of Dollars, Weekly, Seasonally Adjusted]]-B952)/B952</f>
        <v>5.9128440366972519E-2</v>
      </c>
    </row>
    <row r="1005" spans="1:5" x14ac:dyDescent="0.2">
      <c r="A1005" s="50">
        <v>36514</v>
      </c>
      <c r="B1005" s="51">
        <v>4628</v>
      </c>
      <c r="C1005" s="53">
        <f>(Table26[[#This Row],[M2 Money Stock, Billions of Dollars, Weekly, Seasonally Adjusted]]-B1004)/B1004</f>
        <v>2.2088440382865906E-3</v>
      </c>
      <c r="D1005" s="54">
        <f>((1+Table26[[#This Row],[Weekly change]])^52)-1</f>
        <v>0.12157418711308554</v>
      </c>
      <c r="E1005" s="57">
        <f>(Table26[[#This Row],[M2 Money Stock, Billions of Dollars, Weekly, Seasonally Adjusted]]-B953)/B953</f>
        <v>6.0446359011961E-2</v>
      </c>
    </row>
    <row r="1006" spans="1:5" x14ac:dyDescent="0.2">
      <c r="A1006" s="50">
        <v>36521</v>
      </c>
      <c r="B1006" s="51">
        <v>4638.1000000000004</v>
      </c>
      <c r="C1006" s="53">
        <f>(Table26[[#This Row],[M2 Money Stock, Billions of Dollars, Weekly, Seasonally Adjusted]]-B1005)/B1005</f>
        <v>2.1823681936042273E-3</v>
      </c>
      <c r="D1006" s="54">
        <f>((1+Table26[[#This Row],[Weekly change]])^52)-1</f>
        <v>0.12003450731160781</v>
      </c>
      <c r="E1006" s="57">
        <f>(Table26[[#This Row],[M2 Money Stock, Billions of Dollars, Weekly, Seasonally Adjusted]]-B954)/B954</f>
        <v>6.139869101560716E-2</v>
      </c>
    </row>
    <row r="1007" spans="1:5" x14ac:dyDescent="0.2">
      <c r="A1007" s="50">
        <v>36528</v>
      </c>
      <c r="B1007" s="51">
        <v>4653.1000000000004</v>
      </c>
      <c r="C1007" s="53">
        <f>(Table26[[#This Row],[M2 Money Stock, Billions of Dollars, Weekly, Seasonally Adjusted]]-B1006)/B1006</f>
        <v>3.234082921886117E-3</v>
      </c>
      <c r="D1007" s="54">
        <f>((1+Table26[[#This Row],[Weekly change]])^52)-1</f>
        <v>0.18281945277682654</v>
      </c>
      <c r="E1007" s="57">
        <f>(Table26[[#This Row],[M2 Money Stock, Billions of Dollars, Weekly, Seasonally Adjusted]]-B955)/B955</f>
        <v>6.1382299270073076E-2</v>
      </c>
    </row>
    <row r="1008" spans="1:5" x14ac:dyDescent="0.2">
      <c r="A1008" s="50">
        <v>36535</v>
      </c>
      <c r="B1008" s="51">
        <v>4657.6000000000004</v>
      </c>
      <c r="C1008" s="53">
        <f>(Table26[[#This Row],[M2 Money Stock, Billions of Dollars, Weekly, Seasonally Adjusted]]-B1007)/B1007</f>
        <v>9.6709720401452791E-4</v>
      </c>
      <c r="D1008" s="54">
        <f>((1+Table26[[#This Row],[Weekly change]])^52)-1</f>
        <v>5.1549460477024578E-2</v>
      </c>
      <c r="E1008" s="57">
        <f>(Table26[[#This Row],[M2 Money Stock, Billions of Dollars, Weekly, Seasonally Adjusted]]-B956)/B956</f>
        <v>6.1343542065445435E-2</v>
      </c>
    </row>
    <row r="1009" spans="1:5" x14ac:dyDescent="0.2">
      <c r="A1009" s="50">
        <v>36542</v>
      </c>
      <c r="B1009" s="51">
        <v>4659.8</v>
      </c>
      <c r="C1009" s="53">
        <f>(Table26[[#This Row],[M2 Money Stock, Billions of Dollars, Weekly, Seasonally Adjusted]]-B1008)/B1008</f>
        <v>4.7234627275846312E-4</v>
      </c>
      <c r="D1009" s="54">
        <f>((1+Table26[[#This Row],[Weekly change]])^52)-1</f>
        <v>2.4860193931772523E-2</v>
      </c>
      <c r="E1009" s="57">
        <f>(Table26[[#This Row],[M2 Money Stock, Billions of Dollars, Weekly, Seasonally Adjusted]]-B957)/B957</f>
        <v>6.0926187332088787E-2</v>
      </c>
    </row>
    <row r="1010" spans="1:5" x14ac:dyDescent="0.2">
      <c r="A1010" s="50">
        <v>36549</v>
      </c>
      <c r="B1010" s="51">
        <v>4667</v>
      </c>
      <c r="C1010" s="53">
        <f>(Table26[[#This Row],[M2 Money Stock, Billions of Dollars, Weekly, Seasonally Adjusted]]-B1009)/B1009</f>
        <v>1.5451306923043517E-3</v>
      </c>
      <c r="D1010" s="54">
        <f>((1+Table26[[#This Row],[Weekly change]])^52)-1</f>
        <v>8.3595617375131548E-2</v>
      </c>
      <c r="E1010" s="57">
        <f>(Table26[[#This Row],[M2 Money Stock, Billions of Dollars, Weekly, Seasonally Adjusted]]-B958)/B958</f>
        <v>6.3388625592417022E-2</v>
      </c>
    </row>
    <row r="1011" spans="1:5" x14ac:dyDescent="0.2">
      <c r="A1011" s="50">
        <v>36556</v>
      </c>
      <c r="B1011" s="51">
        <v>4667.7</v>
      </c>
      <c r="C1011" s="53">
        <f>(Table26[[#This Row],[M2 Money Stock, Billions of Dollars, Weekly, Seasonally Adjusted]]-B1010)/B1010</f>
        <v>1.4998928647949819E-4</v>
      </c>
      <c r="D1011" s="54">
        <f>((1+Table26[[#This Row],[Weekly change]])^52)-1</f>
        <v>7.8293483439819678E-3</v>
      </c>
      <c r="E1011" s="57">
        <f>(Table26[[#This Row],[M2 Money Stock, Billions of Dollars, Weekly, Seasonally Adjusted]]-B959)/B959</f>
        <v>5.9107823561444908E-2</v>
      </c>
    </row>
    <row r="1012" spans="1:5" x14ac:dyDescent="0.2">
      <c r="A1012" s="50">
        <v>36563</v>
      </c>
      <c r="B1012" s="51">
        <v>4674.2</v>
      </c>
      <c r="C1012" s="53">
        <f>(Table26[[#This Row],[M2 Money Stock, Billions of Dollars, Weekly, Seasonally Adjusted]]-B1011)/B1011</f>
        <v>1.3925487927673159E-3</v>
      </c>
      <c r="D1012" s="54">
        <f>((1+Table26[[#This Row],[Weekly change]])^52)-1</f>
        <v>7.5044617088471322E-2</v>
      </c>
      <c r="E1012" s="57">
        <f>(Table26[[#This Row],[M2 Money Stock, Billions of Dollars, Weekly, Seasonally Adjusted]]-B960)/B960</f>
        <v>5.9957367681073889E-2</v>
      </c>
    </row>
    <row r="1013" spans="1:5" x14ac:dyDescent="0.2">
      <c r="A1013" s="50">
        <v>36570</v>
      </c>
      <c r="B1013" s="51">
        <v>4667.3</v>
      </c>
      <c r="C1013" s="53">
        <f>(Table26[[#This Row],[M2 Money Stock, Billions of Dollars, Weekly, Seasonally Adjusted]]-B1012)/B1012</f>
        <v>-1.476188438663223E-3</v>
      </c>
      <c r="D1013" s="54">
        <f>((1+Table26[[#This Row],[Weekly change]])^52)-1</f>
        <v>-7.3942093311501811E-2</v>
      </c>
      <c r="E1013" s="57">
        <f>(Table26[[#This Row],[M2 Money Stock, Billions of Dollars, Weekly, Seasonally Adjusted]]-B961)/B961</f>
        <v>5.7074264489389168E-2</v>
      </c>
    </row>
    <row r="1014" spans="1:5" x14ac:dyDescent="0.2">
      <c r="A1014" s="50">
        <v>36577</v>
      </c>
      <c r="B1014" s="51">
        <v>4666.7</v>
      </c>
      <c r="C1014" s="53">
        <f>(Table26[[#This Row],[M2 Money Stock, Billions of Dollars, Weekly, Seasonally Adjusted]]-B1013)/B1013</f>
        <v>-1.2855398195966915E-4</v>
      </c>
      <c r="D1014" s="54">
        <f>((1+Table26[[#This Row],[Weekly change]])^52)-1</f>
        <v>-6.6629402960474149E-3</v>
      </c>
      <c r="E1014" s="57">
        <f>(Table26[[#This Row],[M2 Money Stock, Billions of Dollars, Weekly, Seasonally Adjusted]]-B962)/B962</f>
        <v>5.6101203946772794E-2</v>
      </c>
    </row>
    <row r="1015" spans="1:5" x14ac:dyDescent="0.2">
      <c r="A1015" s="50">
        <v>36584</v>
      </c>
      <c r="B1015" s="51">
        <v>4666.3999999999996</v>
      </c>
      <c r="C1015" s="53">
        <f>(Table26[[#This Row],[M2 Money Stock, Billions of Dollars, Weekly, Seasonally Adjusted]]-B1014)/B1014</f>
        <v>-6.428525510535966E-5</v>
      </c>
      <c r="D1015" s="54">
        <f>((1+Table26[[#This Row],[Weekly change]])^52)-1</f>
        <v>-3.3373593123761092E-3</v>
      </c>
      <c r="E1015" s="57">
        <f>(Table26[[#This Row],[M2 Money Stock, Billions of Dollars, Weekly, Seasonally Adjusted]]-B963)/B963</f>
        <v>5.6152818957517468E-2</v>
      </c>
    </row>
    <row r="1016" spans="1:5" x14ac:dyDescent="0.2">
      <c r="A1016" s="50">
        <v>36591</v>
      </c>
      <c r="B1016" s="51">
        <v>4678.3</v>
      </c>
      <c r="C1016" s="53">
        <f>(Table26[[#This Row],[M2 Money Stock, Billions of Dollars, Weekly, Seasonally Adjusted]]-B1015)/B1015</f>
        <v>2.5501457226128378E-3</v>
      </c>
      <c r="D1016" s="54">
        <f>((1+Table26[[#This Row],[Weekly change]])^52)-1</f>
        <v>0.14160912482598431</v>
      </c>
      <c r="E1016" s="57">
        <f>(Table26[[#This Row],[M2 Money Stock, Billions of Dollars, Weekly, Seasonally Adjusted]]-B964)/B964</f>
        <v>5.8223438666335038E-2</v>
      </c>
    </row>
    <row r="1017" spans="1:5" x14ac:dyDescent="0.2">
      <c r="A1017" s="50">
        <v>36598</v>
      </c>
      <c r="B1017" s="51">
        <v>4685.8999999999996</v>
      </c>
      <c r="C1017" s="53">
        <f>(Table26[[#This Row],[M2 Money Stock, Billions of Dollars, Weekly, Seasonally Adjusted]]-B1016)/B1016</f>
        <v>1.624521727977995E-3</v>
      </c>
      <c r="D1017" s="54">
        <f>((1+Table26[[#This Row],[Weekly change]])^52)-1</f>
        <v>8.807120083278952E-2</v>
      </c>
      <c r="E1017" s="57">
        <f>(Table26[[#This Row],[M2 Money Stock, Billions of Dollars, Weekly, Seasonally Adjusted]]-B965)/B965</f>
        <v>6.0854406737452002E-2</v>
      </c>
    </row>
    <row r="1018" spans="1:5" x14ac:dyDescent="0.2">
      <c r="A1018" s="50">
        <v>36605</v>
      </c>
      <c r="B1018" s="51">
        <v>4704.1000000000004</v>
      </c>
      <c r="C1018" s="53">
        <f>(Table26[[#This Row],[M2 Money Stock, Billions of Dollars, Weekly, Seasonally Adjusted]]-B1017)/B1017</f>
        <v>3.8839924027402909E-3</v>
      </c>
      <c r="D1018" s="54">
        <f>((1+Table26[[#This Row],[Weekly change]])^52)-1</f>
        <v>0.22332969252803991</v>
      </c>
      <c r="E1018" s="57">
        <f>(Table26[[#This Row],[M2 Money Stock, Billions of Dollars, Weekly, Seasonally Adjusted]]-B966)/B966</f>
        <v>6.4324177564595728E-2</v>
      </c>
    </row>
    <row r="1019" spans="1:5" x14ac:dyDescent="0.2">
      <c r="A1019" s="50">
        <v>36612</v>
      </c>
      <c r="B1019" s="51">
        <v>4711.6000000000004</v>
      </c>
      <c r="C1019" s="53">
        <f>(Table26[[#This Row],[M2 Money Stock, Billions of Dollars, Weekly, Seasonally Adjusted]]-B1018)/B1018</f>
        <v>1.5943538615250524E-3</v>
      </c>
      <c r="D1019" s="54">
        <f>((1+Table26[[#This Row],[Weekly change]])^52)-1</f>
        <v>8.6368388470235979E-2</v>
      </c>
      <c r="E1019" s="57">
        <f>(Table26[[#This Row],[M2 Money Stock, Billions of Dollars, Weekly, Seasonally Adjusted]]-B967)/B967</f>
        <v>6.4696178790138559E-2</v>
      </c>
    </row>
    <row r="1020" spans="1:5" x14ac:dyDescent="0.2">
      <c r="A1020" s="50">
        <v>36619</v>
      </c>
      <c r="B1020" s="51">
        <v>4728</v>
      </c>
      <c r="C1020" s="53">
        <f>(Table26[[#This Row],[M2 Money Stock, Billions of Dollars, Weekly, Seasonally Adjusted]]-B1019)/B1019</f>
        <v>3.4807708634008905E-3</v>
      </c>
      <c r="D1020" s="54">
        <f>((1+Table26[[#This Row],[Weekly change]])^52)-1</f>
        <v>0.19803870126585288</v>
      </c>
      <c r="E1020" s="57">
        <f>(Table26[[#This Row],[M2 Money Stock, Billions of Dollars, Weekly, Seasonally Adjusted]]-B968)/B968</f>
        <v>6.4649057623454798E-2</v>
      </c>
    </row>
    <row r="1021" spans="1:5" x14ac:dyDescent="0.2">
      <c r="A1021" s="50">
        <v>36626</v>
      </c>
      <c r="B1021" s="51">
        <v>4751.8</v>
      </c>
      <c r="C1021" s="53">
        <f>(Table26[[#This Row],[M2 Money Stock, Billions of Dollars, Weekly, Seasonally Adjusted]]-B1020)/B1020</f>
        <v>5.0338409475465693E-3</v>
      </c>
      <c r="D1021" s="54">
        <f>((1+Table26[[#This Row],[Weekly change]])^52)-1</f>
        <v>0.29836152414408668</v>
      </c>
      <c r="E1021" s="57">
        <f>(Table26[[#This Row],[M2 Money Stock, Billions of Dollars, Weekly, Seasonally Adjusted]]-B969)/B969</f>
        <v>6.9141635729553425E-2</v>
      </c>
    </row>
    <row r="1022" spans="1:5" x14ac:dyDescent="0.2">
      <c r="A1022" s="50">
        <v>36633</v>
      </c>
      <c r="B1022" s="51">
        <v>4760.7</v>
      </c>
      <c r="C1022" s="53">
        <f>(Table26[[#This Row],[M2 Money Stock, Billions of Dollars, Weekly, Seasonally Adjusted]]-B1021)/B1021</f>
        <v>1.8729744517866148E-3</v>
      </c>
      <c r="D1022" s="54">
        <f>((1+Table26[[#This Row],[Weekly change]])^52)-1</f>
        <v>0.10219492315543977</v>
      </c>
      <c r="E1022" s="57">
        <f>(Table26[[#This Row],[M2 Money Stock, Billions of Dollars, Weekly, Seasonally Adjusted]]-B970)/B970</f>
        <v>6.9099483494273486E-2</v>
      </c>
    </row>
    <row r="1023" spans="1:5" x14ac:dyDescent="0.2">
      <c r="A1023" s="50">
        <v>36640</v>
      </c>
      <c r="B1023" s="51">
        <v>4767</v>
      </c>
      <c r="C1023" s="53">
        <f>(Table26[[#This Row],[M2 Money Stock, Billions of Dollars, Weekly, Seasonally Adjusted]]-B1022)/B1022</f>
        <v>1.3233348037053757E-3</v>
      </c>
      <c r="D1023" s="54">
        <f>((1+Table26[[#This Row],[Weekly change]])^52)-1</f>
        <v>7.1187577298133409E-2</v>
      </c>
      <c r="E1023" s="57">
        <f>(Table26[[#This Row],[M2 Money Stock, Billions of Dollars, Weekly, Seasonally Adjusted]]-B971)/B971</f>
        <v>6.9097759537105646E-2</v>
      </c>
    </row>
    <row r="1024" spans="1:5" x14ac:dyDescent="0.2">
      <c r="A1024" s="50">
        <v>36647</v>
      </c>
      <c r="B1024" s="51">
        <v>4754.7</v>
      </c>
      <c r="C1024" s="53">
        <f>(Table26[[#This Row],[M2 Money Stock, Billions of Dollars, Weekly, Seasonally Adjusted]]-B1023)/B1023</f>
        <v>-2.5802391441158341E-3</v>
      </c>
      <c r="D1024" s="54">
        <f>((1+Table26[[#This Row],[Weekly change]])^52)-1</f>
        <v>-0.12571234460760472</v>
      </c>
      <c r="E1024" s="57">
        <f>(Table26[[#This Row],[M2 Money Stock, Billions of Dollars, Weekly, Seasonally Adjusted]]-B972)/B972</f>
        <v>6.7392524413514385E-2</v>
      </c>
    </row>
    <row r="1025" spans="1:5" x14ac:dyDescent="0.2">
      <c r="A1025" s="50">
        <v>36654</v>
      </c>
      <c r="B1025" s="51">
        <v>4734.2</v>
      </c>
      <c r="C1025" s="53">
        <f>(Table26[[#This Row],[M2 Money Stock, Billions of Dollars, Weekly, Seasonally Adjusted]]-B1024)/B1024</f>
        <v>-4.3115233348055611E-3</v>
      </c>
      <c r="D1025" s="54">
        <f>((1+Table26[[#This Row],[Weekly change]])^52)-1</f>
        <v>-0.2012313521072826</v>
      </c>
      <c r="E1025" s="57">
        <f>(Table26[[#This Row],[M2 Money Stock, Billions of Dollars, Weekly, Seasonally Adjusted]]-B973)/B973</f>
        <v>5.870250687657938E-2</v>
      </c>
    </row>
    <row r="1026" spans="1:5" x14ac:dyDescent="0.2">
      <c r="A1026" s="50">
        <v>36661</v>
      </c>
      <c r="B1026" s="51">
        <v>4739.8999999999996</v>
      </c>
      <c r="C1026" s="53">
        <f>(Table26[[#This Row],[M2 Money Stock, Billions of Dollars, Weekly, Seasonally Adjusted]]-B1025)/B1025</f>
        <v>1.2040049005111355E-3</v>
      </c>
      <c r="D1026" s="54">
        <f>((1+Table26[[#This Row],[Weekly change]])^52)-1</f>
        <v>6.4569609268672279E-2</v>
      </c>
      <c r="E1026" s="57">
        <f>(Table26[[#This Row],[M2 Money Stock, Billions of Dollars, Weekly, Seasonally Adjusted]]-B974)/B974</f>
        <v>6.000089453439468E-2</v>
      </c>
    </row>
    <row r="1027" spans="1:5" x14ac:dyDescent="0.2">
      <c r="A1027" s="50">
        <v>36668</v>
      </c>
      <c r="B1027" s="51">
        <v>4744.7</v>
      </c>
      <c r="C1027" s="53">
        <f>(Table26[[#This Row],[M2 Money Stock, Billions of Dollars, Weekly, Seasonally Adjusted]]-B1026)/B1026</f>
        <v>1.0126795923965026E-3</v>
      </c>
      <c r="D1027" s="54">
        <f>((1+Table26[[#This Row],[Weekly change]])^52)-1</f>
        <v>5.4042417137790899E-2</v>
      </c>
      <c r="E1027" s="57">
        <f>(Table26[[#This Row],[M2 Money Stock, Billions of Dollars, Weekly, Seasonally Adjusted]]-B975)/B975</f>
        <v>5.9841851322373039E-2</v>
      </c>
    </row>
    <row r="1028" spans="1:5" x14ac:dyDescent="0.2">
      <c r="A1028" s="50">
        <v>36675</v>
      </c>
      <c r="B1028" s="51">
        <v>4747.2</v>
      </c>
      <c r="C1028" s="53">
        <f>(Table26[[#This Row],[M2 Money Stock, Billions of Dollars, Weekly, Seasonally Adjusted]]-B1027)/B1027</f>
        <v>5.2690370307922527E-4</v>
      </c>
      <c r="D1028" s="54">
        <f>((1+Table26[[#This Row],[Weekly change]])^52)-1</f>
        <v>2.7770380467635469E-2</v>
      </c>
      <c r="E1028" s="57">
        <f>(Table26[[#This Row],[M2 Money Stock, Billions of Dollars, Weekly, Seasonally Adjusted]]-B976)/B976</f>
        <v>5.7777579714343059E-2</v>
      </c>
    </row>
    <row r="1029" spans="1:5" x14ac:dyDescent="0.2">
      <c r="A1029" s="50">
        <v>36682</v>
      </c>
      <c r="B1029" s="51">
        <v>4759.1000000000004</v>
      </c>
      <c r="C1029" s="53">
        <f>(Table26[[#This Row],[M2 Money Stock, Billions of Dollars, Weekly, Seasonally Adjusted]]-B1028)/B1028</f>
        <v>2.5067408156388073E-3</v>
      </c>
      <c r="D1029" s="54">
        <f>((1+Table26[[#This Row],[Weekly change]])^52)-1</f>
        <v>0.13904183963090633</v>
      </c>
      <c r="E1029" s="57">
        <f>(Table26[[#This Row],[M2 Money Stock, Billions of Dollars, Weekly, Seasonally Adjusted]]-B977)/B977</f>
        <v>5.9366930816490242E-2</v>
      </c>
    </row>
    <row r="1030" spans="1:5" x14ac:dyDescent="0.2">
      <c r="A1030" s="50">
        <v>36689</v>
      </c>
      <c r="B1030" s="51">
        <v>4761.8999999999996</v>
      </c>
      <c r="C1030" s="53">
        <f>(Table26[[#This Row],[M2 Money Stock, Billions of Dollars, Weekly, Seasonally Adjusted]]-B1029)/B1029</f>
        <v>5.8834653610961569E-4</v>
      </c>
      <c r="D1030" s="54">
        <f>((1+Table26[[#This Row],[Weekly change]])^52)-1</f>
        <v>3.1057550406022427E-2</v>
      </c>
      <c r="E1030" s="57">
        <f>(Table26[[#This Row],[M2 Money Stock, Billions of Dollars, Weekly, Seasonally Adjusted]]-B978)/B978</f>
        <v>5.9589239224761184E-2</v>
      </c>
    </row>
    <row r="1031" spans="1:5" x14ac:dyDescent="0.2">
      <c r="A1031" s="50">
        <v>36696</v>
      </c>
      <c r="B1031" s="51">
        <v>4758.2</v>
      </c>
      <c r="C1031" s="53">
        <f>(Table26[[#This Row],[M2 Money Stock, Billions of Dollars, Weekly, Seasonally Adjusted]]-B1030)/B1030</f>
        <v>-7.7700077700073884E-4</v>
      </c>
      <c r="D1031" s="54">
        <f>((1+Table26[[#This Row],[Weekly change]])^52)-1</f>
        <v>-3.9613763288307569E-2</v>
      </c>
      <c r="E1031" s="57">
        <f>(Table26[[#This Row],[M2 Money Stock, Billions of Dollars, Weekly, Seasonally Adjusted]]-B979)/B979</f>
        <v>5.754228435534408E-2</v>
      </c>
    </row>
    <row r="1032" spans="1:5" x14ac:dyDescent="0.2">
      <c r="A1032" s="50">
        <v>36703</v>
      </c>
      <c r="B1032" s="51">
        <v>4760.7</v>
      </c>
      <c r="C1032" s="53">
        <f>(Table26[[#This Row],[M2 Money Stock, Billions of Dollars, Weekly, Seasonally Adjusted]]-B1031)/B1031</f>
        <v>5.2540876802152072E-4</v>
      </c>
      <c r="D1032" s="54">
        <f>((1+Table26[[#This Row],[Weekly change]])^52)-1</f>
        <v>2.7690530186445406E-2</v>
      </c>
      <c r="E1032" s="57">
        <f>(Table26[[#This Row],[M2 Money Stock, Billions of Dollars, Weekly, Seasonally Adjusted]]-B980)/B980</f>
        <v>5.8333148078162776E-2</v>
      </c>
    </row>
    <row r="1033" spans="1:5" x14ac:dyDescent="0.2">
      <c r="A1033" s="50">
        <v>36710</v>
      </c>
      <c r="B1033" s="51">
        <v>4766.6000000000004</v>
      </c>
      <c r="C1033" s="53">
        <f>(Table26[[#This Row],[M2 Money Stock, Billions of Dollars, Weekly, Seasonally Adjusted]]-B1032)/B1032</f>
        <v>1.2393135463273355E-3</v>
      </c>
      <c r="D1033" s="54">
        <f>((1+Table26[[#This Row],[Weekly change]])^52)-1</f>
        <v>6.6523618002865881E-2</v>
      </c>
      <c r="E1033" s="57">
        <f>(Table26[[#This Row],[M2 Money Stock, Billions of Dollars, Weekly, Seasonally Adjusted]]-B981)/B981</f>
        <v>5.7927911931818177E-2</v>
      </c>
    </row>
    <row r="1034" spans="1:5" x14ac:dyDescent="0.2">
      <c r="A1034" s="50">
        <v>36717</v>
      </c>
      <c r="B1034" s="51">
        <v>4776.8</v>
      </c>
      <c r="C1034" s="53">
        <f>(Table26[[#This Row],[M2 Money Stock, Billions of Dollars, Weekly, Seasonally Adjusted]]-B1033)/B1033</f>
        <v>2.1398900683925266E-3</v>
      </c>
      <c r="D1034" s="54">
        <f>((1+Table26[[#This Row],[Weekly change]])^52)-1</f>
        <v>0.1175685587813049</v>
      </c>
      <c r="E1034" s="57">
        <f>(Table26[[#This Row],[M2 Money Stock, Billions of Dollars, Weekly, Seasonally Adjusted]]-B982)/B982</f>
        <v>5.597311875497387E-2</v>
      </c>
    </row>
    <row r="1035" spans="1:5" x14ac:dyDescent="0.2">
      <c r="A1035" s="50">
        <v>36724</v>
      </c>
      <c r="B1035" s="51">
        <v>4773.6000000000004</v>
      </c>
      <c r="C1035" s="53">
        <f>(Table26[[#This Row],[M2 Money Stock, Billions of Dollars, Weekly, Seasonally Adjusted]]-B1034)/B1034</f>
        <v>-6.6990453860321089E-4</v>
      </c>
      <c r="D1035" s="54">
        <f>((1+Table26[[#This Row],[Weekly change]])^52)-1</f>
        <v>-3.4246554062258183E-2</v>
      </c>
      <c r="E1035" s="57">
        <f>(Table26[[#This Row],[M2 Money Stock, Billions of Dollars, Weekly, Seasonally Adjusted]]-B983)/B983</f>
        <v>5.5359037849310344E-2</v>
      </c>
    </row>
    <row r="1036" spans="1:5" x14ac:dyDescent="0.2">
      <c r="A1036" s="50">
        <v>36731</v>
      </c>
      <c r="B1036" s="51">
        <v>4782.3999999999996</v>
      </c>
      <c r="C1036" s="53">
        <f>(Table26[[#This Row],[M2 Money Stock, Billions of Dollars, Weekly, Seasonally Adjusted]]-B1035)/B1035</f>
        <v>1.8434724317075732E-3</v>
      </c>
      <c r="D1036" s="54">
        <f>((1+Table26[[#This Row],[Weekly change]])^52)-1</f>
        <v>0.10050846810416347</v>
      </c>
      <c r="E1036" s="57">
        <f>(Table26[[#This Row],[M2 Money Stock, Billions of Dollars, Weekly, Seasonally Adjusted]]-B984)/B984</f>
        <v>5.5251544571932841E-2</v>
      </c>
    </row>
    <row r="1037" spans="1:5" x14ac:dyDescent="0.2">
      <c r="A1037" s="50">
        <v>36738</v>
      </c>
      <c r="B1037" s="51">
        <v>4786.2</v>
      </c>
      <c r="C1037" s="53">
        <f>(Table26[[#This Row],[M2 Money Stock, Billions of Dollars, Weekly, Seasonally Adjusted]]-B1036)/B1036</f>
        <v>7.9458012713285841E-4</v>
      </c>
      <c r="D1037" s="54">
        <f>((1+Table26[[#This Row],[Weekly change]])^52)-1</f>
        <v>4.2166542281064201E-2</v>
      </c>
      <c r="E1037" s="57">
        <f>(Table26[[#This Row],[M2 Money Stock, Billions of Dollars, Weekly, Seasonally Adjusted]]-B985)/B985</f>
        <v>5.5996822875297898E-2</v>
      </c>
    </row>
    <row r="1038" spans="1:5" x14ac:dyDescent="0.2">
      <c r="A1038" s="50">
        <v>36745</v>
      </c>
      <c r="B1038" s="51">
        <v>4794.3</v>
      </c>
      <c r="C1038" s="53">
        <f>(Table26[[#This Row],[M2 Money Stock, Billions of Dollars, Weekly, Seasonally Adjusted]]-B1037)/B1037</f>
        <v>1.6923655509590832E-3</v>
      </c>
      <c r="D1038" s="54">
        <f>((1+Table26[[#This Row],[Weekly change]])^52)-1</f>
        <v>9.1910185172655812E-2</v>
      </c>
      <c r="E1038" s="57">
        <f>(Table26[[#This Row],[M2 Money Stock, Billions of Dollars, Weekly, Seasonally Adjusted]]-B986)/B986</f>
        <v>5.5803915523354529E-2</v>
      </c>
    </row>
    <row r="1039" spans="1:5" x14ac:dyDescent="0.2">
      <c r="A1039" s="50">
        <v>36752</v>
      </c>
      <c r="B1039" s="51">
        <v>4794.8</v>
      </c>
      <c r="C1039" s="53">
        <f>(Table26[[#This Row],[M2 Money Stock, Billions of Dollars, Weekly, Seasonally Adjusted]]-B1038)/B1038</f>
        <v>1.0429051164925014E-4</v>
      </c>
      <c r="D1039" s="54">
        <f>((1+Table26[[#This Row],[Weekly change]])^52)-1</f>
        <v>5.4375539595716837E-3</v>
      </c>
      <c r="E1039" s="57">
        <f>(Table26[[#This Row],[M2 Money Stock, Billions of Dollars, Weekly, Seasonally Adjusted]]-B987)/B987</f>
        <v>5.5031135168438043E-2</v>
      </c>
    </row>
    <row r="1040" spans="1:5" x14ac:dyDescent="0.2">
      <c r="A1040" s="50">
        <v>36759</v>
      </c>
      <c r="B1040" s="51">
        <v>4811.1000000000004</v>
      </c>
      <c r="C1040" s="53">
        <f>(Table26[[#This Row],[M2 Money Stock, Billions of Dollars, Weekly, Seasonally Adjusted]]-B1039)/B1039</f>
        <v>3.399516142487733E-3</v>
      </c>
      <c r="D1040" s="54">
        <f>((1+Table26[[#This Row],[Weekly change]])^52)-1</f>
        <v>0.19300465399809519</v>
      </c>
      <c r="E1040" s="57">
        <f>(Table26[[#This Row],[M2 Money Stock, Billions of Dollars, Weekly, Seasonally Adjusted]]-B988)/B988</f>
        <v>5.9526955602537034E-2</v>
      </c>
    </row>
    <row r="1041" spans="1:5" x14ac:dyDescent="0.2">
      <c r="A1041" s="50">
        <v>36766</v>
      </c>
      <c r="B1041" s="51">
        <v>4816.8999999999996</v>
      </c>
      <c r="C1041" s="53">
        <f>(Table26[[#This Row],[M2 Money Stock, Billions of Dollars, Weekly, Seasonally Adjusted]]-B1040)/B1040</f>
        <v>1.2055455093428263E-3</v>
      </c>
      <c r="D1041" s="54">
        <f>((1+Table26[[#This Row],[Weekly change]])^52)-1</f>
        <v>6.4654794489537259E-2</v>
      </c>
      <c r="E1041" s="57">
        <f>(Table26[[#This Row],[M2 Money Stock, Billions of Dollars, Weekly, Seasonally Adjusted]]-B989)/B989</f>
        <v>6.1084677064058339E-2</v>
      </c>
    </row>
    <row r="1042" spans="1:5" x14ac:dyDescent="0.2">
      <c r="A1042" s="50">
        <v>36773</v>
      </c>
      <c r="B1042" s="51">
        <v>4828.2</v>
      </c>
      <c r="C1042" s="53">
        <f>(Table26[[#This Row],[M2 Money Stock, Billions of Dollars, Weekly, Seasonally Adjusted]]-B1041)/B1041</f>
        <v>2.3459071186863298E-3</v>
      </c>
      <c r="D1042" s="54">
        <f>((1+Table26[[#This Row],[Weekly change]])^52)-1</f>
        <v>0.1295782221013646</v>
      </c>
      <c r="E1042" s="57">
        <f>(Table26[[#This Row],[M2 Money Stock, Billions of Dollars, Weekly, Seasonally Adjusted]]-B990)/B990</f>
        <v>6.1119535834377139E-2</v>
      </c>
    </row>
    <row r="1043" spans="1:5" x14ac:dyDescent="0.2">
      <c r="A1043" s="50">
        <v>36780</v>
      </c>
      <c r="B1043" s="51">
        <v>4838.6000000000004</v>
      </c>
      <c r="C1043" s="53">
        <f>(Table26[[#This Row],[M2 Money Stock, Billions of Dollars, Weekly, Seasonally Adjusted]]-B1042)/B1042</f>
        <v>2.154011847065272E-3</v>
      </c>
      <c r="D1043" s="54">
        <f>((1+Table26[[#This Row],[Weekly change]])^52)-1</f>
        <v>0.11838776763280912</v>
      </c>
      <c r="E1043" s="57">
        <f>(Table26[[#This Row],[M2 Money Stock, Billions of Dollars, Weekly, Seasonally Adjusted]]-B991)/B991</f>
        <v>6.2564507982519835E-2</v>
      </c>
    </row>
    <row r="1044" spans="1:5" x14ac:dyDescent="0.2">
      <c r="A1044" s="50">
        <v>36787</v>
      </c>
      <c r="B1044" s="51">
        <v>4843.5</v>
      </c>
      <c r="C1044" s="53">
        <f>(Table26[[#This Row],[M2 Money Stock, Billions of Dollars, Weekly, Seasonally Adjusted]]-B1043)/B1043</f>
        <v>1.0126896209646666E-3</v>
      </c>
      <c r="D1044" s="54">
        <f>((1+Table26[[#This Row],[Weekly change]])^52)-1</f>
        <v>5.404296624973326E-2</v>
      </c>
      <c r="E1044" s="57">
        <f>(Table26[[#This Row],[M2 Money Stock, Billions of Dollars, Weekly, Seasonally Adjusted]]-B992)/B992</f>
        <v>6.1868327012035998E-2</v>
      </c>
    </row>
    <row r="1045" spans="1:5" x14ac:dyDescent="0.2">
      <c r="A1045" s="50">
        <v>36794</v>
      </c>
      <c r="B1045" s="51">
        <v>4844.2</v>
      </c>
      <c r="C1045" s="53">
        <f>(Table26[[#This Row],[M2 Money Stock, Billions of Dollars, Weekly, Seasonally Adjusted]]-B1044)/B1044</f>
        <v>1.4452358831419803E-4</v>
      </c>
      <c r="D1045" s="54">
        <f>((1+Table26[[#This Row],[Weekly change]])^52)-1</f>
        <v>7.5429896749177328E-3</v>
      </c>
      <c r="E1045" s="57">
        <f>(Table26[[#This Row],[M2 Money Stock, Billions of Dollars, Weekly, Seasonally Adjusted]]-B993)/B993</f>
        <v>6.2837333801395334E-2</v>
      </c>
    </row>
    <row r="1046" spans="1:5" x14ac:dyDescent="0.2">
      <c r="A1046" s="50">
        <v>36801</v>
      </c>
      <c r="B1046" s="51">
        <v>4854.2</v>
      </c>
      <c r="C1046" s="53">
        <f>(Table26[[#This Row],[M2 Money Stock, Billions of Dollars, Weekly, Seasonally Adjusted]]-B1045)/B1045</f>
        <v>2.0643243466413443E-3</v>
      </c>
      <c r="D1046" s="54">
        <f>((1+Table26[[#This Row],[Weekly change]])^52)-1</f>
        <v>0.11319495753926434</v>
      </c>
      <c r="E1046" s="57">
        <f>(Table26[[#This Row],[M2 Money Stock, Billions of Dollars, Weekly, Seasonally Adjusted]]-B994)/B994</f>
        <v>6.2536937725730504E-2</v>
      </c>
    </row>
    <row r="1047" spans="1:5" x14ac:dyDescent="0.2">
      <c r="A1047" s="50">
        <v>36808</v>
      </c>
      <c r="B1047" s="51">
        <v>4859</v>
      </c>
      <c r="C1047" s="53">
        <f>(Table26[[#This Row],[M2 Money Stock, Billions of Dollars, Weekly, Seasonally Adjusted]]-B1046)/B1046</f>
        <v>9.8883441143755553E-4</v>
      </c>
      <c r="D1047" s="54">
        <f>((1+Table26[[#This Row],[Weekly change]])^52)-1</f>
        <v>5.2737572834165691E-2</v>
      </c>
      <c r="E1047" s="57">
        <f>(Table26[[#This Row],[M2 Money Stock, Billions of Dollars, Weekly, Seasonally Adjusted]]-B995)/B995</f>
        <v>6.2122934335927214E-2</v>
      </c>
    </row>
    <row r="1048" spans="1:5" x14ac:dyDescent="0.2">
      <c r="A1048" s="50">
        <v>36815</v>
      </c>
      <c r="B1048" s="51">
        <v>4859.5</v>
      </c>
      <c r="C1048" s="53">
        <f>(Table26[[#This Row],[M2 Money Stock, Billions of Dollars, Weekly, Seasonally Adjusted]]-B1047)/B1047</f>
        <v>1.0290183165260341E-4</v>
      </c>
      <c r="D1048" s="54">
        <f>((1+Table26[[#This Row],[Weekly change]])^52)-1</f>
        <v>5.3649600881029436E-3</v>
      </c>
      <c r="E1048" s="57">
        <f>(Table26[[#This Row],[M2 Money Stock, Billions of Dollars, Weekly, Seasonally Adjusted]]-B996)/B996</f>
        <v>6.1628872285577049E-2</v>
      </c>
    </row>
    <row r="1049" spans="1:5" x14ac:dyDescent="0.2">
      <c r="A1049" s="50">
        <v>36822</v>
      </c>
      <c r="B1049" s="51">
        <v>4858.8</v>
      </c>
      <c r="C1049" s="53">
        <f>(Table26[[#This Row],[M2 Money Stock, Billions of Dollars, Weekly, Seasonally Adjusted]]-B1048)/B1048</f>
        <v>-1.4404774153715775E-4</v>
      </c>
      <c r="D1049" s="54">
        <f>((1+Table26[[#This Row],[Weekly change]])^52)-1</f>
        <v>-7.463034328495266E-3</v>
      </c>
      <c r="E1049" s="57">
        <f>(Table26[[#This Row],[M2 Money Stock, Billions of Dollars, Weekly, Seasonally Adjusted]]-B997)/B997</f>
        <v>5.9878280217263269E-2</v>
      </c>
    </row>
    <row r="1050" spans="1:5" x14ac:dyDescent="0.2">
      <c r="A1050" s="50">
        <v>36829</v>
      </c>
      <c r="B1050" s="51">
        <v>4856.3999999999996</v>
      </c>
      <c r="C1050" s="53">
        <f>(Table26[[#This Row],[M2 Money Stock, Billions of Dollars, Weekly, Seasonally Adjusted]]-B1049)/B1049</f>
        <v>-4.9394912324041856E-4</v>
      </c>
      <c r="D1050" s="54">
        <f>((1+Table26[[#This Row],[Weekly change]])^52)-1</f>
        <v>-2.5364476697772864E-2</v>
      </c>
      <c r="E1050" s="57">
        <f>(Table26[[#This Row],[M2 Money Stock, Billions of Dollars, Weekly, Seasonally Adjusted]]-B998)/B998</f>
        <v>5.6520036548753261E-2</v>
      </c>
    </row>
    <row r="1051" spans="1:5" x14ac:dyDescent="0.2">
      <c r="A1051" s="50">
        <v>36836</v>
      </c>
      <c r="B1051" s="51">
        <v>4859.3</v>
      </c>
      <c r="C1051" s="53">
        <f>(Table26[[#This Row],[M2 Money Stock, Billions of Dollars, Weekly, Seasonally Adjusted]]-B1050)/B1050</f>
        <v>5.9715015237635824E-4</v>
      </c>
      <c r="D1051" s="54">
        <f>((1+Table26[[#This Row],[Weekly change]])^52)-1</f>
        <v>3.152938454007792E-2</v>
      </c>
      <c r="E1051" s="57">
        <f>(Table26[[#This Row],[M2 Money Stock, Billions of Dollars, Weekly, Seasonally Adjusted]]-B999)/B999</f>
        <v>5.7818316389838337E-2</v>
      </c>
    </row>
    <row r="1052" spans="1:5" x14ac:dyDescent="0.2">
      <c r="A1052" s="50">
        <v>36843</v>
      </c>
      <c r="B1052" s="51">
        <v>4860.8</v>
      </c>
      <c r="C1052" s="53">
        <f>(Table26[[#This Row],[M2 Money Stock, Billions of Dollars, Weekly, Seasonally Adjusted]]-B1051)/B1051</f>
        <v>3.0868643631798816E-4</v>
      </c>
      <c r="D1052" s="54">
        <f>((1+Table26[[#This Row],[Weekly change]])^52)-1</f>
        <v>1.6178698182137907E-2</v>
      </c>
      <c r="E1052" s="57">
        <f>(Table26[[#This Row],[M2 Money Stock, Billions of Dollars, Weekly, Seasonally Adjusted]]-B1000)/B1000</f>
        <v>5.6787546743195014E-2</v>
      </c>
    </row>
    <row r="1053" spans="1:5" x14ac:dyDescent="0.2">
      <c r="A1053" s="50">
        <v>36850</v>
      </c>
      <c r="B1053" s="51">
        <v>4865.5</v>
      </c>
      <c r="C1053" s="53">
        <f>(Table26[[#This Row],[M2 Money Stock, Billions of Dollars, Weekly, Seasonally Adjusted]]-B1052)/B1052</f>
        <v>9.6691902567474857E-4</v>
      </c>
      <c r="D1053" s="54">
        <f>((1+Table26[[#This Row],[Weekly change]])^52)-1</f>
        <v>5.1539727040892602E-2</v>
      </c>
      <c r="E1053" s="57">
        <f>(Table26[[#This Row],[M2 Money Stock, Billions of Dollars, Weekly, Seasonally Adjusted]]-B1001)/B1001</f>
        <v>5.6821390560177328E-2</v>
      </c>
    </row>
    <row r="1054" spans="1:5" x14ac:dyDescent="0.2">
      <c r="A1054" s="50">
        <v>36857</v>
      </c>
      <c r="B1054" s="51">
        <v>4880.6000000000004</v>
      </c>
      <c r="C1054" s="53">
        <f>(Table26[[#This Row],[M2 Money Stock, Billions of Dollars, Weekly, Seasonally Adjusted]]-B1053)/B1053</f>
        <v>3.1034837118488058E-3</v>
      </c>
      <c r="D1054" s="54">
        <f>((1+Table26[[#This Row],[Weekly change]])^52)-1</f>
        <v>0.17483915403570038</v>
      </c>
      <c r="E1054" s="57">
        <f>(Table26[[#This Row],[M2 Money Stock, Billions of Dollars, Weekly, Seasonally Adjusted]]-B1002)/B1002</f>
        <v>6.0746343265740799E-2</v>
      </c>
    </row>
    <row r="1055" spans="1:5" x14ac:dyDescent="0.2">
      <c r="A1055" s="50">
        <v>36864</v>
      </c>
      <c r="B1055" s="51">
        <v>4888.2</v>
      </c>
      <c r="C1055" s="53">
        <f>(Table26[[#This Row],[M2 Money Stock, Billions of Dollars, Weekly, Seasonally Adjusted]]-B1054)/B1054</f>
        <v>1.5571855919353059E-3</v>
      </c>
      <c r="D1055" s="54">
        <f>((1+Table26[[#This Row],[Weekly change]])^52)-1</f>
        <v>8.427403474812678E-2</v>
      </c>
      <c r="E1055" s="57">
        <f>(Table26[[#This Row],[M2 Money Stock, Billions of Dollars, Weekly, Seasonally Adjusted]]-B1003)/B1003</f>
        <v>5.9611549466747599E-2</v>
      </c>
    </row>
    <row r="1056" spans="1:5" x14ac:dyDescent="0.2">
      <c r="A1056" s="50">
        <v>36871</v>
      </c>
      <c r="B1056" s="51">
        <v>4895</v>
      </c>
      <c r="C1056" s="53">
        <f>(Table26[[#This Row],[M2 Money Stock, Billions of Dollars, Weekly, Seasonally Adjusted]]-B1055)/B1055</f>
        <v>1.3911051102655748E-3</v>
      </c>
      <c r="D1056" s="54">
        <f>((1+Table26[[#This Row],[Weekly change]])^52)-1</f>
        <v>7.4964027079541751E-2</v>
      </c>
      <c r="E1056" s="57">
        <f>(Table26[[#This Row],[M2 Money Stock, Billions of Dollars, Weekly, Seasonally Adjusted]]-B1004)/B1004</f>
        <v>6.0028585040495429E-2</v>
      </c>
    </row>
    <row r="1057" spans="1:5" x14ac:dyDescent="0.2">
      <c r="A1057" s="50">
        <v>36878</v>
      </c>
      <c r="B1057" s="51">
        <v>4908.2</v>
      </c>
      <c r="C1057" s="53">
        <f>(Table26[[#This Row],[M2 Money Stock, Billions of Dollars, Weekly, Seasonally Adjusted]]-B1056)/B1056</f>
        <v>2.6966292134831091E-3</v>
      </c>
      <c r="D1057" s="54">
        <f>((1+Table26[[#This Row],[Weekly change]])^52)-1</f>
        <v>0.15031519942169869</v>
      </c>
      <c r="E1057" s="57">
        <f>(Table26[[#This Row],[M2 Money Stock, Billions of Dollars, Weekly, Seasonally Adjusted]]-B1005)/B1005</f>
        <v>6.0544511668107134E-2</v>
      </c>
    </row>
    <row r="1058" spans="1:5" x14ac:dyDescent="0.2">
      <c r="A1058" s="50">
        <v>36885</v>
      </c>
      <c r="B1058" s="51">
        <v>4923.6000000000004</v>
      </c>
      <c r="C1058" s="53">
        <f>(Table26[[#This Row],[M2 Money Stock, Billions of Dollars, Weekly, Seasonally Adjusted]]-B1057)/B1057</f>
        <v>3.1376064545048177E-3</v>
      </c>
      <c r="D1058" s="54">
        <f>((1+Table26[[#This Row],[Weekly change]])^52)-1</f>
        <v>0.17691912236076379</v>
      </c>
      <c r="E1058" s="57">
        <f>(Table26[[#This Row],[M2 Money Stock, Billions of Dollars, Weekly, Seasonally Adjusted]]-B1006)/B1006</f>
        <v>6.1555378279899091E-2</v>
      </c>
    </row>
    <row r="1059" spans="1:5" x14ac:dyDescent="0.2">
      <c r="A1059" s="50">
        <v>36892</v>
      </c>
      <c r="B1059" s="51">
        <v>4947.5</v>
      </c>
      <c r="C1059" s="53">
        <f>(Table26[[#This Row],[M2 Money Stock, Billions of Dollars, Weekly, Seasonally Adjusted]]-B1058)/B1058</f>
        <v>4.8541717442520992E-3</v>
      </c>
      <c r="D1059" s="54">
        <f>((1+Table26[[#This Row],[Weekly change]])^52)-1</f>
        <v>0.28634680726034634</v>
      </c>
      <c r="E1059" s="57">
        <f>(Table26[[#This Row],[M2 Money Stock, Billions of Dollars, Weekly, Seasonally Adjusted]]-B1007)/B1007</f>
        <v>6.3269648191528152E-2</v>
      </c>
    </row>
    <row r="1060" spans="1:5" x14ac:dyDescent="0.2">
      <c r="A1060" s="50">
        <v>36899</v>
      </c>
      <c r="B1060" s="51">
        <v>4953.5</v>
      </c>
      <c r="C1060" s="53">
        <f>(Table26[[#This Row],[M2 Money Stock, Billions of Dollars, Weekly, Seasonally Adjusted]]-B1059)/B1059</f>
        <v>1.2127337038908539E-3</v>
      </c>
      <c r="D1060" s="54">
        <f>((1+Table26[[#This Row],[Weekly change]])^52)-1</f>
        <v>6.5052341275117387E-2</v>
      </c>
      <c r="E1060" s="57">
        <f>(Table26[[#This Row],[M2 Money Stock, Billions of Dollars, Weekly, Seasonally Adjusted]]-B1008)/B1008</f>
        <v>6.3530573686018471E-2</v>
      </c>
    </row>
    <row r="1061" spans="1:5" x14ac:dyDescent="0.2">
      <c r="A1061" s="50">
        <v>36906</v>
      </c>
      <c r="B1061" s="51">
        <v>4964.8999999999996</v>
      </c>
      <c r="C1061" s="53">
        <f>(Table26[[#This Row],[M2 Money Stock, Billions of Dollars, Weekly, Seasonally Adjusted]]-B1060)/B1060</f>
        <v>2.3014030483495783E-3</v>
      </c>
      <c r="D1061" s="54">
        <f>((1+Table26[[#This Row],[Weekly change]])^52)-1</f>
        <v>0.12697320760382058</v>
      </c>
      <c r="E1061" s="57">
        <f>(Table26[[#This Row],[M2 Money Stock, Billions of Dollars, Weekly, Seasonally Adjusted]]-B1009)/B1009</f>
        <v>6.547491308639844E-2</v>
      </c>
    </row>
    <row r="1062" spans="1:5" x14ac:dyDescent="0.2">
      <c r="A1062" s="50">
        <v>36913</v>
      </c>
      <c r="B1062" s="51">
        <v>4971.5</v>
      </c>
      <c r="C1062" s="53">
        <f>(Table26[[#This Row],[M2 Money Stock, Billions of Dollars, Weekly, Seasonally Adjusted]]-B1061)/B1061</f>
        <v>1.3293319100083313E-3</v>
      </c>
      <c r="D1062" s="54">
        <f>((1+Table26[[#This Row],[Weekly change]])^52)-1</f>
        <v>7.152123611839456E-2</v>
      </c>
      <c r="E1062" s="57">
        <f>(Table26[[#This Row],[M2 Money Stock, Billions of Dollars, Weekly, Seasonally Adjusted]]-B1010)/B1010</f>
        <v>6.5245339618598672E-2</v>
      </c>
    </row>
    <row r="1063" spans="1:5" x14ac:dyDescent="0.2">
      <c r="A1063" s="50">
        <v>36920</v>
      </c>
      <c r="B1063" s="51">
        <v>4964.1000000000004</v>
      </c>
      <c r="C1063" s="53">
        <f>(Table26[[#This Row],[M2 Money Stock, Billions of Dollars, Weekly, Seasonally Adjusted]]-B1062)/B1062</f>
        <v>-1.488484360856811E-3</v>
      </c>
      <c r="D1063" s="54">
        <f>((1+Table26[[#This Row],[Weekly change]])^52)-1</f>
        <v>-7.4534892775392936E-2</v>
      </c>
      <c r="E1063" s="57">
        <f>(Table26[[#This Row],[M2 Money Stock, Billions of Dollars, Weekly, Seasonally Adjusted]]-B1011)/B1011</f>
        <v>6.3500224950189726E-2</v>
      </c>
    </row>
    <row r="1064" spans="1:5" x14ac:dyDescent="0.2">
      <c r="A1064" s="50">
        <v>36927</v>
      </c>
      <c r="B1064" s="51">
        <v>4984</v>
      </c>
      <c r="C1064" s="53">
        <f>(Table26[[#This Row],[M2 Money Stock, Billions of Dollars, Weekly, Seasonally Adjusted]]-B1063)/B1063</f>
        <v>4.0087830623878719E-3</v>
      </c>
      <c r="D1064" s="54">
        <f>((1+Table26[[#This Row],[Weekly change]])^52)-1</f>
        <v>0.23126242358157811</v>
      </c>
      <c r="E1064" s="57">
        <f>(Table26[[#This Row],[M2 Money Stock, Billions of Dollars, Weekly, Seasonally Adjusted]]-B1012)/B1012</f>
        <v>6.6278721492447942E-2</v>
      </c>
    </row>
    <row r="1065" spans="1:5" x14ac:dyDescent="0.2">
      <c r="A1065" s="50">
        <v>36934</v>
      </c>
      <c r="B1065" s="51">
        <v>4992.2</v>
      </c>
      <c r="C1065" s="53">
        <f>(Table26[[#This Row],[M2 Money Stock, Billions of Dollars, Weekly, Seasonally Adjusted]]-B1064)/B1064</f>
        <v>1.645264847512002E-3</v>
      </c>
      <c r="D1065" s="54">
        <f>((1+Table26[[#This Row],[Weekly change]])^52)-1</f>
        <v>8.9243555850791134E-2</v>
      </c>
      <c r="E1065" s="57">
        <f>(Table26[[#This Row],[M2 Money Stock, Billions of Dollars, Weekly, Seasonally Adjusted]]-B1013)/B1013</f>
        <v>6.9611981231118558E-2</v>
      </c>
    </row>
    <row r="1066" spans="1:5" x14ac:dyDescent="0.2">
      <c r="A1066" s="50">
        <v>36941</v>
      </c>
      <c r="B1066" s="51">
        <v>5000.3</v>
      </c>
      <c r="C1066" s="53">
        <f>(Table26[[#This Row],[M2 Money Stock, Billions of Dollars, Weekly, Seasonally Adjusted]]-B1065)/B1065</f>
        <v>1.6225311485918762E-3</v>
      </c>
      <c r="D1066" s="54">
        <f>((1+Table26[[#This Row],[Weekly change]])^52)-1</f>
        <v>8.7958762808867164E-2</v>
      </c>
      <c r="E1066" s="57">
        <f>(Table26[[#This Row],[M2 Money Stock, Billions of Dollars, Weekly, Seasonally Adjusted]]-B1014)/B1014</f>
        <v>7.1485203677116679E-2</v>
      </c>
    </row>
    <row r="1067" spans="1:5" x14ac:dyDescent="0.2">
      <c r="A1067" s="50">
        <v>36948</v>
      </c>
      <c r="B1067" s="51">
        <v>5017.8</v>
      </c>
      <c r="C1067" s="53">
        <f>(Table26[[#This Row],[M2 Money Stock, Billions of Dollars, Weekly, Seasonally Adjusted]]-B1066)/B1066</f>
        <v>3.4997900125992437E-3</v>
      </c>
      <c r="D1067" s="54">
        <f>((1+Table26[[#This Row],[Weekly change]])^52)-1</f>
        <v>0.19922001739752582</v>
      </c>
      <c r="E1067" s="57">
        <f>(Table26[[#This Row],[M2 Money Stock, Billions of Dollars, Weekly, Seasonally Adjusted]]-B1015)/B1015</f>
        <v>7.5304303103034584E-2</v>
      </c>
    </row>
    <row r="1068" spans="1:5" x14ac:dyDescent="0.2">
      <c r="A1068" s="50">
        <v>36955</v>
      </c>
      <c r="B1068" s="51">
        <v>5040.7</v>
      </c>
      <c r="C1068" s="53">
        <f>(Table26[[#This Row],[M2 Money Stock, Billions of Dollars, Weekly, Seasonally Adjusted]]-B1067)/B1067</f>
        <v>4.5637530391804447E-3</v>
      </c>
      <c r="D1068" s="54">
        <f>((1+Table26[[#This Row],[Weekly change]])^52)-1</f>
        <v>0.26715632548957391</v>
      </c>
      <c r="E1068" s="57">
        <f>(Table26[[#This Row],[M2 Money Stock, Billions of Dollars, Weekly, Seasonally Adjusted]]-B1016)/B1016</f>
        <v>7.7464036081482515E-2</v>
      </c>
    </row>
    <row r="1069" spans="1:5" x14ac:dyDescent="0.2">
      <c r="A1069" s="50">
        <v>36962</v>
      </c>
      <c r="B1069" s="51">
        <v>5046.7</v>
      </c>
      <c r="C1069" s="53">
        <f>(Table26[[#This Row],[M2 Money Stock, Billions of Dollars, Weekly, Seasonally Adjusted]]-B1068)/B1068</f>
        <v>1.1903108695220902E-3</v>
      </c>
      <c r="D1069" s="54">
        <f>((1+Table26[[#This Row],[Weekly change]])^52)-1</f>
        <v>6.38127159499422E-2</v>
      </c>
      <c r="E1069" s="57">
        <f>(Table26[[#This Row],[M2 Money Stock, Billions of Dollars, Weekly, Seasonally Adjusted]]-B1017)/B1017</f>
        <v>7.6996948291683603E-2</v>
      </c>
    </row>
    <row r="1070" spans="1:5" x14ac:dyDescent="0.2">
      <c r="A1070" s="50">
        <v>36969</v>
      </c>
      <c r="B1070" s="51">
        <v>5052.2</v>
      </c>
      <c r="C1070" s="53">
        <f>(Table26[[#This Row],[M2 Money Stock, Billions of Dollars, Weekly, Seasonally Adjusted]]-B1069)/B1069</f>
        <v>1.0898210711950383E-3</v>
      </c>
      <c r="D1070" s="54">
        <f>((1+Table26[[#This Row],[Weekly change]])^52)-1</f>
        <v>5.8274591096941553E-2</v>
      </c>
      <c r="E1070" s="57">
        <f>(Table26[[#This Row],[M2 Money Stock, Billions of Dollars, Weekly, Seasonally Adjusted]]-B1018)/B1018</f>
        <v>7.3999277226249327E-2</v>
      </c>
    </row>
    <row r="1071" spans="1:5" x14ac:dyDescent="0.2">
      <c r="A1071" s="50">
        <v>36976</v>
      </c>
      <c r="B1071" s="51">
        <v>5072.5</v>
      </c>
      <c r="C1071" s="53">
        <f>(Table26[[#This Row],[M2 Money Stock, Billions of Dollars, Weekly, Seasonally Adjusted]]-B1070)/B1070</f>
        <v>4.0180515419025739E-3</v>
      </c>
      <c r="D1071" s="54">
        <f>((1+Table26[[#This Row],[Weekly change]])^52)-1</f>
        <v>0.23185361373130386</v>
      </c>
      <c r="E1071" s="57">
        <f>(Table26[[#This Row],[M2 Money Stock, Billions of Dollars, Weekly, Seasonally Adjusted]]-B1019)/B1019</f>
        <v>7.6598183207402928E-2</v>
      </c>
    </row>
    <row r="1072" spans="1:5" x14ac:dyDescent="0.2">
      <c r="A1072" s="50">
        <v>36983</v>
      </c>
      <c r="B1072" s="51">
        <v>5094.2</v>
      </c>
      <c r="C1072" s="53">
        <f>(Table26[[#This Row],[M2 Money Stock, Billions of Dollars, Weekly, Seasonally Adjusted]]-B1071)/B1071</f>
        <v>4.2779694430753711E-3</v>
      </c>
      <c r="D1072" s="54">
        <f>((1+Table26[[#This Row],[Weekly change]])^52)-1</f>
        <v>0.24854632823027067</v>
      </c>
      <c r="E1072" s="57">
        <f>(Table26[[#This Row],[M2 Money Stock, Billions of Dollars, Weekly, Seasonally Adjusted]]-B1020)/B1020</f>
        <v>7.7453468697123481E-2</v>
      </c>
    </row>
    <row r="1073" spans="1:5" x14ac:dyDescent="0.2">
      <c r="A1073" s="50">
        <v>36990</v>
      </c>
      <c r="B1073" s="51">
        <v>5115.8999999999996</v>
      </c>
      <c r="C1073" s="53">
        <f>(Table26[[#This Row],[M2 Money Stock, Billions of Dollars, Weekly, Seasonally Adjusted]]-B1072)/B1072</f>
        <v>4.2597463782340344E-3</v>
      </c>
      <c r="D1073" s="54">
        <f>((1+Table26[[#This Row],[Weekly change]])^52)-1</f>
        <v>0.2473687912564273</v>
      </c>
      <c r="E1073" s="57">
        <f>(Table26[[#This Row],[M2 Money Stock, Billions of Dollars, Weekly, Seasonally Adjusted]]-B1021)/B1021</f>
        <v>7.6623595269161043E-2</v>
      </c>
    </row>
    <row r="1074" spans="1:5" x14ac:dyDescent="0.2">
      <c r="A1074" s="50">
        <v>36997</v>
      </c>
      <c r="B1074" s="51">
        <v>5132.1000000000004</v>
      </c>
      <c r="C1074" s="53">
        <f>(Table26[[#This Row],[M2 Money Stock, Billions of Dollars, Weekly, Seasonally Adjusted]]-B1073)/B1073</f>
        <v>3.1665982525070327E-3</v>
      </c>
      <c r="D1074" s="54">
        <f>((1+Table26[[#This Row],[Weekly change]])^52)-1</f>
        <v>0.1786891689722323</v>
      </c>
      <c r="E1074" s="57">
        <f>(Table26[[#This Row],[M2 Money Stock, Billions of Dollars, Weekly, Seasonally Adjusted]]-B1022)/B1022</f>
        <v>7.8013737475581435E-2</v>
      </c>
    </row>
    <row r="1075" spans="1:5" x14ac:dyDescent="0.2">
      <c r="A1075" s="50">
        <v>37004</v>
      </c>
      <c r="B1075" s="51">
        <v>5137.3999999999996</v>
      </c>
      <c r="C1075" s="53">
        <f>(Table26[[#This Row],[M2 Money Stock, Billions of Dollars, Weekly, Seasonally Adjusted]]-B1074)/B1074</f>
        <v>1.0327156524618133E-3</v>
      </c>
      <c r="D1075" s="54">
        <f>((1+Table26[[#This Row],[Weekly change]])^52)-1</f>
        <v>5.5140046865296055E-2</v>
      </c>
      <c r="E1075" s="57">
        <f>(Table26[[#This Row],[M2 Money Stock, Billions of Dollars, Weekly, Seasonally Adjusted]]-B1023)/B1023</f>
        <v>7.7700860079714634E-2</v>
      </c>
    </row>
    <row r="1076" spans="1:5" x14ac:dyDescent="0.2">
      <c r="A1076" s="50">
        <v>37011</v>
      </c>
      <c r="B1076" s="51">
        <v>5121</v>
      </c>
      <c r="C1076" s="53">
        <f>(Table26[[#This Row],[M2 Money Stock, Billions of Dollars, Weekly, Seasonally Adjusted]]-B1075)/B1075</f>
        <v>-3.1922762486860353E-3</v>
      </c>
      <c r="D1076" s="54">
        <f>((1+Table26[[#This Row],[Weekly change]])^52)-1</f>
        <v>-0.15317726036971957</v>
      </c>
      <c r="E1076" s="57">
        <f>(Table26[[#This Row],[M2 Money Stock, Billions of Dollars, Weekly, Seasonally Adjusted]]-B1024)/B1024</f>
        <v>7.7039560855574521E-2</v>
      </c>
    </row>
    <row r="1077" spans="1:5" x14ac:dyDescent="0.2">
      <c r="A1077" s="50">
        <v>37018</v>
      </c>
      <c r="B1077" s="51">
        <v>5114.3</v>
      </c>
      <c r="C1077" s="53">
        <f>(Table26[[#This Row],[M2 Money Stock, Billions of Dollars, Weekly, Seasonally Adjusted]]-B1076)/B1076</f>
        <v>-1.3083382151923098E-3</v>
      </c>
      <c r="D1077" s="54">
        <f>((1+Table26[[#This Row],[Weekly change]])^52)-1</f>
        <v>-6.5812518760213989E-2</v>
      </c>
      <c r="E1077" s="57">
        <f>(Table26[[#This Row],[M2 Money Stock, Billions of Dollars, Weekly, Seasonally Adjusted]]-B1025)/B1025</f>
        <v>8.0288116260403108E-2</v>
      </c>
    </row>
    <row r="1078" spans="1:5" x14ac:dyDescent="0.2">
      <c r="A1078" s="50">
        <v>37025</v>
      </c>
      <c r="B1078" s="51">
        <v>5113.2</v>
      </c>
      <c r="C1078" s="53">
        <f>(Table26[[#This Row],[M2 Money Stock, Billions of Dollars, Weekly, Seasonally Adjusted]]-B1077)/B1077</f>
        <v>-2.1508319809169656E-4</v>
      </c>
      <c r="D1078" s="54">
        <f>((1+Table26[[#This Row],[Weekly change]])^52)-1</f>
        <v>-1.112320381869436E-2</v>
      </c>
      <c r="E1078" s="57">
        <f>(Table26[[#This Row],[M2 Money Stock, Billions of Dollars, Weekly, Seasonally Adjusted]]-B1026)/B1026</f>
        <v>7.8756935800333383E-2</v>
      </c>
    </row>
    <row r="1079" spans="1:5" x14ac:dyDescent="0.2">
      <c r="A1079" s="50">
        <v>37032</v>
      </c>
      <c r="B1079" s="51">
        <v>5124.1000000000004</v>
      </c>
      <c r="C1079" s="53">
        <f>(Table26[[#This Row],[M2 Money Stock, Billions of Dollars, Weekly, Seasonally Adjusted]]-B1078)/B1078</f>
        <v>2.1317374638192416E-3</v>
      </c>
      <c r="D1079" s="54">
        <f>((1+Table26[[#This Row],[Weekly change]])^52)-1</f>
        <v>0.11709589159139266</v>
      </c>
      <c r="E1079" s="57">
        <f>(Table26[[#This Row],[M2 Money Stock, Billions of Dollars, Weekly, Seasonally Adjusted]]-B1027)/B1027</f>
        <v>7.9962905979303348E-2</v>
      </c>
    </row>
    <row r="1080" spans="1:5" x14ac:dyDescent="0.2">
      <c r="A1080" s="50">
        <v>37039</v>
      </c>
      <c r="B1080" s="51">
        <v>5119.7</v>
      </c>
      <c r="C1080" s="53">
        <f>(Table26[[#This Row],[M2 Money Stock, Billions of Dollars, Weekly, Seasonally Adjusted]]-B1079)/B1079</f>
        <v>-8.5868737924719378E-4</v>
      </c>
      <c r="D1080" s="54">
        <f>((1+Table26[[#This Row],[Weekly change]])^52)-1</f>
        <v>-4.3687872145862228E-2</v>
      </c>
      <c r="E1080" s="57">
        <f>(Table26[[#This Row],[M2 Money Stock, Billions of Dollars, Weekly, Seasonally Adjusted]]-B1028)/B1028</f>
        <v>7.8467307044152348E-2</v>
      </c>
    </row>
    <row r="1081" spans="1:5" x14ac:dyDescent="0.2">
      <c r="A1081" s="50">
        <v>37046</v>
      </c>
      <c r="B1081" s="51">
        <v>5150.1000000000004</v>
      </c>
      <c r="C1081" s="53">
        <f>(Table26[[#This Row],[M2 Money Stock, Billions of Dollars, Weekly, Seasonally Adjusted]]-B1080)/B1080</f>
        <v>5.9378479207767149E-3</v>
      </c>
      <c r="D1081" s="54">
        <f>((1+Table26[[#This Row],[Weekly change]])^52)-1</f>
        <v>0.36050369569594998</v>
      </c>
      <c r="E1081" s="57">
        <f>(Table26[[#This Row],[M2 Money Stock, Billions of Dollars, Weekly, Seasonally Adjusted]]-B1029)/B1029</f>
        <v>8.2158391292471253E-2</v>
      </c>
    </row>
    <row r="1082" spans="1:5" x14ac:dyDescent="0.2">
      <c r="A1082" s="50">
        <v>37053</v>
      </c>
      <c r="B1082" s="51">
        <v>5154.3999999999996</v>
      </c>
      <c r="C1082" s="53">
        <f>(Table26[[#This Row],[M2 Money Stock, Billions of Dollars, Weekly, Seasonally Adjusted]]-B1081)/B1081</f>
        <v>8.3493524397570376E-4</v>
      </c>
      <c r="D1082" s="54">
        <f>((1+Table26[[#This Row],[Weekly change]])^52)-1</f>
        <v>4.4354005519834372E-2</v>
      </c>
      <c r="E1082" s="57">
        <f>(Table26[[#This Row],[M2 Money Stock, Billions of Dollars, Weekly, Seasonally Adjusted]]-B1030)/B1030</f>
        <v>8.2425082425082438E-2</v>
      </c>
    </row>
    <row r="1083" spans="1:5" x14ac:dyDescent="0.2">
      <c r="A1083" s="50">
        <v>37060</v>
      </c>
      <c r="B1083" s="51">
        <v>5164.7</v>
      </c>
      <c r="C1083" s="53">
        <f>(Table26[[#This Row],[M2 Money Stock, Billions of Dollars, Weekly, Seasonally Adjusted]]-B1082)/B1082</f>
        <v>1.9982927207822798E-3</v>
      </c>
      <c r="D1083" s="54">
        <f>((1+Table26[[#This Row],[Weekly change]])^52)-1</f>
        <v>0.10938691850695581</v>
      </c>
      <c r="E1083" s="57">
        <f>(Table26[[#This Row],[M2 Money Stock, Billions of Dollars, Weekly, Seasonally Adjusted]]-B1031)/B1031</f>
        <v>8.5431465680299273E-2</v>
      </c>
    </row>
    <row r="1084" spans="1:5" x14ac:dyDescent="0.2">
      <c r="A1084" s="50">
        <v>37067</v>
      </c>
      <c r="B1084" s="51">
        <v>5161.5</v>
      </c>
      <c r="C1084" s="53">
        <f>(Table26[[#This Row],[M2 Money Stock, Billions of Dollars, Weekly, Seasonally Adjusted]]-B1083)/B1083</f>
        <v>-6.1959068290507065E-4</v>
      </c>
      <c r="D1084" s="54">
        <f>((1+Table26[[#This Row],[Weekly change]])^52)-1</f>
        <v>-3.1714890866854639E-2</v>
      </c>
      <c r="E1084" s="57">
        <f>(Table26[[#This Row],[M2 Money Stock, Billions of Dollars, Weekly, Seasonally Adjusted]]-B1032)/B1032</f>
        <v>8.4189299892872937E-2</v>
      </c>
    </row>
    <row r="1085" spans="1:5" x14ac:dyDescent="0.2">
      <c r="A1085" s="50">
        <v>37074</v>
      </c>
      <c r="B1085" s="51">
        <v>5175.3</v>
      </c>
      <c r="C1085" s="53">
        <f>(Table26[[#This Row],[M2 Money Stock, Billions of Dollars, Weekly, Seasonally Adjusted]]-B1084)/B1084</f>
        <v>2.6736413833188381E-3</v>
      </c>
      <c r="D1085" s="54">
        <f>((1+Table26[[#This Row],[Weekly change]])^52)-1</f>
        <v>0.14894464982762212</v>
      </c>
      <c r="E1085" s="57">
        <f>(Table26[[#This Row],[M2 Money Stock, Billions of Dollars, Weekly, Seasonally Adjusted]]-B1033)/B1033</f>
        <v>8.5742457936474586E-2</v>
      </c>
    </row>
    <row r="1086" spans="1:5" x14ac:dyDescent="0.2">
      <c r="A1086" s="50">
        <v>37081</v>
      </c>
      <c r="B1086" s="51">
        <v>5179.3999999999996</v>
      </c>
      <c r="C1086" s="53">
        <f>(Table26[[#This Row],[M2 Money Stock, Billions of Dollars, Weekly, Seasonally Adjusted]]-B1085)/B1085</f>
        <v>7.922246053367832E-4</v>
      </c>
      <c r="D1086" s="54">
        <f>((1+Table26[[#This Row],[Weekly change]])^52)-1</f>
        <v>4.2038999293019241E-2</v>
      </c>
      <c r="E1086" s="57">
        <f>(Table26[[#This Row],[M2 Money Stock, Billions of Dollars, Weekly, Seasonally Adjusted]]-B1034)/B1034</f>
        <v>8.4282364763021159E-2</v>
      </c>
    </row>
    <row r="1087" spans="1:5" x14ac:dyDescent="0.2">
      <c r="A1087" s="50">
        <v>37088</v>
      </c>
      <c r="B1087" s="51">
        <v>5192.7</v>
      </c>
      <c r="C1087" s="53">
        <f>(Table26[[#This Row],[M2 Money Stock, Billions of Dollars, Weekly, Seasonally Adjusted]]-B1086)/B1086</f>
        <v>2.567865003668414E-3</v>
      </c>
      <c r="D1087" s="54">
        <f>((1+Table26[[#This Row],[Weekly change]])^52)-1</f>
        <v>0.14265880383900176</v>
      </c>
      <c r="E1087" s="57">
        <f>(Table26[[#This Row],[M2 Money Stock, Billions of Dollars, Weekly, Seasonally Adjusted]]-B1035)/B1035</f>
        <v>8.7795374560080325E-2</v>
      </c>
    </row>
    <row r="1088" spans="1:5" x14ac:dyDescent="0.2">
      <c r="A1088" s="50">
        <v>37095</v>
      </c>
      <c r="B1088" s="51">
        <v>5193.7</v>
      </c>
      <c r="C1088" s="53">
        <f>(Table26[[#This Row],[M2 Money Stock, Billions of Dollars, Weekly, Seasonally Adjusted]]-B1087)/B1087</f>
        <v>1.9257804225162247E-4</v>
      </c>
      <c r="D1088" s="54">
        <f>((1+Table26[[#This Row],[Weekly change]])^52)-1</f>
        <v>1.0063392845414798E-2</v>
      </c>
      <c r="E1088" s="57">
        <f>(Table26[[#This Row],[M2 Money Stock, Billions of Dollars, Weekly, Seasonally Adjusted]]-B1036)/B1036</f>
        <v>8.6002843760455042E-2</v>
      </c>
    </row>
    <row r="1089" spans="1:5" x14ac:dyDescent="0.2">
      <c r="A1089" s="50">
        <v>37102</v>
      </c>
      <c r="B1089" s="51">
        <v>5201.2</v>
      </c>
      <c r="C1089" s="53">
        <f>(Table26[[#This Row],[M2 Money Stock, Billions of Dollars, Weekly, Seasonally Adjusted]]-B1088)/B1088</f>
        <v>1.4440572231742303E-3</v>
      </c>
      <c r="D1089" s="54">
        <f>((1+Table26[[#This Row],[Weekly change]])^52)-1</f>
        <v>7.7923828435098041E-2</v>
      </c>
      <c r="E1089" s="57">
        <f>(Table26[[#This Row],[M2 Money Stock, Billions of Dollars, Weekly, Seasonally Adjusted]]-B1037)/B1037</f>
        <v>8.6707617734319509E-2</v>
      </c>
    </row>
    <row r="1090" spans="1:5" x14ac:dyDescent="0.2">
      <c r="A1090" s="50">
        <v>37109</v>
      </c>
      <c r="B1090" s="51">
        <v>5210.8999999999996</v>
      </c>
      <c r="C1090" s="53">
        <f>(Table26[[#This Row],[M2 Money Stock, Billions of Dollars, Weekly, Seasonally Adjusted]]-B1089)/B1089</f>
        <v>1.8649542413288892E-3</v>
      </c>
      <c r="D1090" s="54">
        <f>((1+Table26[[#This Row],[Weekly change]])^52)-1</f>
        <v>0.10173620471201983</v>
      </c>
      <c r="E1090" s="57">
        <f>(Table26[[#This Row],[M2 Money Stock, Billions of Dollars, Weekly, Seasonally Adjusted]]-B1038)/B1038</f>
        <v>8.6894854306155109E-2</v>
      </c>
    </row>
    <row r="1091" spans="1:5" x14ac:dyDescent="0.2">
      <c r="A1091" s="50">
        <v>37116</v>
      </c>
      <c r="B1091" s="51">
        <v>5220</v>
      </c>
      <c r="C1091" s="53">
        <f>(Table26[[#This Row],[M2 Money Stock, Billions of Dollars, Weekly, Seasonally Adjusted]]-B1090)/B1090</f>
        <v>1.7463394039418075E-3</v>
      </c>
      <c r="D1091" s="54">
        <f>((1+Table26[[#This Row],[Weekly change]])^52)-1</f>
        <v>9.4973814149918567E-2</v>
      </c>
      <c r="E1091" s="57">
        <f>(Table26[[#This Row],[M2 Money Stock, Billions of Dollars, Weekly, Seasonally Adjusted]]-B1039)/B1039</f>
        <v>8.8679402686243386E-2</v>
      </c>
    </row>
    <row r="1092" spans="1:5" x14ac:dyDescent="0.2">
      <c r="A1092" s="50">
        <v>37123</v>
      </c>
      <c r="B1092" s="51">
        <v>5226</v>
      </c>
      <c r="C1092" s="53">
        <f>(Table26[[#This Row],[M2 Money Stock, Billions of Dollars, Weekly, Seasonally Adjusted]]-B1091)/B1091</f>
        <v>1.1494252873563218E-3</v>
      </c>
      <c r="D1092" s="54">
        <f>((1+Table26[[#This Row],[Weekly change]])^52)-1</f>
        <v>6.1556036408341619E-2</v>
      </c>
      <c r="E1092" s="57">
        <f>(Table26[[#This Row],[M2 Money Stock, Billions of Dollars, Weekly, Seasonally Adjusted]]-B1040)/B1040</f>
        <v>8.6238074452827759E-2</v>
      </c>
    </row>
    <row r="1093" spans="1:5" x14ac:dyDescent="0.2">
      <c r="A1093" s="50">
        <v>37130</v>
      </c>
      <c r="B1093" s="51">
        <v>5231.3999999999996</v>
      </c>
      <c r="C1093" s="53">
        <f>(Table26[[#This Row],[M2 Money Stock, Billions of Dollars, Weekly, Seasonally Adjusted]]-B1092)/B1092</f>
        <v>1.0332950631457398E-3</v>
      </c>
      <c r="D1093" s="54">
        <f>((1+Table26[[#This Row],[Weekly change]])^52)-1</f>
        <v>5.5171805226803983E-2</v>
      </c>
      <c r="E1093" s="57">
        <f>(Table26[[#This Row],[M2 Money Stock, Billions of Dollars, Weekly, Seasonally Adjusted]]-B1041)/B1041</f>
        <v>8.6051194751811333E-2</v>
      </c>
    </row>
    <row r="1094" spans="1:5" x14ac:dyDescent="0.2">
      <c r="A1094" s="50">
        <v>37137</v>
      </c>
      <c r="B1094" s="51">
        <v>5243.5</v>
      </c>
      <c r="C1094" s="53">
        <f>(Table26[[#This Row],[M2 Money Stock, Billions of Dollars, Weekly, Seasonally Adjusted]]-B1093)/B1093</f>
        <v>2.3129563787896864E-3</v>
      </c>
      <c r="D1094" s="54">
        <f>((1+Table26[[#This Row],[Weekly change]])^52)-1</f>
        <v>0.12764890687585972</v>
      </c>
      <c r="E1094" s="57">
        <f>(Table26[[#This Row],[M2 Money Stock, Billions of Dollars, Weekly, Seasonally Adjusted]]-B1042)/B1042</f>
        <v>8.6015492315977007E-2</v>
      </c>
    </row>
    <row r="1095" spans="1:5" x14ac:dyDescent="0.2">
      <c r="A1095" s="50">
        <v>37144</v>
      </c>
      <c r="B1095" s="51">
        <v>5265.5</v>
      </c>
      <c r="C1095" s="53">
        <f>(Table26[[#This Row],[M2 Money Stock, Billions of Dollars, Weekly, Seasonally Adjusted]]-B1094)/B1094</f>
        <v>4.1956708305521118E-3</v>
      </c>
      <c r="D1095" s="54">
        <f>((1+Table26[[#This Row],[Weekly change]])^52)-1</f>
        <v>0.2432370028704538</v>
      </c>
      <c r="E1095" s="57">
        <f>(Table26[[#This Row],[M2 Money Stock, Billions of Dollars, Weekly, Seasonally Adjusted]]-B1043)/B1043</f>
        <v>8.822799983466284E-2</v>
      </c>
    </row>
    <row r="1096" spans="1:5" x14ac:dyDescent="0.2">
      <c r="A1096" s="50">
        <v>37151</v>
      </c>
      <c r="B1096" s="51">
        <v>5436.1</v>
      </c>
      <c r="C1096" s="53">
        <f>(Table26[[#This Row],[M2 Money Stock, Billions of Dollars, Weekly, Seasonally Adjusted]]-B1095)/B1095</f>
        <v>3.2399582185927332E-2</v>
      </c>
      <c r="D1096" s="54">
        <f>((1+Table26[[#This Row],[Weekly change]])^52)-1</f>
        <v>4.2491217471168925</v>
      </c>
      <c r="E1096" s="57">
        <f>(Table26[[#This Row],[M2 Money Stock, Billions of Dollars, Weekly, Seasonally Adjusted]]-B1044)/B1044</f>
        <v>0.12234954062145151</v>
      </c>
    </row>
    <row r="1097" spans="1:5" x14ac:dyDescent="0.2">
      <c r="A1097" s="50">
        <v>37158</v>
      </c>
      <c r="B1097" s="51">
        <v>5354.4</v>
      </c>
      <c r="C1097" s="53">
        <f>(Table26[[#This Row],[M2 Money Stock, Billions of Dollars, Weekly, Seasonally Adjusted]]-B1096)/B1096</f>
        <v>-1.5029156932359729E-2</v>
      </c>
      <c r="D1097" s="54">
        <f>((1+Table26[[#This Row],[Weekly change]])^52)-1</f>
        <v>-0.54499571301275884</v>
      </c>
      <c r="E1097" s="57">
        <f>(Table26[[#This Row],[M2 Money Stock, Billions of Dollars, Weekly, Seasonally Adjusted]]-B1045)/B1045</f>
        <v>0.10532182816564135</v>
      </c>
    </row>
    <row r="1098" spans="1:5" x14ac:dyDescent="0.2">
      <c r="A1098" s="50">
        <v>37165</v>
      </c>
      <c r="B1098" s="51">
        <v>5329.4</v>
      </c>
      <c r="C1098" s="53">
        <f>(Table26[[#This Row],[M2 Money Stock, Billions of Dollars, Weekly, Seasonally Adjusted]]-B1097)/B1097</f>
        <v>-4.6690572239653375E-3</v>
      </c>
      <c r="D1098" s="54">
        <f>((1+Table26[[#This Row],[Weekly change]])^52)-1</f>
        <v>-0.2160104192782164</v>
      </c>
      <c r="E1098" s="57">
        <f>(Table26[[#This Row],[M2 Money Stock, Billions of Dollars, Weekly, Seasonally Adjusted]]-B1046)/B1046</f>
        <v>9.7894606732314246E-2</v>
      </c>
    </row>
    <row r="1099" spans="1:5" x14ac:dyDescent="0.2">
      <c r="A1099" s="50">
        <v>37172</v>
      </c>
      <c r="B1099" s="51">
        <v>5320.4</v>
      </c>
      <c r="C1099" s="53">
        <f>(Table26[[#This Row],[M2 Money Stock, Billions of Dollars, Weekly, Seasonally Adjusted]]-B1098)/B1098</f>
        <v>-1.6887454497692049E-3</v>
      </c>
      <c r="D1099" s="54">
        <f>((1+Table26[[#This Row],[Weekly change]])^52)-1</f>
        <v>-8.4137463931137302E-2</v>
      </c>
      <c r="E1099" s="57">
        <f>(Table26[[#This Row],[M2 Money Stock, Billions of Dollars, Weekly, Seasonally Adjusted]]-B1047)/B1047</f>
        <v>9.4957810249022362E-2</v>
      </c>
    </row>
    <row r="1100" spans="1:5" x14ac:dyDescent="0.2">
      <c r="A1100" s="50">
        <v>37179</v>
      </c>
      <c r="B1100" s="51">
        <v>5319.7</v>
      </c>
      <c r="C1100" s="53">
        <f>(Table26[[#This Row],[M2 Money Stock, Billions of Dollars, Weekly, Seasonally Adjusted]]-B1099)/B1099</f>
        <v>-1.3156905495823965E-4</v>
      </c>
      <c r="D1100" s="54">
        <f>((1+Table26[[#This Row],[Weekly change]])^52)-1</f>
        <v>-6.8186874979813128E-3</v>
      </c>
      <c r="E1100" s="57">
        <f>(Table26[[#This Row],[M2 Money Stock, Billions of Dollars, Weekly, Seasonally Adjusted]]-B1048)/B1048</f>
        <v>9.4701100936310276E-2</v>
      </c>
    </row>
    <row r="1101" spans="1:5" x14ac:dyDescent="0.2">
      <c r="A1101" s="50">
        <v>37186</v>
      </c>
      <c r="B1101" s="51">
        <v>5322</v>
      </c>
      <c r="C1101" s="53">
        <f>(Table26[[#This Row],[M2 Money Stock, Billions of Dollars, Weekly, Seasonally Adjusted]]-B1100)/B1100</f>
        <v>4.3235520800048537E-4</v>
      </c>
      <c r="D1101" s="54">
        <f>((1+Table26[[#This Row],[Weekly change]])^52)-1</f>
        <v>2.2732136991071128E-2</v>
      </c>
      <c r="E1101" s="57">
        <f>(Table26[[#This Row],[M2 Money Stock, Billions of Dollars, Weekly, Seasonally Adjusted]]-B1049)/B1049</f>
        <v>9.533218078537907E-2</v>
      </c>
    </row>
    <row r="1102" spans="1:5" x14ac:dyDescent="0.2">
      <c r="A1102" s="50">
        <v>37193</v>
      </c>
      <c r="B1102" s="51">
        <v>5329.4</v>
      </c>
      <c r="C1102" s="53">
        <f>(Table26[[#This Row],[M2 Money Stock, Billions of Dollars, Weekly, Seasonally Adjusted]]-B1101)/B1101</f>
        <v>1.3904547162720098E-3</v>
      </c>
      <c r="D1102" s="54">
        <f>((1+Table26[[#This Row],[Weekly change]])^52)-1</f>
        <v>7.4927722377699624E-2</v>
      </c>
      <c r="E1102" s="57">
        <f>(Table26[[#This Row],[M2 Money Stock, Billions of Dollars, Weekly, Seasonally Adjusted]]-B1050)/B1050</f>
        <v>9.7397248991022159E-2</v>
      </c>
    </row>
    <row r="1103" spans="1:5" x14ac:dyDescent="0.2">
      <c r="A1103" s="50">
        <v>37200</v>
      </c>
      <c r="B1103" s="51">
        <v>5350.3</v>
      </c>
      <c r="C1103" s="53">
        <f>(Table26[[#This Row],[M2 Money Stock, Billions of Dollars, Weekly, Seasonally Adjusted]]-B1102)/B1102</f>
        <v>3.921642211130812E-3</v>
      </c>
      <c r="D1103" s="54">
        <f>((1+Table26[[#This Row],[Weekly change]])^52)-1</f>
        <v>0.22571773200980205</v>
      </c>
      <c r="E1103" s="57">
        <f>(Table26[[#This Row],[M2 Money Stock, Billions of Dollars, Weekly, Seasonally Adjusted]]-B1051)/B1051</f>
        <v>0.10104336015475479</v>
      </c>
    </row>
    <row r="1104" spans="1:5" x14ac:dyDescent="0.2">
      <c r="A1104" s="50">
        <v>37207</v>
      </c>
      <c r="B1104" s="51">
        <v>5357.4</v>
      </c>
      <c r="C1104" s="53">
        <f>(Table26[[#This Row],[M2 Money Stock, Billions of Dollars, Weekly, Seasonally Adjusted]]-B1103)/B1103</f>
        <v>1.3270283909312475E-3</v>
      </c>
      <c r="D1104" s="54">
        <f>((1+Table26[[#This Row],[Weekly change]])^52)-1</f>
        <v>7.1393064010954355E-2</v>
      </c>
      <c r="E1104" s="57">
        <f>(Table26[[#This Row],[M2 Money Stock, Billions of Dollars, Weekly, Seasonally Adjusted]]-B1052)/B1052</f>
        <v>0.10216425279789323</v>
      </c>
    </row>
    <row r="1105" spans="1:5" x14ac:dyDescent="0.2">
      <c r="A1105" s="50">
        <v>37214</v>
      </c>
      <c r="B1105" s="51">
        <v>5366.4</v>
      </c>
      <c r="C1105" s="53">
        <f>(Table26[[#This Row],[M2 Money Stock, Billions of Dollars, Weekly, Seasonally Adjusted]]-B1104)/B1104</f>
        <v>1.6799193638705344E-3</v>
      </c>
      <c r="D1105" s="54">
        <f>((1+Table26[[#This Row],[Weekly change]])^52)-1</f>
        <v>9.1204916447013451E-2</v>
      </c>
      <c r="E1105" s="57">
        <f>(Table26[[#This Row],[M2 Money Stock, Billions of Dollars, Weekly, Seasonally Adjusted]]-B1053)/B1053</f>
        <v>0.10294933716986941</v>
      </c>
    </row>
    <row r="1106" spans="1:5" x14ac:dyDescent="0.2">
      <c r="A1106" s="50">
        <v>37221</v>
      </c>
      <c r="B1106" s="51">
        <v>5383.3</v>
      </c>
      <c r="C1106" s="53">
        <f>(Table26[[#This Row],[M2 Money Stock, Billions of Dollars, Weekly, Seasonally Adjusted]]-B1105)/B1105</f>
        <v>3.1492248062016523E-3</v>
      </c>
      <c r="D1106" s="54">
        <f>((1+Table26[[#This Row],[Weekly change]])^52)-1</f>
        <v>0.17762814849072539</v>
      </c>
      <c r="E1106" s="57">
        <f>(Table26[[#This Row],[M2 Money Stock, Billions of Dollars, Weekly, Seasonally Adjusted]]-B1054)/B1054</f>
        <v>0.10299963119288608</v>
      </c>
    </row>
    <row r="1107" spans="1:5" x14ac:dyDescent="0.2">
      <c r="A1107" s="50">
        <v>37228</v>
      </c>
      <c r="B1107" s="51">
        <v>5388.6</v>
      </c>
      <c r="C1107" s="53">
        <f>(Table26[[#This Row],[M2 Money Stock, Billions of Dollars, Weekly, Seasonally Adjusted]]-B1106)/B1106</f>
        <v>9.8452621997662795E-4</v>
      </c>
      <c r="D1107" s="54">
        <f>((1+Table26[[#This Row],[Weekly change]])^52)-1</f>
        <v>5.2501991126058023E-2</v>
      </c>
      <c r="E1107" s="57">
        <f>(Table26[[#This Row],[M2 Money Stock, Billions of Dollars, Weekly, Seasonally Adjusted]]-B1055)/B1055</f>
        <v>0.10236897017306995</v>
      </c>
    </row>
    <row r="1108" spans="1:5" x14ac:dyDescent="0.2">
      <c r="A1108" s="50">
        <v>37235</v>
      </c>
      <c r="B1108" s="51">
        <v>5413.2</v>
      </c>
      <c r="C1108" s="53">
        <f>(Table26[[#This Row],[M2 Money Stock, Billions of Dollars, Weekly, Seasonally Adjusted]]-B1107)/B1107</f>
        <v>4.5651931856139725E-3</v>
      </c>
      <c r="D1108" s="54">
        <f>((1+Table26[[#This Row],[Weekly change]])^52)-1</f>
        <v>0.26725079215065506</v>
      </c>
      <c r="E1108" s="57">
        <f>(Table26[[#This Row],[M2 Money Stock, Billions of Dollars, Weekly, Seasonally Adjusted]]-B1056)/B1056</f>
        <v>0.1058631256384065</v>
      </c>
    </row>
    <row r="1109" spans="1:5" x14ac:dyDescent="0.2">
      <c r="A1109" s="50">
        <v>37242</v>
      </c>
      <c r="B1109" s="51">
        <v>5430.6</v>
      </c>
      <c r="C1109" s="53">
        <f>(Table26[[#This Row],[M2 Money Stock, Billions of Dollars, Weekly, Seasonally Adjusted]]-B1108)/B1108</f>
        <v>3.2143648858347276E-3</v>
      </c>
      <c r="D1109" s="54">
        <f>((1+Table26[[#This Row],[Weekly change]])^52)-1</f>
        <v>0.18161117849000386</v>
      </c>
      <c r="E1109" s="57">
        <f>(Table26[[#This Row],[M2 Money Stock, Billions of Dollars, Weekly, Seasonally Adjusted]]-B1057)/B1057</f>
        <v>0.1064341306385234</v>
      </c>
    </row>
    <row r="1110" spans="1:5" x14ac:dyDescent="0.2">
      <c r="A1110" s="50">
        <v>37249</v>
      </c>
      <c r="B1110" s="51">
        <v>5418.9</v>
      </c>
      <c r="C1110" s="53">
        <f>(Table26[[#This Row],[M2 Money Stock, Billions of Dollars, Weekly, Seasonally Adjusted]]-B1109)/B1109</f>
        <v>-2.1544580709315225E-3</v>
      </c>
      <c r="D1110" s="54">
        <f>((1+Table26[[#This Row],[Weekly change]])^52)-1</f>
        <v>-0.10609223228697329</v>
      </c>
      <c r="E1110" s="57">
        <f>(Table26[[#This Row],[M2 Money Stock, Billions of Dollars, Weekly, Seasonally Adjusted]]-B1058)/B1058</f>
        <v>0.10059712405556893</v>
      </c>
    </row>
    <row r="1111" spans="1:5" x14ac:dyDescent="0.2">
      <c r="A1111" s="50">
        <v>37256</v>
      </c>
      <c r="B1111" s="51">
        <v>5438.1</v>
      </c>
      <c r="C1111" s="53">
        <f>(Table26[[#This Row],[M2 Money Stock, Billions of Dollars, Weekly, Seasonally Adjusted]]-B1110)/B1110</f>
        <v>3.5431545147540512E-3</v>
      </c>
      <c r="D1111" s="54">
        <f>((1+Table26[[#This Row],[Weekly change]])^52)-1</f>
        <v>0.20191774402369989</v>
      </c>
      <c r="E1111" s="57">
        <f>(Table26[[#This Row],[M2 Money Stock, Billions of Dollars, Weekly, Seasonally Adjusted]]-B1059)/B1059</f>
        <v>9.9161192521475566E-2</v>
      </c>
    </row>
    <row r="1112" spans="1:5" x14ac:dyDescent="0.2">
      <c r="A1112" s="50">
        <v>37263</v>
      </c>
      <c r="B1112" s="51">
        <v>5436.2</v>
      </c>
      <c r="C1112" s="53">
        <f>(Table26[[#This Row],[M2 Money Stock, Billions of Dollars, Weekly, Seasonally Adjusted]]-B1111)/B1111</f>
        <v>-3.4938673433746077E-4</v>
      </c>
      <c r="D1112" s="54">
        <f>((1+Table26[[#This Row],[Weekly change]])^52)-1</f>
        <v>-1.8007182464793048E-2</v>
      </c>
      <c r="E1112" s="57">
        <f>(Table26[[#This Row],[M2 Money Stock, Billions of Dollars, Weekly, Seasonally Adjusted]]-B1060)/B1060</f>
        <v>9.7446250126173375E-2</v>
      </c>
    </row>
    <row r="1113" spans="1:5" x14ac:dyDescent="0.2">
      <c r="A1113" s="50">
        <v>37270</v>
      </c>
      <c r="B1113" s="51">
        <v>5437.9</v>
      </c>
      <c r="C1113" s="53">
        <f>(Table26[[#This Row],[M2 Money Stock, Billions of Dollars, Weekly, Seasonally Adjusted]]-B1112)/B1112</f>
        <v>3.1271844303002431E-4</v>
      </c>
      <c r="D1113" s="54">
        <f>((1+Table26[[#This Row],[Weekly change]])^52)-1</f>
        <v>1.639171077364443E-2</v>
      </c>
      <c r="E1113" s="57">
        <f>(Table26[[#This Row],[M2 Money Stock, Billions of Dollars, Weekly, Seasonally Adjusted]]-B1061)/B1061</f>
        <v>9.5268786883925163E-2</v>
      </c>
    </row>
    <row r="1114" spans="1:5" x14ac:dyDescent="0.2">
      <c r="A1114" s="50">
        <v>37277</v>
      </c>
      <c r="B1114" s="51">
        <v>5438.5</v>
      </c>
      <c r="C1114" s="53">
        <f>(Table26[[#This Row],[M2 Money Stock, Billions of Dollars, Weekly, Seasonally Adjusted]]-B1113)/B1113</f>
        <v>1.103367108627161E-4</v>
      </c>
      <c r="D1114" s="54">
        <f>((1+Table26[[#This Row],[Weekly change]])^52)-1</f>
        <v>5.7536816667043134E-3</v>
      </c>
      <c r="E1114" s="57">
        <f>(Table26[[#This Row],[M2 Money Stock, Billions of Dollars, Weekly, Seasonally Adjusted]]-B1062)/B1062</f>
        <v>9.3935431962184457E-2</v>
      </c>
    </row>
    <row r="1115" spans="1:5" x14ac:dyDescent="0.2">
      <c r="A1115" s="50">
        <v>37284</v>
      </c>
      <c r="B1115" s="51">
        <v>5447.1</v>
      </c>
      <c r="C1115" s="53">
        <f>(Table26[[#This Row],[M2 Money Stock, Billions of Dollars, Weekly, Seasonally Adjusted]]-B1114)/B1114</f>
        <v>1.5813183782293579E-3</v>
      </c>
      <c r="D1115" s="54">
        <f>((1+Table26[[#This Row],[Weekly change]])^52)-1</f>
        <v>8.5633415091656673E-2</v>
      </c>
      <c r="E1115" s="57">
        <f>(Table26[[#This Row],[M2 Money Stock, Billions of Dollars, Weekly, Seasonally Adjusted]]-B1063)/B1063</f>
        <v>9.7298603976551629E-2</v>
      </c>
    </row>
    <row r="1116" spans="1:5" x14ac:dyDescent="0.2">
      <c r="A1116" s="50">
        <v>37291</v>
      </c>
      <c r="B1116" s="51">
        <v>5461.1</v>
      </c>
      <c r="C1116" s="53">
        <f>(Table26[[#This Row],[M2 Money Stock, Billions of Dollars, Weekly, Seasonally Adjusted]]-B1115)/B1115</f>
        <v>2.5701749554808981E-3</v>
      </c>
      <c r="D1116" s="54">
        <f>((1+Table26[[#This Row],[Weekly change]])^52)-1</f>
        <v>0.14279571364973043</v>
      </c>
      <c r="E1116" s="57">
        <f>(Table26[[#This Row],[M2 Money Stock, Billions of Dollars, Weekly, Seasonally Adjusted]]-B1064)/B1064</f>
        <v>9.5726324237560265E-2</v>
      </c>
    </row>
    <row r="1117" spans="1:5" x14ac:dyDescent="0.2">
      <c r="A1117" s="50">
        <v>37298</v>
      </c>
      <c r="B1117" s="51">
        <v>5466.8</v>
      </c>
      <c r="C1117" s="53">
        <f>(Table26[[#This Row],[M2 Money Stock, Billions of Dollars, Weekly, Seasonally Adjusted]]-B1116)/B1116</f>
        <v>1.0437457655050847E-3</v>
      </c>
      <c r="D1117" s="54">
        <f>((1+Table26[[#This Row],[Weekly change]])^52)-1</f>
        <v>5.5744784747458365E-2</v>
      </c>
      <c r="E1117" s="57">
        <f>(Table26[[#This Row],[M2 Money Stock, Billions of Dollars, Weekly, Seasonally Adjusted]]-B1065)/B1065</f>
        <v>9.5068306558230911E-2</v>
      </c>
    </row>
    <row r="1118" spans="1:5" x14ac:dyDescent="0.2">
      <c r="A1118" s="50">
        <v>37305</v>
      </c>
      <c r="B1118" s="51">
        <v>5469.7</v>
      </c>
      <c r="C1118" s="53">
        <f>(Table26[[#This Row],[M2 Money Stock, Billions of Dollars, Weekly, Seasonally Adjusted]]-B1117)/B1117</f>
        <v>5.3047486646660503E-4</v>
      </c>
      <c r="D1118" s="54">
        <f>((1+Table26[[#This Row],[Weekly change]])^52)-1</f>
        <v>2.7961154789758913E-2</v>
      </c>
      <c r="E1118" s="57">
        <f>(Table26[[#This Row],[M2 Money Stock, Billions of Dollars, Weekly, Seasonally Adjusted]]-B1066)/B1066</f>
        <v>9.3874367537947645E-2</v>
      </c>
    </row>
    <row r="1119" spans="1:5" x14ac:dyDescent="0.2">
      <c r="A1119" s="50">
        <v>37312</v>
      </c>
      <c r="B1119" s="51">
        <v>5478.3</v>
      </c>
      <c r="C1119" s="53">
        <f>(Table26[[#This Row],[M2 Money Stock, Billions of Dollars, Weekly, Seasonally Adjusted]]-B1118)/B1118</f>
        <v>1.5722982978957465E-3</v>
      </c>
      <c r="D1119" s="54">
        <f>((1+Table26[[#This Row],[Weekly change]])^52)-1</f>
        <v>8.5125125748832797E-2</v>
      </c>
      <c r="E1119" s="57">
        <f>(Table26[[#This Row],[M2 Money Stock, Billions of Dollars, Weekly, Seasonally Adjusted]]-B1067)/B1067</f>
        <v>9.1773287097931366E-2</v>
      </c>
    </row>
    <row r="1120" spans="1:5" x14ac:dyDescent="0.2">
      <c r="A1120" s="50">
        <v>37319</v>
      </c>
      <c r="B1120" s="51">
        <v>5484</v>
      </c>
      <c r="C1120" s="53">
        <f>(Table26[[#This Row],[M2 Money Stock, Billions of Dollars, Weekly, Seasonally Adjusted]]-B1119)/B1119</f>
        <v>1.0404687585564532E-3</v>
      </c>
      <c r="D1120" s="54">
        <f>((1+Table26[[#This Row],[Weekly change]])^52)-1</f>
        <v>5.5565083810682259E-2</v>
      </c>
      <c r="E1120" s="57">
        <f>(Table26[[#This Row],[M2 Money Stock, Billions of Dollars, Weekly, Seasonally Adjusted]]-B1068)/B1068</f>
        <v>8.7944134743190475E-2</v>
      </c>
    </row>
    <row r="1121" spans="1:5" x14ac:dyDescent="0.2">
      <c r="A1121" s="50">
        <v>37326</v>
      </c>
      <c r="B1121" s="51">
        <v>5484.4</v>
      </c>
      <c r="C1121" s="53">
        <f>(Table26[[#This Row],[M2 Money Stock, Billions of Dollars, Weekly, Seasonally Adjusted]]-B1120)/B1120</f>
        <v>7.2939460247927823E-5</v>
      </c>
      <c r="D1121" s="54">
        <f>((1+Table26[[#This Row],[Weekly change]])^52)-1</f>
        <v>3.799915055066494E-3</v>
      </c>
      <c r="E1121" s="57">
        <f>(Table26[[#This Row],[M2 Money Stock, Billions of Dollars, Weekly, Seasonally Adjusted]]-B1069)/B1069</f>
        <v>8.6729942338557839E-2</v>
      </c>
    </row>
    <row r="1122" spans="1:5" x14ac:dyDescent="0.2">
      <c r="A1122" s="50">
        <v>37333</v>
      </c>
      <c r="B1122" s="51">
        <v>5482.9</v>
      </c>
      <c r="C1122" s="53">
        <f>(Table26[[#This Row],[M2 Money Stock, Billions of Dollars, Weekly, Seasonally Adjusted]]-B1121)/B1121</f>
        <v>-2.7350302676682956E-4</v>
      </c>
      <c r="D1122" s="54">
        <f>((1+Table26[[#This Row],[Weekly change]])^52)-1</f>
        <v>-1.4123418048069714E-2</v>
      </c>
      <c r="E1122" s="57">
        <f>(Table26[[#This Row],[M2 Money Stock, Billions of Dollars, Weekly, Seasonally Adjusted]]-B1070)/B1070</f>
        <v>8.5249990103321294E-2</v>
      </c>
    </row>
    <row r="1123" spans="1:5" x14ac:dyDescent="0.2">
      <c r="A1123" s="50">
        <v>37340</v>
      </c>
      <c r="B1123" s="51">
        <v>5477.2</v>
      </c>
      <c r="C1123" s="53">
        <f>(Table26[[#This Row],[M2 Money Stock, Billions of Dollars, Weekly, Seasonally Adjusted]]-B1122)/B1122</f>
        <v>-1.0395958343212203E-3</v>
      </c>
      <c r="D1123" s="54">
        <f>((1+Table26[[#This Row],[Weekly change]])^52)-1</f>
        <v>-5.265041372472623E-2</v>
      </c>
      <c r="E1123" s="57">
        <f>(Table26[[#This Row],[M2 Money Stock, Billions of Dollars, Weekly, Seasonally Adjusted]]-B1071)/B1071</f>
        <v>7.9783144406111353E-2</v>
      </c>
    </row>
    <row r="1124" spans="1:5" x14ac:dyDescent="0.2">
      <c r="A1124" s="50">
        <v>37347</v>
      </c>
      <c r="B1124" s="51">
        <v>5489.8</v>
      </c>
      <c r="C1124" s="53">
        <f>(Table26[[#This Row],[M2 Money Stock, Billions of Dollars, Weekly, Seasonally Adjusted]]-B1123)/B1123</f>
        <v>2.300445483093618E-3</v>
      </c>
      <c r="D1124" s="54">
        <f>((1+Table26[[#This Row],[Weekly change]])^52)-1</f>
        <v>0.12691722199616851</v>
      </c>
      <c r="E1124" s="57">
        <f>(Table26[[#This Row],[M2 Money Stock, Billions of Dollars, Weekly, Seasonally Adjusted]]-B1072)/B1072</f>
        <v>7.7656943190294925E-2</v>
      </c>
    </row>
    <row r="1125" spans="1:5" x14ac:dyDescent="0.2">
      <c r="A1125" s="50">
        <v>37354</v>
      </c>
      <c r="B1125" s="51">
        <v>5476</v>
      </c>
      <c r="C1125" s="53">
        <f>(Table26[[#This Row],[M2 Money Stock, Billions of Dollars, Weekly, Seasonally Adjusted]]-B1124)/B1124</f>
        <v>-2.5137527778790088E-3</v>
      </c>
      <c r="D1125" s="54">
        <f>((1+Table26[[#This Row],[Weekly change]])^52)-1</f>
        <v>-0.12267670143490206</v>
      </c>
      <c r="E1125" s="57">
        <f>(Table26[[#This Row],[M2 Money Stock, Billions of Dollars, Weekly, Seasonally Adjusted]]-B1073)/B1073</f>
        <v>7.0388396958502006E-2</v>
      </c>
    </row>
    <row r="1126" spans="1:5" x14ac:dyDescent="0.2">
      <c r="A1126" s="50">
        <v>37361</v>
      </c>
      <c r="B1126" s="51">
        <v>5488</v>
      </c>
      <c r="C1126" s="53">
        <f>(Table26[[#This Row],[M2 Money Stock, Billions of Dollars, Weekly, Seasonally Adjusted]]-B1125)/B1125</f>
        <v>2.1913805697589481E-3</v>
      </c>
      <c r="D1126" s="54">
        <f>((1+Table26[[#This Row],[Weekly change]])^52)-1</f>
        <v>0.12055838136926678</v>
      </c>
      <c r="E1126" s="57">
        <f>(Table26[[#This Row],[M2 Money Stock, Billions of Dollars, Weekly, Seasonally Adjusted]]-B1074)/B1074</f>
        <v>6.9347830322869702E-2</v>
      </c>
    </row>
    <row r="1127" spans="1:5" x14ac:dyDescent="0.2">
      <c r="A1127" s="50">
        <v>37368</v>
      </c>
      <c r="B1127" s="51">
        <v>5483.2</v>
      </c>
      <c r="C1127" s="53">
        <f>(Table26[[#This Row],[M2 Money Stock, Billions of Dollars, Weekly, Seasonally Adjusted]]-B1126)/B1126</f>
        <v>-8.746355685131527E-4</v>
      </c>
      <c r="D1127" s="54">
        <f>((1+Table26[[#This Row],[Weekly change]])^52)-1</f>
        <v>-4.4481305973487095E-2</v>
      </c>
      <c r="E1127" s="57">
        <f>(Table26[[#This Row],[M2 Money Stock, Billions of Dollars, Weekly, Seasonally Adjusted]]-B1075)/B1075</f>
        <v>6.7310312609491219E-2</v>
      </c>
    </row>
    <row r="1128" spans="1:5" x14ac:dyDescent="0.2">
      <c r="A1128" s="50">
        <v>37375</v>
      </c>
      <c r="B1128" s="51">
        <v>5484.2</v>
      </c>
      <c r="C1128" s="53">
        <f>(Table26[[#This Row],[M2 Money Stock, Billions of Dollars, Weekly, Seasonally Adjusted]]-B1127)/B1127</f>
        <v>1.8237525532535746E-4</v>
      </c>
      <c r="D1128" s="54">
        <f>((1+Table26[[#This Row],[Weekly change]])^52)-1</f>
        <v>9.5277513670599667E-3</v>
      </c>
      <c r="E1128" s="57">
        <f>(Table26[[#This Row],[M2 Money Stock, Billions of Dollars, Weekly, Seasonally Adjusted]]-B1076)/B1076</f>
        <v>7.0923647725053662E-2</v>
      </c>
    </row>
    <row r="1129" spans="1:5" x14ac:dyDescent="0.2">
      <c r="A1129" s="50">
        <v>37382</v>
      </c>
      <c r="B1129" s="51">
        <v>5496.2</v>
      </c>
      <c r="C1129" s="53">
        <f>(Table26[[#This Row],[M2 Money Stock, Billions of Dollars, Weekly, Seasonally Adjusted]]-B1128)/B1128</f>
        <v>2.1881040078771744E-3</v>
      </c>
      <c r="D1129" s="54">
        <f>((1+Table26[[#This Row],[Weekly change]])^52)-1</f>
        <v>0.12036789261717806</v>
      </c>
      <c r="E1129" s="57">
        <f>(Table26[[#This Row],[M2 Money Stock, Billions of Dollars, Weekly, Seasonally Adjusted]]-B1077)/B1077</f>
        <v>7.4672975773810615E-2</v>
      </c>
    </row>
    <row r="1130" spans="1:5" x14ac:dyDescent="0.2">
      <c r="A1130" s="50">
        <v>37389</v>
      </c>
      <c r="B1130" s="51">
        <v>5505.1</v>
      </c>
      <c r="C1130" s="53">
        <f>(Table26[[#This Row],[M2 Money Stock, Billions of Dollars, Weekly, Seasonally Adjusted]]-B1129)/B1129</f>
        <v>1.6193006076926869E-3</v>
      </c>
      <c r="D1130" s="54">
        <f>((1+Table26[[#This Row],[Weekly change]])^52)-1</f>
        <v>8.7776309720833945E-2</v>
      </c>
      <c r="E1130" s="57">
        <f>(Table26[[#This Row],[M2 Money Stock, Billions of Dollars, Weekly, Seasonally Adjusted]]-B1078)/B1078</f>
        <v>7.6644762575295428E-2</v>
      </c>
    </row>
    <row r="1131" spans="1:5" x14ac:dyDescent="0.2">
      <c r="A1131" s="50">
        <v>37396</v>
      </c>
      <c r="B1131" s="51">
        <v>5515</v>
      </c>
      <c r="C1131" s="53">
        <f>(Table26[[#This Row],[M2 Money Stock, Billions of Dollars, Weekly, Seasonally Adjusted]]-B1130)/B1130</f>
        <v>1.7983324553595094E-3</v>
      </c>
      <c r="D1131" s="54">
        <f>((1+Table26[[#This Row],[Weekly change]])^52)-1</f>
        <v>9.7932981522893536E-2</v>
      </c>
      <c r="E1131" s="57">
        <f>(Table26[[#This Row],[M2 Money Stock, Billions of Dollars, Weekly, Seasonally Adjusted]]-B1079)/B1079</f>
        <v>7.6286567397201382E-2</v>
      </c>
    </row>
    <row r="1132" spans="1:5" x14ac:dyDescent="0.2">
      <c r="A1132" s="50">
        <v>37403</v>
      </c>
      <c r="B1132" s="51">
        <v>5519.3</v>
      </c>
      <c r="C1132" s="53">
        <f>(Table26[[#This Row],[M2 Money Stock, Billions of Dollars, Weekly, Seasonally Adjusted]]-B1131)/B1131</f>
        <v>7.7969174977337837E-4</v>
      </c>
      <c r="D1132" s="54">
        <f>((1+Table26[[#This Row],[Weekly change]])^52)-1</f>
        <v>4.1360647854546517E-2</v>
      </c>
      <c r="E1132" s="57">
        <f>(Table26[[#This Row],[M2 Money Stock, Billions of Dollars, Weekly, Seasonally Adjusted]]-B1080)/B1080</f>
        <v>7.8051448327050493E-2</v>
      </c>
    </row>
    <row r="1133" spans="1:5" x14ac:dyDescent="0.2">
      <c r="A1133" s="50">
        <v>37410</v>
      </c>
      <c r="B1133" s="51">
        <v>5509.7</v>
      </c>
      <c r="C1133" s="53">
        <f>(Table26[[#This Row],[M2 Money Stock, Billions of Dollars, Weekly, Seasonally Adjusted]]-B1132)/B1132</f>
        <v>-1.7393510046564535E-3</v>
      </c>
      <c r="D1133" s="54">
        <f>((1+Table26[[#This Row],[Weekly change]])^52)-1</f>
        <v>-8.6548504920324287E-2</v>
      </c>
      <c r="E1133" s="57">
        <f>(Table26[[#This Row],[M2 Money Stock, Billions of Dollars, Weekly, Seasonally Adjusted]]-B1081)/B1081</f>
        <v>6.9823886914817071E-2</v>
      </c>
    </row>
    <row r="1134" spans="1:5" x14ac:dyDescent="0.2">
      <c r="A1134" s="50">
        <v>37417</v>
      </c>
      <c r="B1134" s="51">
        <v>5523.3</v>
      </c>
      <c r="C1134" s="53">
        <f>(Table26[[#This Row],[M2 Money Stock, Billions of Dollars, Weekly, Seasonally Adjusted]]-B1133)/B1133</f>
        <v>2.4683739586548025E-3</v>
      </c>
      <c r="D1134" s="54">
        <f>((1+Table26[[#This Row],[Weekly change]])^52)-1</f>
        <v>0.13677725698836674</v>
      </c>
      <c r="E1134" s="57">
        <f>(Table26[[#This Row],[M2 Money Stock, Billions of Dollars, Weekly, Seasonally Adjusted]]-B1082)/B1082</f>
        <v>7.1569920844327284E-2</v>
      </c>
    </row>
    <row r="1135" spans="1:5" x14ac:dyDescent="0.2">
      <c r="A1135" s="50">
        <v>37424</v>
      </c>
      <c r="B1135" s="51">
        <v>5533.9</v>
      </c>
      <c r="C1135" s="53">
        <f>(Table26[[#This Row],[M2 Money Stock, Billions of Dollars, Weekly, Seasonally Adjusted]]-B1134)/B1134</f>
        <v>1.9191425415964105E-3</v>
      </c>
      <c r="D1135" s="54">
        <f>((1+Table26[[#This Row],[Weekly change]])^52)-1</f>
        <v>0.10483916649790226</v>
      </c>
      <c r="E1135" s="57">
        <f>(Table26[[#This Row],[M2 Money Stock, Billions of Dollars, Weekly, Seasonally Adjusted]]-B1083)/B1083</f>
        <v>7.1485275040176557E-2</v>
      </c>
    </row>
    <row r="1136" spans="1:5" x14ac:dyDescent="0.2">
      <c r="A1136" s="50">
        <v>37431</v>
      </c>
      <c r="B1136" s="51">
        <v>5539.4</v>
      </c>
      <c r="C1136" s="53">
        <f>(Table26[[#This Row],[M2 Money Stock, Billions of Dollars, Weekly, Seasonally Adjusted]]-B1135)/B1135</f>
        <v>9.9387412132492456E-4</v>
      </c>
      <c r="D1136" s="54">
        <f>((1+Table26[[#This Row],[Weekly change]])^52)-1</f>
        <v>5.3013221267869781E-2</v>
      </c>
      <c r="E1136" s="57">
        <f>(Table26[[#This Row],[M2 Money Stock, Billions of Dollars, Weekly, Seasonally Adjusted]]-B1084)/B1084</f>
        <v>7.3215150634505399E-2</v>
      </c>
    </row>
    <row r="1137" spans="1:5" x14ac:dyDescent="0.2">
      <c r="A1137" s="50">
        <v>37438</v>
      </c>
      <c r="B1137" s="51">
        <v>5554.2</v>
      </c>
      <c r="C1137" s="53">
        <f>(Table26[[#This Row],[M2 Money Stock, Billions of Dollars, Weekly, Seasonally Adjusted]]-B1136)/B1136</f>
        <v>2.6717695057226743E-3</v>
      </c>
      <c r="D1137" s="54">
        <f>((1+Table26[[#This Row],[Weekly change]])^52)-1</f>
        <v>0.14883311779315034</v>
      </c>
      <c r="E1137" s="57">
        <f>(Table26[[#This Row],[M2 Money Stock, Billions of Dollars, Weekly, Seasonally Adjusted]]-B1085)/B1085</f>
        <v>7.321314706393825E-2</v>
      </c>
    </row>
    <row r="1138" spans="1:5" x14ac:dyDescent="0.2">
      <c r="A1138" s="50">
        <v>37445</v>
      </c>
      <c r="B1138" s="51">
        <v>5548.7</v>
      </c>
      <c r="C1138" s="53">
        <f>(Table26[[#This Row],[M2 Money Stock, Billions of Dollars, Weekly, Seasonally Adjusted]]-B1137)/B1137</f>
        <v>-9.9024161895502503E-4</v>
      </c>
      <c r="D1138" s="54">
        <f>((1+Table26[[#This Row],[Weekly change]])^52)-1</f>
        <v>-5.0213518599005913E-2</v>
      </c>
      <c r="E1138" s="57">
        <f>(Table26[[#This Row],[M2 Money Stock, Billions of Dollars, Weekly, Seasonally Adjusted]]-B1086)/B1086</f>
        <v>7.1301695177047569E-2</v>
      </c>
    </row>
    <row r="1139" spans="1:5" x14ac:dyDescent="0.2">
      <c r="A1139" s="50">
        <v>37452</v>
      </c>
      <c r="B1139" s="51">
        <v>5568.4</v>
      </c>
      <c r="C1139" s="53">
        <f>(Table26[[#This Row],[M2 Money Stock, Billions of Dollars, Weekly, Seasonally Adjusted]]-B1138)/B1138</f>
        <v>3.5503811703641967E-3</v>
      </c>
      <c r="D1139" s="54">
        <f>((1+Table26[[#This Row],[Weekly change]])^52)-1</f>
        <v>0.20236789598594451</v>
      </c>
      <c r="E1139" s="57">
        <f>(Table26[[#This Row],[M2 Money Stock, Billions of Dollars, Weekly, Seasonally Adjusted]]-B1087)/B1087</f>
        <v>7.2351570473934534E-2</v>
      </c>
    </row>
    <row r="1140" spans="1:5" x14ac:dyDescent="0.2">
      <c r="A1140" s="50">
        <v>37459</v>
      </c>
      <c r="B1140" s="51">
        <v>5582.3</v>
      </c>
      <c r="C1140" s="53">
        <f>(Table26[[#This Row],[M2 Money Stock, Billions of Dollars, Weekly, Seasonally Adjusted]]-B1139)/B1139</f>
        <v>2.4962287192013049E-3</v>
      </c>
      <c r="D1140" s="54">
        <f>((1+Table26[[#This Row],[Weekly change]])^52)-1</f>
        <v>0.13842092922951088</v>
      </c>
      <c r="E1140" s="57">
        <f>(Table26[[#This Row],[M2 Money Stock, Billions of Dollars, Weekly, Seasonally Adjusted]]-B1088)/B1088</f>
        <v>7.482141825673419E-2</v>
      </c>
    </row>
    <row r="1141" spans="1:5" x14ac:dyDescent="0.2">
      <c r="A1141" s="50">
        <v>37466</v>
      </c>
      <c r="B1141" s="51">
        <v>5602</v>
      </c>
      <c r="C1141" s="53">
        <f>(Table26[[#This Row],[M2 Money Stock, Billions of Dollars, Weekly, Seasonally Adjusted]]-B1140)/B1140</f>
        <v>3.5290113394120374E-3</v>
      </c>
      <c r="D1141" s="54">
        <f>((1+Table26[[#This Row],[Weekly change]])^52)-1</f>
        <v>0.2010372368551272</v>
      </c>
      <c r="E1141" s="57">
        <f>(Table26[[#This Row],[M2 Money Stock, Billions of Dollars, Weekly, Seasonally Adjusted]]-B1089)/B1089</f>
        <v>7.7059140198415782E-2</v>
      </c>
    </row>
    <row r="1142" spans="1:5" x14ac:dyDescent="0.2">
      <c r="A1142" s="50">
        <v>37473</v>
      </c>
      <c r="B1142" s="51">
        <v>5610.2</v>
      </c>
      <c r="C1142" s="53">
        <f>(Table26[[#This Row],[M2 Money Stock, Billions of Dollars, Weekly, Seasonally Adjusted]]-B1141)/B1141</f>
        <v>1.4637629418064652E-3</v>
      </c>
      <c r="D1142" s="54">
        <f>((1+Table26[[#This Row],[Weekly change]])^52)-1</f>
        <v>7.9027335030346091E-2</v>
      </c>
      <c r="E1142" s="57">
        <f>(Table26[[#This Row],[M2 Money Stock, Billions of Dollars, Weekly, Seasonally Adjusted]]-B1090)/B1090</f>
        <v>7.6627837801531443E-2</v>
      </c>
    </row>
    <row r="1143" spans="1:5" x14ac:dyDescent="0.2">
      <c r="A1143" s="50">
        <v>37480</v>
      </c>
      <c r="B1143" s="51">
        <v>5616.4</v>
      </c>
      <c r="C1143" s="53">
        <f>(Table26[[#This Row],[M2 Money Stock, Billions of Dollars, Weekly, Seasonally Adjusted]]-B1142)/B1142</f>
        <v>1.1051299418915223E-3</v>
      </c>
      <c r="D1143" s="54">
        <f>((1+Table26[[#This Row],[Weekly change]])^52)-1</f>
        <v>5.9116453637702016E-2</v>
      </c>
      <c r="E1143" s="57">
        <f>(Table26[[#This Row],[M2 Money Stock, Billions of Dollars, Weekly, Seasonally Adjusted]]-B1091)/B1091</f>
        <v>7.5938697318007592E-2</v>
      </c>
    </row>
    <row r="1144" spans="1:5" x14ac:dyDescent="0.2">
      <c r="A1144" s="50">
        <v>37487</v>
      </c>
      <c r="B1144" s="51">
        <v>5618.2</v>
      </c>
      <c r="C1144" s="53">
        <f>(Table26[[#This Row],[M2 Money Stock, Billions of Dollars, Weekly, Seasonally Adjusted]]-B1143)/B1143</f>
        <v>3.2048999359023252E-4</v>
      </c>
      <c r="D1144" s="54">
        <f>((1+Table26[[#This Row],[Weekly change]])^52)-1</f>
        <v>1.6802408582730521E-2</v>
      </c>
      <c r="E1144" s="57">
        <f>(Table26[[#This Row],[M2 Money Stock, Billions of Dollars, Weekly, Seasonally Adjusted]]-B1092)/B1092</f>
        <v>7.5047837734404862E-2</v>
      </c>
    </row>
    <row r="1145" spans="1:5" x14ac:dyDescent="0.2">
      <c r="A1145" s="50">
        <v>37494</v>
      </c>
      <c r="B1145" s="51">
        <v>5623.1</v>
      </c>
      <c r="C1145" s="53">
        <f>(Table26[[#This Row],[M2 Money Stock, Billions of Dollars, Weekly, Seasonally Adjusted]]-B1144)/B1144</f>
        <v>8.7216546224779218E-4</v>
      </c>
      <c r="D1145" s="54">
        <f>((1+Table26[[#This Row],[Weekly change]])^52)-1</f>
        <v>4.6376075719415821E-2</v>
      </c>
      <c r="E1145" s="57">
        <f>(Table26[[#This Row],[M2 Money Stock, Billions of Dollars, Weekly, Seasonally Adjusted]]-B1093)/B1093</f>
        <v>7.4874794510073936E-2</v>
      </c>
    </row>
    <row r="1146" spans="1:5" x14ac:dyDescent="0.2">
      <c r="A1146" s="50">
        <v>37501</v>
      </c>
      <c r="B1146" s="51">
        <v>5629.2</v>
      </c>
      <c r="C1146" s="53">
        <f>(Table26[[#This Row],[M2 Money Stock, Billions of Dollars, Weekly, Seasonally Adjusted]]-B1145)/B1145</f>
        <v>1.0848108694491391E-3</v>
      </c>
      <c r="D1146" s="54">
        <f>((1+Table26[[#This Row],[Weekly change]])^52)-1</f>
        <v>5.7999213594374099E-2</v>
      </c>
      <c r="E1146" s="57">
        <f>(Table26[[#This Row],[M2 Money Stock, Billions of Dollars, Weekly, Seasonally Adjusted]]-B1094)/B1094</f>
        <v>7.3557738151997676E-2</v>
      </c>
    </row>
    <row r="1147" spans="1:5" x14ac:dyDescent="0.2">
      <c r="A1147" s="50">
        <v>37508</v>
      </c>
      <c r="B1147" s="51">
        <v>5638.6</v>
      </c>
      <c r="C1147" s="53">
        <f>(Table26[[#This Row],[M2 Money Stock, Billions of Dollars, Weekly, Seasonally Adjusted]]-B1146)/B1146</f>
        <v>1.6698642791161348E-3</v>
      </c>
      <c r="D1147" s="54">
        <f>((1+Table26[[#This Row],[Weekly change]])^52)-1</f>
        <v>9.0635466887022398E-2</v>
      </c>
      <c r="E1147" s="57">
        <f>(Table26[[#This Row],[M2 Money Stock, Billions of Dollars, Weekly, Seasonally Adjusted]]-B1095)/B1095</f>
        <v>7.085746842655026E-2</v>
      </c>
    </row>
    <row r="1148" spans="1:5" x14ac:dyDescent="0.2">
      <c r="A1148" s="50">
        <v>37515</v>
      </c>
      <c r="B1148" s="51">
        <v>5644.3</v>
      </c>
      <c r="C1148" s="53">
        <f>(Table26[[#This Row],[M2 Money Stock, Billions of Dollars, Weekly, Seasonally Adjusted]]-B1147)/B1147</f>
        <v>1.0108892278224769E-3</v>
      </c>
      <c r="D1148" s="54">
        <f>((1+Table26[[#This Row],[Weekly change]])^52)-1</f>
        <v>5.3944390632062245E-2</v>
      </c>
      <c r="E1148" s="57">
        <f>(Table26[[#This Row],[M2 Money Stock, Billions of Dollars, Weekly, Seasonally Adjusted]]-B1096)/B1096</f>
        <v>3.8299516197273745E-2</v>
      </c>
    </row>
    <row r="1149" spans="1:5" x14ac:dyDescent="0.2">
      <c r="A1149" s="50">
        <v>37522</v>
      </c>
      <c r="B1149" s="51">
        <v>5641</v>
      </c>
      <c r="C1149" s="53">
        <f>(Table26[[#This Row],[M2 Money Stock, Billions of Dollars, Weekly, Seasonally Adjusted]]-B1148)/B1148</f>
        <v>-5.8466063107917403E-4</v>
      </c>
      <c r="D1149" s="54">
        <f>((1+Table26[[#This Row],[Weekly change]])^52)-1</f>
        <v>-2.9953474120886781E-2</v>
      </c>
      <c r="E1149" s="57">
        <f>(Table26[[#This Row],[M2 Money Stock, Billions of Dollars, Weekly, Seasonally Adjusted]]-B1097)/B1097</f>
        <v>5.3526072015538696E-2</v>
      </c>
    </row>
    <row r="1150" spans="1:5" x14ac:dyDescent="0.2">
      <c r="A1150" s="50">
        <v>37529</v>
      </c>
      <c r="B1150" s="51">
        <v>5655.2</v>
      </c>
      <c r="C1150" s="53">
        <f>(Table26[[#This Row],[M2 Money Stock, Billions of Dollars, Weekly, Seasonally Adjusted]]-B1149)/B1149</f>
        <v>2.5172841694734655E-3</v>
      </c>
      <c r="D1150" s="54">
        <f>((1+Table26[[#This Row],[Weekly change]])^52)-1</f>
        <v>0.13966492991045354</v>
      </c>
      <c r="E1150" s="57">
        <f>(Table26[[#This Row],[M2 Money Stock, Billions of Dollars, Weekly, Seasonally Adjusted]]-B1098)/B1098</f>
        <v>6.1132585281645252E-2</v>
      </c>
    </row>
    <row r="1151" spans="1:5" x14ac:dyDescent="0.2">
      <c r="A1151" s="50">
        <v>37536</v>
      </c>
      <c r="B1151" s="51">
        <v>5662.1</v>
      </c>
      <c r="C1151" s="53">
        <f>(Table26[[#This Row],[M2 Money Stock, Billions of Dollars, Weekly, Seasonally Adjusted]]-B1150)/B1150</f>
        <v>1.2201159994342456E-3</v>
      </c>
      <c r="D1151" s="54">
        <f>((1+Table26[[#This Row],[Weekly change]])^52)-1</f>
        <v>6.5460774456314486E-2</v>
      </c>
      <c r="E1151" s="57">
        <f>(Table26[[#This Row],[M2 Money Stock, Billions of Dollars, Weekly, Seasonally Adjusted]]-B1099)/B1099</f>
        <v>6.4224494398917517E-2</v>
      </c>
    </row>
    <row r="1152" spans="1:5" x14ac:dyDescent="0.2">
      <c r="A1152" s="50">
        <v>37543</v>
      </c>
      <c r="B1152" s="51">
        <v>5676.8</v>
      </c>
      <c r="C1152" s="53">
        <f>(Table26[[#This Row],[M2 Money Stock, Billions of Dollars, Weekly, Seasonally Adjusted]]-B1151)/B1151</f>
        <v>2.5962098867910875E-3</v>
      </c>
      <c r="D1152" s="54">
        <f>((1+Table26[[#This Row],[Weekly change]])^52)-1</f>
        <v>0.14433990535743946</v>
      </c>
      <c r="E1152" s="57">
        <f>(Table26[[#This Row],[M2 Money Stock, Billions of Dollars, Weekly, Seasonally Adjusted]]-B1100)/B1100</f>
        <v>6.7127845555200558E-2</v>
      </c>
    </row>
    <row r="1153" spans="1:5" x14ac:dyDescent="0.2">
      <c r="A1153" s="50">
        <v>37550</v>
      </c>
      <c r="B1153" s="51">
        <v>5693</v>
      </c>
      <c r="C1153" s="53">
        <f>(Table26[[#This Row],[M2 Money Stock, Billions of Dollars, Weekly, Seasonally Adjusted]]-B1152)/B1152</f>
        <v>2.8537204058624254E-3</v>
      </c>
      <c r="D1153" s="54">
        <f>((1+Table26[[#This Row],[Weekly change]])^52)-1</f>
        <v>0.15972409344111904</v>
      </c>
      <c r="E1153" s="57">
        <f>(Table26[[#This Row],[M2 Money Stock, Billions of Dollars, Weekly, Seasonally Adjusted]]-B1101)/B1101</f>
        <v>6.9710635099586624E-2</v>
      </c>
    </row>
    <row r="1154" spans="1:5" x14ac:dyDescent="0.2">
      <c r="A1154" s="50">
        <v>37557</v>
      </c>
      <c r="B1154" s="51">
        <v>5706.2</v>
      </c>
      <c r="C1154" s="53">
        <f>(Table26[[#This Row],[M2 Money Stock, Billions of Dollars, Weekly, Seasonally Adjusted]]-B1153)/B1153</f>
        <v>2.3186369225364164E-3</v>
      </c>
      <c r="D1154" s="54">
        <f>((1+Table26[[#This Row],[Weekly change]])^52)-1</f>
        <v>0.12798128051853674</v>
      </c>
      <c r="E1154" s="57">
        <f>(Table26[[#This Row],[M2 Money Stock, Billions of Dollars, Weekly, Seasonally Adjusted]]-B1102)/B1102</f>
        <v>7.0702142830337419E-2</v>
      </c>
    </row>
    <row r="1155" spans="1:5" x14ac:dyDescent="0.2">
      <c r="A1155" s="50">
        <v>37564</v>
      </c>
      <c r="B1155" s="51">
        <v>5723.7</v>
      </c>
      <c r="C1155" s="53">
        <f>(Table26[[#This Row],[M2 Money Stock, Billions of Dollars, Weekly, Seasonally Adjusted]]-B1154)/B1154</f>
        <v>3.0668395780028743E-3</v>
      </c>
      <c r="D1155" s="54">
        <f>((1+Table26[[#This Row],[Weekly change]])^52)-1</f>
        <v>0.17260950773036376</v>
      </c>
      <c r="E1155" s="57">
        <f>(Table26[[#This Row],[M2 Money Stock, Billions of Dollars, Weekly, Seasonally Adjusted]]-B1103)/B1103</f>
        <v>6.979047903855852E-2</v>
      </c>
    </row>
    <row r="1156" spans="1:5" x14ac:dyDescent="0.2">
      <c r="A1156" s="50">
        <v>37571</v>
      </c>
      <c r="B1156" s="51">
        <v>5732</v>
      </c>
      <c r="C1156" s="53">
        <f>(Table26[[#This Row],[M2 Money Stock, Billions of Dollars, Weekly, Seasonally Adjusted]]-B1155)/B1155</f>
        <v>1.4501109422227199E-3</v>
      </c>
      <c r="D1156" s="54">
        <f>((1+Table26[[#This Row],[Weekly change]])^52)-1</f>
        <v>7.8262714671673672E-2</v>
      </c>
      <c r="E1156" s="57">
        <f>(Table26[[#This Row],[M2 Money Stock, Billions of Dollars, Weekly, Seasonally Adjusted]]-B1104)/B1104</f>
        <v>6.9921977078433645E-2</v>
      </c>
    </row>
    <row r="1157" spans="1:5" x14ac:dyDescent="0.2">
      <c r="A1157" s="50">
        <v>37578</v>
      </c>
      <c r="B1157" s="51">
        <v>5743.3</v>
      </c>
      <c r="C1157" s="53">
        <f>(Table26[[#This Row],[M2 Money Stock, Billions of Dollars, Weekly, Seasonally Adjusted]]-B1156)/B1156</f>
        <v>1.9713886950453912E-3</v>
      </c>
      <c r="D1157" s="54">
        <f>((1+Table26[[#This Row],[Weekly change]])^52)-1</f>
        <v>0.10783903116426563</v>
      </c>
      <c r="E1157" s="57">
        <f>(Table26[[#This Row],[M2 Money Stock, Billions of Dollars, Weekly, Seasonally Adjusted]]-B1105)/B1105</f>
        <v>7.0233303518187351E-2</v>
      </c>
    </row>
    <row r="1158" spans="1:5" x14ac:dyDescent="0.2">
      <c r="A1158" s="50">
        <v>37585</v>
      </c>
      <c r="B1158" s="51">
        <v>5735</v>
      </c>
      <c r="C1158" s="53">
        <f>(Table26[[#This Row],[M2 Money Stock, Billions of Dollars, Weekly, Seasonally Adjusted]]-B1157)/B1157</f>
        <v>-1.4451621889854582E-3</v>
      </c>
      <c r="D1158" s="54">
        <f>((1+Table26[[#This Row],[Weekly change]])^52)-1</f>
        <v>-7.2444628950058987E-2</v>
      </c>
      <c r="E1158" s="57">
        <f>(Table26[[#This Row],[M2 Money Stock, Billions of Dollars, Weekly, Seasonally Adjusted]]-B1106)/B1106</f>
        <v>6.5331673880333591E-2</v>
      </c>
    </row>
    <row r="1159" spans="1:5" x14ac:dyDescent="0.2">
      <c r="A1159" s="50">
        <v>37592</v>
      </c>
      <c r="B1159" s="51">
        <v>5756.9</v>
      </c>
      <c r="C1159" s="53">
        <f>(Table26[[#This Row],[M2 Money Stock, Billions of Dollars, Weekly, Seasonally Adjusted]]-B1158)/B1158</f>
        <v>3.8186573670444006E-3</v>
      </c>
      <c r="D1159" s="54">
        <f>((1+Table26[[#This Row],[Weekly change]])^52)-1</f>
        <v>0.21919646899090228</v>
      </c>
      <c r="E1159" s="57">
        <f>(Table26[[#This Row],[M2 Money Stock, Billions of Dollars, Weekly, Seasonally Adjusted]]-B1107)/B1107</f>
        <v>6.8347993913075611E-2</v>
      </c>
    </row>
    <row r="1160" spans="1:5" x14ac:dyDescent="0.2">
      <c r="A1160" s="50">
        <v>37599</v>
      </c>
      <c r="B1160" s="51">
        <v>5751.1</v>
      </c>
      <c r="C1160" s="53">
        <f>(Table26[[#This Row],[M2 Money Stock, Billions of Dollars, Weekly, Seasonally Adjusted]]-B1159)/B1159</f>
        <v>-1.0074866681719801E-3</v>
      </c>
      <c r="D1160" s="54">
        <f>((1+Table26[[#This Row],[Weekly change]])^52)-1</f>
        <v>-5.1065701622638349E-2</v>
      </c>
      <c r="E1160" s="57">
        <f>(Table26[[#This Row],[M2 Money Stock, Billions of Dollars, Weekly, Seasonally Adjusted]]-B1108)/B1108</f>
        <v>6.242148821399552E-2</v>
      </c>
    </row>
    <row r="1161" spans="1:5" x14ac:dyDescent="0.2">
      <c r="A1161" s="50">
        <v>37606</v>
      </c>
      <c r="B1161" s="51">
        <v>5764.2</v>
      </c>
      <c r="C1161" s="53">
        <f>(Table26[[#This Row],[M2 Money Stock, Billions of Dollars, Weekly, Seasonally Adjusted]]-B1160)/B1160</f>
        <v>2.2778251117176631E-3</v>
      </c>
      <c r="D1161" s="54">
        <f>((1+Table26[[#This Row],[Weekly change]])^52)-1</f>
        <v>0.12559547827931228</v>
      </c>
      <c r="E1161" s="57">
        <f>(Table26[[#This Row],[M2 Money Stock, Billions of Dollars, Weekly, Seasonally Adjusted]]-B1109)/B1109</f>
        <v>6.1429676278864108E-2</v>
      </c>
    </row>
    <row r="1162" spans="1:5" x14ac:dyDescent="0.2">
      <c r="A1162" s="50">
        <v>37613</v>
      </c>
      <c r="B1162" s="51">
        <v>5760.2</v>
      </c>
      <c r="C1162" s="53">
        <f>(Table26[[#This Row],[M2 Money Stock, Billions of Dollars, Weekly, Seasonally Adjusted]]-B1161)/B1161</f>
        <v>-6.9393844765969258E-4</v>
      </c>
      <c r="D1162" s="54">
        <f>((1+Table26[[#This Row],[Weekly change]])^52)-1</f>
        <v>-3.5453585939549948E-2</v>
      </c>
      <c r="E1162" s="57">
        <f>(Table26[[#This Row],[M2 Money Stock, Billions of Dollars, Weekly, Seasonally Adjusted]]-B1110)/B1110</f>
        <v>6.2983262285703778E-2</v>
      </c>
    </row>
    <row r="1163" spans="1:5" x14ac:dyDescent="0.2">
      <c r="A1163" s="50">
        <v>37620</v>
      </c>
      <c r="B1163" s="51">
        <v>5762.3</v>
      </c>
      <c r="C1163" s="53">
        <f>(Table26[[#This Row],[M2 Money Stock, Billions of Dollars, Weekly, Seasonally Adjusted]]-B1162)/B1162</f>
        <v>3.6457067462941634E-4</v>
      </c>
      <c r="D1163" s="54">
        <f>((1+Table26[[#This Row],[Weekly change]])^52)-1</f>
        <v>1.9134991767816745E-2</v>
      </c>
      <c r="E1163" s="57">
        <f>(Table26[[#This Row],[M2 Money Stock, Billions of Dollars, Weekly, Seasonally Adjusted]]-B1111)/B1111</f>
        <v>5.9616410143248526E-2</v>
      </c>
    </row>
    <row r="1164" spans="1:5" x14ac:dyDescent="0.2">
      <c r="A1164" s="50">
        <v>37627</v>
      </c>
      <c r="B1164" s="51">
        <v>5773</v>
      </c>
      <c r="C1164" s="53">
        <f>(Table26[[#This Row],[M2 Money Stock, Billions of Dollars, Weekly, Seasonally Adjusted]]-B1163)/B1163</f>
        <v>1.8568974194331808E-3</v>
      </c>
      <c r="D1164" s="54">
        <f>((1+Table26[[#This Row],[Weekly change]])^52)-1</f>
        <v>0.10127558079235133</v>
      </c>
      <c r="E1164" s="57">
        <f>(Table26[[#This Row],[M2 Money Stock, Billions of Dollars, Weekly, Seasonally Adjusted]]-B1112)/B1112</f>
        <v>6.1955042125013834E-2</v>
      </c>
    </row>
    <row r="1165" spans="1:5" x14ac:dyDescent="0.2">
      <c r="A1165" s="50">
        <v>37634</v>
      </c>
      <c r="B1165" s="51">
        <v>5783.3</v>
      </c>
      <c r="C1165" s="53">
        <f>(Table26[[#This Row],[M2 Money Stock, Billions of Dollars, Weekly, Seasonally Adjusted]]-B1164)/B1164</f>
        <v>1.7841676771176481E-3</v>
      </c>
      <c r="D1165" s="54">
        <f>((1+Table26[[#This Row],[Weekly change]])^52)-1</f>
        <v>9.7126021402564655E-2</v>
      </c>
      <c r="E1165" s="57">
        <f>(Table26[[#This Row],[M2 Money Stock, Billions of Dollars, Weekly, Seasonally Adjusted]]-B1113)/B1113</f>
        <v>6.3517166553265156E-2</v>
      </c>
    </row>
    <row r="1166" spans="1:5" x14ac:dyDescent="0.2">
      <c r="A1166" s="50">
        <v>37641</v>
      </c>
      <c r="B1166" s="51">
        <v>5797.4</v>
      </c>
      <c r="C1166" s="53">
        <f>(Table26[[#This Row],[M2 Money Stock, Billions of Dollars, Weekly, Seasonally Adjusted]]-B1165)/B1165</f>
        <v>2.4380543980079632E-3</v>
      </c>
      <c r="D1166" s="54">
        <f>((1+Table26[[#This Row],[Weekly change]])^52)-1</f>
        <v>0.1349907857214161</v>
      </c>
      <c r="E1166" s="57">
        <f>(Table26[[#This Row],[M2 Money Stock, Billions of Dollars, Weekly, Seasonally Adjusted]]-B1114)/B1114</f>
        <v>6.5992461156568843E-2</v>
      </c>
    </row>
    <row r="1167" spans="1:5" x14ac:dyDescent="0.2">
      <c r="A1167" s="50">
        <v>37648</v>
      </c>
      <c r="B1167" s="51">
        <v>5806.4</v>
      </c>
      <c r="C1167" s="53">
        <f>(Table26[[#This Row],[M2 Money Stock, Billions of Dollars, Weekly, Seasonally Adjusted]]-B1166)/B1166</f>
        <v>1.5524200503674061E-3</v>
      </c>
      <c r="D1167" s="54">
        <f>((1+Table26[[#This Row],[Weekly change]])^52)-1</f>
        <v>8.4005793093458792E-2</v>
      </c>
      <c r="E1167" s="57">
        <f>(Table26[[#This Row],[M2 Money Stock, Billions of Dollars, Weekly, Seasonally Adjusted]]-B1115)/B1115</f>
        <v>6.5961704393163192E-2</v>
      </c>
    </row>
    <row r="1168" spans="1:5" x14ac:dyDescent="0.2">
      <c r="A1168" s="50">
        <v>37655</v>
      </c>
      <c r="B1168" s="51">
        <v>5803.6</v>
      </c>
      <c r="C1168" s="53">
        <f>(Table26[[#This Row],[M2 Money Stock, Billions of Dollars, Weekly, Seasonally Adjusted]]-B1167)/B1167</f>
        <v>-4.8222650867995188E-4</v>
      </c>
      <c r="D1168" s="54">
        <f>((1+Table26[[#This Row],[Weekly change]])^52)-1</f>
        <v>-2.4769890901516489E-2</v>
      </c>
      <c r="E1168" s="57">
        <f>(Table26[[#This Row],[M2 Money Stock, Billions of Dollars, Weekly, Seasonally Adjusted]]-B1116)/B1116</f>
        <v>6.2716302576404023E-2</v>
      </c>
    </row>
    <row r="1169" spans="1:5" x14ac:dyDescent="0.2">
      <c r="A1169" s="50">
        <v>37662</v>
      </c>
      <c r="B1169" s="51">
        <v>5825.9</v>
      </c>
      <c r="C1169" s="53">
        <f>(Table26[[#This Row],[M2 Money Stock, Billions of Dollars, Weekly, Seasonally Adjusted]]-B1168)/B1168</f>
        <v>3.8424426218208133E-3</v>
      </c>
      <c r="D1169" s="54">
        <f>((1+Table26[[#This Row],[Weekly change]])^52)-1</f>
        <v>0.22069958332552031</v>
      </c>
      <c r="E1169" s="57">
        <f>(Table26[[#This Row],[M2 Money Stock, Billions of Dollars, Weekly, Seasonally Adjusted]]-B1117)/B1117</f>
        <v>6.5687422257993608E-2</v>
      </c>
    </row>
    <row r="1170" spans="1:5" x14ac:dyDescent="0.2">
      <c r="A1170" s="50">
        <v>37669</v>
      </c>
      <c r="B1170" s="51">
        <v>5847</v>
      </c>
      <c r="C1170" s="53">
        <f>(Table26[[#This Row],[M2 Money Stock, Billions of Dollars, Weekly, Seasonally Adjusted]]-B1169)/B1169</f>
        <v>3.6217580116377495E-3</v>
      </c>
      <c r="D1170" s="54">
        <f>((1+Table26[[#This Row],[Weekly change]])^52)-1</f>
        <v>0.20682288611651889</v>
      </c>
      <c r="E1170" s="57">
        <f>(Table26[[#This Row],[M2 Money Stock, Billions of Dollars, Weekly, Seasonally Adjusted]]-B1118)/B1118</f>
        <v>6.8980017185586079E-2</v>
      </c>
    </row>
    <row r="1171" spans="1:5" x14ac:dyDescent="0.2">
      <c r="A1171" s="50">
        <v>37676</v>
      </c>
      <c r="B1171" s="51">
        <v>5823</v>
      </c>
      <c r="C1171" s="53">
        <f>(Table26[[#This Row],[M2 Money Stock, Billions of Dollars, Weekly, Seasonally Adjusted]]-B1170)/B1170</f>
        <v>-4.1046690610569521E-3</v>
      </c>
      <c r="D1171" s="54">
        <f>((1+Table26[[#This Row],[Weekly change]])^52)-1</f>
        <v>-0.19255638229984984</v>
      </c>
      <c r="E1171" s="57">
        <f>(Table26[[#This Row],[M2 Money Stock, Billions of Dollars, Weekly, Seasonally Adjusted]]-B1119)/B1119</f>
        <v>6.2920979135863281E-2</v>
      </c>
    </row>
    <row r="1172" spans="1:5" x14ac:dyDescent="0.2">
      <c r="A1172" s="50">
        <v>37683</v>
      </c>
      <c r="B1172" s="51">
        <v>5828.7</v>
      </c>
      <c r="C1172" s="53">
        <f>(Table26[[#This Row],[M2 Money Stock, Billions of Dollars, Weekly, Seasonally Adjusted]]-B1171)/B1171</f>
        <v>9.7887686759399236E-4</v>
      </c>
      <c r="D1172" s="54">
        <f>((1+Table26[[#This Row],[Weekly change]])^52)-1</f>
        <v>5.2193150040774405E-2</v>
      </c>
      <c r="E1172" s="57">
        <f>(Table26[[#This Row],[M2 Money Stock, Billions of Dollars, Weekly, Seasonally Adjusted]]-B1120)/B1120</f>
        <v>6.2855579868708933E-2</v>
      </c>
    </row>
    <row r="1173" spans="1:5" x14ac:dyDescent="0.2">
      <c r="A1173" s="50">
        <v>37690</v>
      </c>
      <c r="B1173" s="51">
        <v>5844.5</v>
      </c>
      <c r="C1173" s="53">
        <f>(Table26[[#This Row],[M2 Money Stock, Billions of Dollars, Weekly, Seasonally Adjusted]]-B1172)/B1172</f>
        <v>2.7107245183317346E-3</v>
      </c>
      <c r="D1173" s="54">
        <f>((1+Table26[[#This Row],[Weekly change]])^52)-1</f>
        <v>0.15115636367316831</v>
      </c>
      <c r="E1173" s="57">
        <f>(Table26[[#This Row],[M2 Money Stock, Billions of Dollars, Weekly, Seasonally Adjusted]]-B1121)/B1121</f>
        <v>6.5658959959156951E-2</v>
      </c>
    </row>
    <row r="1174" spans="1:5" x14ac:dyDescent="0.2">
      <c r="A1174" s="50">
        <v>37697</v>
      </c>
      <c r="B1174" s="51">
        <v>5855.7</v>
      </c>
      <c r="C1174" s="53">
        <f>(Table26[[#This Row],[M2 Money Stock, Billions of Dollars, Weekly, Seasonally Adjusted]]-B1173)/B1173</f>
        <v>1.9163315938061113E-3</v>
      </c>
      <c r="D1174" s="54">
        <f>((1+Table26[[#This Row],[Weekly change]])^52)-1</f>
        <v>0.10467799381316789</v>
      </c>
      <c r="E1174" s="57">
        <f>(Table26[[#This Row],[M2 Money Stock, Billions of Dollars, Weekly, Seasonally Adjusted]]-B1122)/B1122</f>
        <v>6.7993215269291835E-2</v>
      </c>
    </row>
    <row r="1175" spans="1:5" x14ac:dyDescent="0.2">
      <c r="A1175" s="50">
        <v>37704</v>
      </c>
      <c r="B1175" s="51">
        <v>5847.6</v>
      </c>
      <c r="C1175" s="53">
        <f>(Table26[[#This Row],[M2 Money Stock, Billions of Dollars, Weekly, Seasonally Adjusted]]-B1174)/B1174</f>
        <v>-1.3832675854294882E-3</v>
      </c>
      <c r="D1175" s="54">
        <f>((1+Table26[[#This Row],[Weekly change]])^52)-1</f>
        <v>-6.9450223085335439E-2</v>
      </c>
      <c r="E1175" s="57">
        <f>(Table26[[#This Row],[M2 Money Stock, Billions of Dollars, Weekly, Seasonally Adjusted]]-B1123)/B1123</f>
        <v>6.7625794201416886E-2</v>
      </c>
    </row>
    <row r="1176" spans="1:5" x14ac:dyDescent="0.2">
      <c r="A1176" s="50">
        <v>37711</v>
      </c>
      <c r="B1176" s="51">
        <v>5858.1</v>
      </c>
      <c r="C1176" s="53">
        <f>(Table26[[#This Row],[M2 Money Stock, Billions of Dollars, Weekly, Seasonally Adjusted]]-B1175)/B1175</f>
        <v>1.7956084547506668E-3</v>
      </c>
      <c r="D1176" s="54">
        <f>((1+Table26[[#This Row],[Weekly change]])^52)-1</f>
        <v>9.7777751415357494E-2</v>
      </c>
      <c r="E1176" s="57">
        <f>(Table26[[#This Row],[M2 Money Stock, Billions of Dollars, Weekly, Seasonally Adjusted]]-B1124)/B1124</f>
        <v>6.7088054209625159E-2</v>
      </c>
    </row>
    <row r="1177" spans="1:5" x14ac:dyDescent="0.2">
      <c r="A1177" s="50">
        <v>37718</v>
      </c>
      <c r="B1177" s="51">
        <v>5867.7</v>
      </c>
      <c r="C1177" s="53">
        <f>(Table26[[#This Row],[M2 Money Stock, Billions of Dollars, Weekly, Seasonally Adjusted]]-B1176)/B1176</f>
        <v>1.6387565934346381E-3</v>
      </c>
      <c r="D1177" s="54">
        <f>((1+Table26[[#This Row],[Weekly change]])^52)-1</f>
        <v>8.8875590484172484E-2</v>
      </c>
      <c r="E1177" s="57">
        <f>(Table26[[#This Row],[M2 Money Stock, Billions of Dollars, Weekly, Seasonally Adjusted]]-B1125)/B1125</f>
        <v>7.1530314097881631E-2</v>
      </c>
    </row>
    <row r="1178" spans="1:5" x14ac:dyDescent="0.2">
      <c r="A1178" s="50">
        <v>37725</v>
      </c>
      <c r="B1178" s="51">
        <v>5874.5</v>
      </c>
      <c r="C1178" s="53">
        <f>(Table26[[#This Row],[M2 Money Stock, Billions of Dollars, Weekly, Seasonally Adjusted]]-B1177)/B1177</f>
        <v>1.1588867869864142E-3</v>
      </c>
      <c r="D1178" s="54">
        <f>((1+Table26[[#This Row],[Weekly change]])^52)-1</f>
        <v>6.207784593921617E-2</v>
      </c>
      <c r="E1178" s="57">
        <f>(Table26[[#This Row],[M2 Money Stock, Billions of Dollars, Weekly, Seasonally Adjusted]]-B1126)/B1126</f>
        <v>7.042638483965015E-2</v>
      </c>
    </row>
    <row r="1179" spans="1:5" x14ac:dyDescent="0.2">
      <c r="A1179" s="50">
        <v>37732</v>
      </c>
      <c r="B1179" s="51">
        <v>5873.5</v>
      </c>
      <c r="C1179" s="53">
        <f>(Table26[[#This Row],[M2 Money Stock, Billions of Dollars, Weekly, Seasonally Adjusted]]-B1178)/B1178</f>
        <v>-1.7022725338326666E-4</v>
      </c>
      <c r="D1179" s="54">
        <f>((1+Table26[[#This Row],[Weekly change]])^52)-1</f>
        <v>-8.8135020388960816E-3</v>
      </c>
      <c r="E1179" s="57">
        <f>(Table26[[#This Row],[M2 Money Stock, Billions of Dollars, Weekly, Seasonally Adjusted]]-B1127)/B1127</f>
        <v>7.1181062153487046E-2</v>
      </c>
    </row>
    <row r="1180" spans="1:5" x14ac:dyDescent="0.2">
      <c r="A1180" s="50">
        <v>37739</v>
      </c>
      <c r="B1180" s="51">
        <v>5912.9</v>
      </c>
      <c r="C1180" s="53">
        <f>(Table26[[#This Row],[M2 Money Stock, Billions of Dollars, Weekly, Seasonally Adjusted]]-B1179)/B1179</f>
        <v>6.7080956840043643E-3</v>
      </c>
      <c r="D1180" s="54">
        <f>((1+Table26[[#This Row],[Weekly change]])^52)-1</f>
        <v>0.41574546009209912</v>
      </c>
      <c r="E1180" s="57">
        <f>(Table26[[#This Row],[M2 Money Stock, Billions of Dollars, Weekly, Seasonally Adjusted]]-B1128)/B1128</f>
        <v>7.817001568141202E-2</v>
      </c>
    </row>
    <row r="1181" spans="1:5" x14ac:dyDescent="0.2">
      <c r="A1181" s="50">
        <v>37746</v>
      </c>
      <c r="B1181" s="51">
        <v>5947.3</v>
      </c>
      <c r="C1181" s="53">
        <f>(Table26[[#This Row],[M2 Money Stock, Billions of Dollars, Weekly, Seasonally Adjusted]]-B1180)/B1180</f>
        <v>5.8177882257438055E-3</v>
      </c>
      <c r="D1181" s="54">
        <f>((1+Table26[[#This Row],[Weekly change]])^52)-1</f>
        <v>0.35208571315132087</v>
      </c>
      <c r="E1181" s="57">
        <f>(Table26[[#This Row],[M2 Money Stock, Billions of Dollars, Weekly, Seasonally Adjusted]]-B1129)/B1129</f>
        <v>8.2074888104508636E-2</v>
      </c>
    </row>
    <row r="1182" spans="1:5" x14ac:dyDescent="0.2">
      <c r="A1182" s="50">
        <v>37753</v>
      </c>
      <c r="B1182" s="51">
        <v>5946.3</v>
      </c>
      <c r="C1182" s="53">
        <f>(Table26[[#This Row],[M2 Money Stock, Billions of Dollars, Weekly, Seasonally Adjusted]]-B1181)/B1181</f>
        <v>-1.6814352731491601E-4</v>
      </c>
      <c r="D1182" s="54">
        <f>((1+Table26[[#This Row],[Weekly change]])^52)-1</f>
        <v>-8.7060792652974284E-3</v>
      </c>
      <c r="E1182" s="57">
        <f>(Table26[[#This Row],[M2 Money Stock, Billions of Dollars, Weekly, Seasonally Adjusted]]-B1130)/B1130</f>
        <v>8.0143866596428734E-2</v>
      </c>
    </row>
    <row r="1183" spans="1:5" x14ac:dyDescent="0.2">
      <c r="A1183" s="50">
        <v>37760</v>
      </c>
      <c r="B1183" s="51">
        <v>5938.8</v>
      </c>
      <c r="C1183" s="53">
        <f>(Table26[[#This Row],[M2 Money Stock, Billions of Dollars, Weekly, Seasonally Adjusted]]-B1182)/B1182</f>
        <v>-1.2612885323646638E-3</v>
      </c>
      <c r="D1183" s="54">
        <f>((1+Table26[[#This Row],[Weekly change]])^52)-1</f>
        <v>-6.3521205365244415E-2</v>
      </c>
      <c r="E1183" s="57">
        <f>(Table26[[#This Row],[M2 Money Stock, Billions of Dollars, Weekly, Seasonally Adjusted]]-B1131)/B1131</f>
        <v>7.6844968268359057E-2</v>
      </c>
    </row>
    <row r="1184" spans="1:5" x14ac:dyDescent="0.2">
      <c r="A1184" s="50">
        <v>37767</v>
      </c>
      <c r="B1184" s="51">
        <v>5947.3</v>
      </c>
      <c r="C1184" s="53">
        <f>(Table26[[#This Row],[M2 Money Stock, Billions of Dollars, Weekly, Seasonally Adjusted]]-B1183)/B1183</f>
        <v>1.4312655755371454E-3</v>
      </c>
      <c r="D1184" s="54">
        <f>((1+Table26[[#This Row],[Weekly change]])^52)-1</f>
        <v>7.7208097546687116E-2</v>
      </c>
      <c r="E1184" s="57">
        <f>(Table26[[#This Row],[M2 Money Stock, Billions of Dollars, Weekly, Seasonally Adjusted]]-B1132)/B1132</f>
        <v>7.7546065624263943E-2</v>
      </c>
    </row>
    <row r="1185" spans="1:5" x14ac:dyDescent="0.2">
      <c r="A1185" s="50">
        <v>37774</v>
      </c>
      <c r="B1185" s="51">
        <v>5956.5</v>
      </c>
      <c r="C1185" s="53">
        <f>(Table26[[#This Row],[M2 Money Stock, Billions of Dollars, Weekly, Seasonally Adjusted]]-B1184)/B1184</f>
        <v>1.5469204512971967E-3</v>
      </c>
      <c r="D1185" s="54">
        <f>((1+Table26[[#This Row],[Weekly change]])^52)-1</f>
        <v>8.3696313881507223E-2</v>
      </c>
      <c r="E1185" s="57">
        <f>(Table26[[#This Row],[M2 Money Stock, Billions of Dollars, Weekly, Seasonally Adjusted]]-B1133)/B1133</f>
        <v>8.1093344465215933E-2</v>
      </c>
    </row>
    <row r="1186" spans="1:5" x14ac:dyDescent="0.2">
      <c r="A1186" s="50">
        <v>37781</v>
      </c>
      <c r="B1186" s="51">
        <v>5963.7</v>
      </c>
      <c r="C1186" s="53">
        <f>(Table26[[#This Row],[M2 Money Stock, Billions of Dollars, Weekly, Seasonally Adjusted]]-B1185)/B1185</f>
        <v>1.2087635356333112E-3</v>
      </c>
      <c r="D1186" s="54">
        <f>((1+Table26[[#This Row],[Weekly change]])^52)-1</f>
        <v>6.4832751087588347E-2</v>
      </c>
      <c r="E1186" s="57">
        <f>(Table26[[#This Row],[M2 Money Stock, Billions of Dollars, Weekly, Seasonally Adjusted]]-B1134)/B1134</f>
        <v>7.9734941067839807E-2</v>
      </c>
    </row>
    <row r="1187" spans="1:5" x14ac:dyDescent="0.2">
      <c r="A1187" s="50">
        <v>37788</v>
      </c>
      <c r="B1187" s="51">
        <v>5985.3</v>
      </c>
      <c r="C1187" s="53">
        <f>(Table26[[#This Row],[M2 Money Stock, Billions of Dollars, Weekly, Seasonally Adjusted]]-B1186)/B1186</f>
        <v>3.6219125710549431E-3</v>
      </c>
      <c r="D1187" s="54">
        <f>((1+Table26[[#This Row],[Weekly change]])^52)-1</f>
        <v>0.20683255049634974</v>
      </c>
      <c r="E1187" s="57">
        <f>(Table26[[#This Row],[M2 Money Stock, Billions of Dollars, Weekly, Seasonally Adjusted]]-B1135)/B1135</f>
        <v>8.1569959702922093E-2</v>
      </c>
    </row>
    <row r="1188" spans="1:5" x14ac:dyDescent="0.2">
      <c r="A1188" s="50">
        <v>37795</v>
      </c>
      <c r="B1188" s="51">
        <v>5988.7</v>
      </c>
      <c r="C1188" s="53">
        <f>(Table26[[#This Row],[M2 Money Stock, Billions of Dollars, Weekly, Seasonally Adjusted]]-B1187)/B1187</f>
        <v>5.6805840977054386E-4</v>
      </c>
      <c r="D1188" s="54">
        <f>((1+Table26[[#This Row],[Weekly change]])^52)-1</f>
        <v>2.9971004150146419E-2</v>
      </c>
      <c r="E1188" s="57">
        <f>(Table26[[#This Row],[M2 Money Stock, Billions of Dollars, Weekly, Seasonally Adjusted]]-B1136)/B1136</f>
        <v>8.1109867494674553E-2</v>
      </c>
    </row>
    <row r="1189" spans="1:5" x14ac:dyDescent="0.2">
      <c r="A1189" s="50">
        <v>37802</v>
      </c>
      <c r="B1189" s="51">
        <v>6003.4</v>
      </c>
      <c r="C1189" s="53">
        <f>(Table26[[#This Row],[M2 Money Stock, Billions of Dollars, Weekly, Seasonally Adjusted]]-B1188)/B1188</f>
        <v>2.4546228730775994E-3</v>
      </c>
      <c r="D1189" s="54">
        <f>((1+Table26[[#This Row],[Weekly change]])^52)-1</f>
        <v>0.13596668214503715</v>
      </c>
      <c r="E1189" s="57">
        <f>(Table26[[#This Row],[M2 Money Stock, Billions of Dollars, Weekly, Seasonally Adjusted]]-B1137)/B1137</f>
        <v>8.0875733679017653E-2</v>
      </c>
    </row>
    <row r="1190" spans="1:5" x14ac:dyDescent="0.2">
      <c r="A1190" s="50">
        <v>37809</v>
      </c>
      <c r="B1190" s="51">
        <v>6022.5</v>
      </c>
      <c r="C1190" s="53">
        <f>(Table26[[#This Row],[M2 Money Stock, Billions of Dollars, Weekly, Seasonally Adjusted]]-B1189)/B1189</f>
        <v>3.1815304660692883E-3</v>
      </c>
      <c r="D1190" s="54">
        <f>((1+Table26[[#This Row],[Weekly change]])^52)-1</f>
        <v>0.17960184915415045</v>
      </c>
      <c r="E1190" s="57">
        <f>(Table26[[#This Row],[M2 Money Stock, Billions of Dollars, Weekly, Seasonally Adjusted]]-B1138)/B1138</f>
        <v>8.5389370483176269E-2</v>
      </c>
    </row>
    <row r="1191" spans="1:5" x14ac:dyDescent="0.2">
      <c r="A1191" s="50">
        <v>37816</v>
      </c>
      <c r="B1191" s="51">
        <v>6017.9</v>
      </c>
      <c r="C1191" s="53">
        <f>(Table26[[#This Row],[M2 Money Stock, Billions of Dollars, Weekly, Seasonally Adjusted]]-B1190)/B1190</f>
        <v>-7.6380240763808448E-4</v>
      </c>
      <c r="D1191" s="54">
        <f>((1+Table26[[#This Row],[Weekly change]])^52)-1</f>
        <v>-3.8953900839611255E-2</v>
      </c>
      <c r="E1191" s="57">
        <f>(Table26[[#This Row],[M2 Money Stock, Billions of Dollars, Weekly, Seasonally Adjusted]]-B1139)/B1139</f>
        <v>8.0723367574168522E-2</v>
      </c>
    </row>
    <row r="1192" spans="1:5" x14ac:dyDescent="0.2">
      <c r="A1192" s="50">
        <v>37823</v>
      </c>
      <c r="B1192" s="51">
        <v>6024.6</v>
      </c>
      <c r="C1192" s="53">
        <f>(Table26[[#This Row],[M2 Money Stock, Billions of Dollars, Weekly, Seasonally Adjusted]]-B1191)/B1191</f>
        <v>1.1133451868593244E-3</v>
      </c>
      <c r="D1192" s="54">
        <f>((1+Table26[[#This Row],[Weekly change]])^52)-1</f>
        <v>5.9568495621437734E-2</v>
      </c>
      <c r="E1192" s="57">
        <f>(Table26[[#This Row],[M2 Money Stock, Billions of Dollars, Weekly, Seasonally Adjusted]]-B1140)/B1140</f>
        <v>7.9232574386901483E-2</v>
      </c>
    </row>
    <row r="1193" spans="1:5" x14ac:dyDescent="0.2">
      <c r="A1193" s="50">
        <v>37830</v>
      </c>
      <c r="B1193" s="51">
        <v>6035.5</v>
      </c>
      <c r="C1193" s="53">
        <f>(Table26[[#This Row],[M2 Money Stock, Billions of Dollars, Weekly, Seasonally Adjusted]]-B1192)/B1192</f>
        <v>1.8092487468047067E-3</v>
      </c>
      <c r="D1193" s="54">
        <f>((1+Table26[[#This Row],[Weekly change]])^52)-1</f>
        <v>9.8555274175412322E-2</v>
      </c>
      <c r="E1193" s="57">
        <f>(Table26[[#This Row],[M2 Money Stock, Billions of Dollars, Weekly, Seasonally Adjusted]]-B1141)/B1141</f>
        <v>7.7383077472331308E-2</v>
      </c>
    </row>
    <row r="1194" spans="1:5" x14ac:dyDescent="0.2">
      <c r="A1194" s="50">
        <v>37837</v>
      </c>
      <c r="B1194" s="51">
        <v>6075.9</v>
      </c>
      <c r="C1194" s="53">
        <f>(Table26[[#This Row],[M2 Money Stock, Billions of Dollars, Weekly, Seasonally Adjusted]]-B1193)/B1193</f>
        <v>6.6937287714356119E-3</v>
      </c>
      <c r="D1194" s="54">
        <f>((1+Table26[[#This Row],[Weekly change]])^52)-1</f>
        <v>0.41469521569936929</v>
      </c>
      <c r="E1194" s="57">
        <f>(Table26[[#This Row],[M2 Money Stock, Billions of Dollars, Weekly, Seasonally Adjusted]]-B1142)/B1142</f>
        <v>8.3009518377241423E-2</v>
      </c>
    </row>
    <row r="1195" spans="1:5" x14ac:dyDescent="0.2">
      <c r="A1195" s="50">
        <v>37844</v>
      </c>
      <c r="B1195" s="51">
        <v>6083.5</v>
      </c>
      <c r="C1195" s="53">
        <f>(Table26[[#This Row],[M2 Money Stock, Billions of Dollars, Weekly, Seasonally Adjusted]]-B1194)/B1194</f>
        <v>1.2508434964368018E-3</v>
      </c>
      <c r="D1195" s="54">
        <f>((1+Table26[[#This Row],[Weekly change]])^52)-1</f>
        <v>6.7162456223632372E-2</v>
      </c>
      <c r="E1195" s="57">
        <f>(Table26[[#This Row],[M2 Money Stock, Billions of Dollars, Weekly, Seasonally Adjusted]]-B1143)/B1143</f>
        <v>8.3167153336657001E-2</v>
      </c>
    </row>
    <row r="1196" spans="1:5" x14ac:dyDescent="0.2">
      <c r="A1196" s="50">
        <v>37851</v>
      </c>
      <c r="B1196" s="51">
        <v>6118.7</v>
      </c>
      <c r="C1196" s="53">
        <f>(Table26[[#This Row],[M2 Money Stock, Billions of Dollars, Weekly, Seasonally Adjusted]]-B1195)/B1195</f>
        <v>5.786142845401466E-3</v>
      </c>
      <c r="D1196" s="54">
        <f>((1+Table26[[#This Row],[Weekly change]])^52)-1</f>
        <v>0.34987541842123449</v>
      </c>
      <c r="E1196" s="57">
        <f>(Table26[[#This Row],[M2 Money Stock, Billions of Dollars, Weekly, Seasonally Adjusted]]-B1144)/B1144</f>
        <v>8.9085472215300276E-2</v>
      </c>
    </row>
    <row r="1197" spans="1:5" x14ac:dyDescent="0.2">
      <c r="A1197" s="50">
        <v>37858</v>
      </c>
      <c r="B1197" s="51">
        <v>6071.3</v>
      </c>
      <c r="C1197" s="53">
        <f>(Table26[[#This Row],[M2 Money Stock, Billions of Dollars, Weekly, Seasonally Adjusted]]-B1196)/B1196</f>
        <v>-7.7467435893244707E-3</v>
      </c>
      <c r="D1197" s="54">
        <f>((1+Table26[[#This Row],[Weekly change]])^52)-1</f>
        <v>-0.33262227227639107</v>
      </c>
      <c r="E1197" s="57">
        <f>(Table26[[#This Row],[M2 Money Stock, Billions of Dollars, Weekly, Seasonally Adjusted]]-B1145)/B1145</f>
        <v>7.9706923227401222E-2</v>
      </c>
    </row>
    <row r="1198" spans="1:5" x14ac:dyDescent="0.2">
      <c r="A1198" s="50">
        <v>37865</v>
      </c>
      <c r="B1198" s="51">
        <v>6085.7</v>
      </c>
      <c r="C1198" s="53">
        <f>(Table26[[#This Row],[M2 Money Stock, Billions of Dollars, Weekly, Seasonally Adjusted]]-B1197)/B1197</f>
        <v>2.371814932551453E-3</v>
      </c>
      <c r="D1198" s="54">
        <f>((1+Table26[[#This Row],[Weekly change]])^52)-1</f>
        <v>0.13109743652502193</v>
      </c>
      <c r="E1198" s="57">
        <f>(Table26[[#This Row],[M2 Money Stock, Billions of Dollars, Weekly, Seasonally Adjusted]]-B1146)/B1146</f>
        <v>8.1095004618773545E-2</v>
      </c>
    </row>
    <row r="1199" spans="1:5" x14ac:dyDescent="0.2">
      <c r="A1199" s="50">
        <v>37872</v>
      </c>
      <c r="B1199" s="51">
        <v>6071.3</v>
      </c>
      <c r="C1199" s="53">
        <f>(Table26[[#This Row],[M2 Money Stock, Billions of Dollars, Weekly, Seasonally Adjusted]]-B1198)/B1198</f>
        <v>-2.366202737565052E-3</v>
      </c>
      <c r="D1199" s="54">
        <f>((1+Table26[[#This Row],[Weekly change]])^52)-1</f>
        <v>-0.11590286768554048</v>
      </c>
      <c r="E1199" s="57">
        <f>(Table26[[#This Row],[M2 Money Stock, Billions of Dollars, Weekly, Seasonally Adjusted]]-B1147)/B1147</f>
        <v>7.6738906820842015E-2</v>
      </c>
    </row>
    <row r="1200" spans="1:5" x14ac:dyDescent="0.2">
      <c r="A1200" s="50">
        <v>37879</v>
      </c>
      <c r="B1200" s="51">
        <v>6066</v>
      </c>
      <c r="C1200" s="53">
        <f>(Table26[[#This Row],[M2 Money Stock, Billions of Dollars, Weekly, Seasonally Adjusted]]-B1199)/B1199</f>
        <v>-8.7295966267523953E-4</v>
      </c>
      <c r="D1200" s="54">
        <f>((1+Table26[[#This Row],[Weekly change]])^52)-1</f>
        <v>-4.4397958826672412E-2</v>
      </c>
      <c r="E1200" s="57">
        <f>(Table26[[#This Row],[M2 Money Stock, Billions of Dollars, Weekly, Seasonally Adjusted]]-B1148)/B1148</f>
        <v>7.4712541856386053E-2</v>
      </c>
    </row>
    <row r="1201" spans="1:5" x14ac:dyDescent="0.2">
      <c r="A1201" s="50">
        <v>37886</v>
      </c>
      <c r="B1201" s="51">
        <v>6053.1</v>
      </c>
      <c r="C1201" s="53">
        <f>(Table26[[#This Row],[M2 Money Stock, Billions of Dollars, Weekly, Seasonally Adjusted]]-B1200)/B1200</f>
        <v>-2.1266073194855977E-3</v>
      </c>
      <c r="D1201" s="54">
        <f>((1+Table26[[#This Row],[Weekly change]])^52)-1</f>
        <v>-0.10479392114556962</v>
      </c>
      <c r="E1201" s="57">
        <f>(Table26[[#This Row],[M2 Money Stock, Billions of Dollars, Weekly, Seasonally Adjusted]]-B1149)/B1149</f>
        <v>7.3054422974649952E-2</v>
      </c>
    </row>
    <row r="1202" spans="1:5" x14ac:dyDescent="0.2">
      <c r="A1202" s="50">
        <v>37893</v>
      </c>
      <c r="B1202" s="51">
        <v>6048.8</v>
      </c>
      <c r="C1202" s="53">
        <f>(Table26[[#This Row],[M2 Money Stock, Billions of Dollars, Weekly, Seasonally Adjusted]]-B1201)/B1201</f>
        <v>-7.1037980538900421E-4</v>
      </c>
      <c r="D1202" s="54">
        <f>((1+Table26[[#This Row],[Weekly change]])^52)-1</f>
        <v>-3.6278452003936423E-2</v>
      </c>
      <c r="E1202" s="57">
        <f>(Table26[[#This Row],[M2 Money Stock, Billions of Dollars, Weekly, Seasonally Adjusted]]-B1150)/B1150</f>
        <v>6.959966048946109E-2</v>
      </c>
    </row>
    <row r="1203" spans="1:5" x14ac:dyDescent="0.2">
      <c r="A1203" s="50">
        <v>37900</v>
      </c>
      <c r="B1203" s="51">
        <v>6044.8</v>
      </c>
      <c r="C1203" s="53">
        <f>(Table26[[#This Row],[M2 Money Stock, Billions of Dollars, Weekly, Seasonally Adjusted]]-B1202)/B1202</f>
        <v>-6.6128818939293742E-4</v>
      </c>
      <c r="D1203" s="54">
        <f>((1+Table26[[#This Row],[Weekly change]])^52)-1</f>
        <v>-3.3813462797287142E-2</v>
      </c>
      <c r="E1203" s="57">
        <f>(Table26[[#This Row],[M2 Money Stock, Billions of Dollars, Weekly, Seasonally Adjusted]]-B1151)/B1151</f>
        <v>6.7589763515303478E-2</v>
      </c>
    </row>
    <row r="1204" spans="1:5" x14ac:dyDescent="0.2">
      <c r="A1204" s="50">
        <v>37907</v>
      </c>
      <c r="B1204" s="51">
        <v>6051.1</v>
      </c>
      <c r="C1204" s="53">
        <f>(Table26[[#This Row],[M2 Money Stock, Billions of Dollars, Weekly, Seasonally Adjusted]]-B1203)/B1203</f>
        <v>1.0422181048173938E-3</v>
      </c>
      <c r="D1204" s="54">
        <f>((1+Table26[[#This Row],[Weekly change]])^52)-1</f>
        <v>5.5661008821987767E-2</v>
      </c>
      <c r="E1204" s="57">
        <f>(Table26[[#This Row],[M2 Money Stock, Billions of Dollars, Weekly, Seasonally Adjusted]]-B1152)/B1152</f>
        <v>6.5935033821871505E-2</v>
      </c>
    </row>
    <row r="1205" spans="1:5" x14ac:dyDescent="0.2">
      <c r="A1205" s="50">
        <v>37914</v>
      </c>
      <c r="B1205" s="51">
        <v>6054.9</v>
      </c>
      <c r="C1205" s="53">
        <f>(Table26[[#This Row],[M2 Money Stock, Billions of Dollars, Weekly, Seasonally Adjusted]]-B1204)/B1204</f>
        <v>6.2798499446369623E-4</v>
      </c>
      <c r="D1205" s="54">
        <f>((1+Table26[[#This Row],[Weekly change]])^52)-1</f>
        <v>3.31836634489453E-2</v>
      </c>
      <c r="E1205" s="57">
        <f>(Table26[[#This Row],[M2 Money Stock, Billions of Dollars, Weekly, Seasonally Adjusted]]-B1153)/B1153</f>
        <v>6.3569295626207556E-2</v>
      </c>
    </row>
    <row r="1206" spans="1:5" x14ac:dyDescent="0.2">
      <c r="A1206" s="50">
        <v>37921</v>
      </c>
      <c r="B1206" s="51">
        <v>6055.7</v>
      </c>
      <c r="C1206" s="53">
        <f>(Table26[[#This Row],[M2 Money Stock, Billions of Dollars, Weekly, Seasonally Adjusted]]-B1205)/B1205</f>
        <v>1.3212439511803365E-4</v>
      </c>
      <c r="D1206" s="54">
        <f>((1+Table26[[#This Row],[Weekly change]])^52)-1</f>
        <v>6.8936673926429659E-3</v>
      </c>
      <c r="E1206" s="57">
        <f>(Table26[[#This Row],[M2 Money Stock, Billions of Dollars, Weekly, Seasonally Adjusted]]-B1154)/B1154</f>
        <v>6.1249167572114543E-2</v>
      </c>
    </row>
    <row r="1207" spans="1:5" x14ac:dyDescent="0.2">
      <c r="A1207" s="50">
        <v>37928</v>
      </c>
      <c r="B1207" s="51">
        <v>6044.4</v>
      </c>
      <c r="C1207" s="53">
        <f>(Table26[[#This Row],[M2 Money Stock, Billions of Dollars, Weekly, Seasonally Adjusted]]-B1206)/B1206</f>
        <v>-1.8660105355285403E-3</v>
      </c>
      <c r="D1207" s="54">
        <f>((1+Table26[[#This Row],[Weekly change]])^52)-1</f>
        <v>-9.2555791078951843E-2</v>
      </c>
      <c r="E1207" s="57">
        <f>(Table26[[#This Row],[M2 Money Stock, Billions of Dollars, Weekly, Seasonally Adjusted]]-B1155)/B1155</f>
        <v>5.6030190261544079E-2</v>
      </c>
    </row>
    <row r="1208" spans="1:5" x14ac:dyDescent="0.2">
      <c r="A1208" s="50">
        <v>37935</v>
      </c>
      <c r="B1208" s="51">
        <v>6057.5</v>
      </c>
      <c r="C1208" s="53">
        <f>(Table26[[#This Row],[M2 Money Stock, Billions of Dollars, Weekly, Seasonally Adjusted]]-B1207)/B1207</f>
        <v>2.1672953477599702E-3</v>
      </c>
      <c r="D1208" s="54">
        <f>((1+Table26[[#This Row],[Weekly change]])^52)-1</f>
        <v>0.11915888524964324</v>
      </c>
      <c r="E1208" s="57">
        <f>(Table26[[#This Row],[M2 Money Stock, Billions of Dollars, Weekly, Seasonally Adjusted]]-B1156)/B1156</f>
        <v>5.6786461967899514E-2</v>
      </c>
    </row>
    <row r="1209" spans="1:5" x14ac:dyDescent="0.2">
      <c r="A1209" s="50">
        <v>37942</v>
      </c>
      <c r="B1209" s="51">
        <v>6061.8</v>
      </c>
      <c r="C1209" s="53">
        <f>(Table26[[#This Row],[M2 Money Stock, Billions of Dollars, Weekly, Seasonally Adjusted]]-B1208)/B1208</f>
        <v>7.0986380520019507E-4</v>
      </c>
      <c r="D1209" s="54">
        <f>((1+Table26[[#This Row],[Weekly change]])^52)-1</f>
        <v>3.7589072547264735E-2</v>
      </c>
      <c r="E1209" s="57">
        <f>(Table26[[#This Row],[M2 Money Stock, Billions of Dollars, Weekly, Seasonally Adjusted]]-B1157)/B1157</f>
        <v>5.5455922553235941E-2</v>
      </c>
    </row>
    <row r="1210" spans="1:5" x14ac:dyDescent="0.2">
      <c r="A1210" s="50">
        <v>37949</v>
      </c>
      <c r="B1210" s="51">
        <v>6049.6</v>
      </c>
      <c r="C1210" s="53">
        <f>(Table26[[#This Row],[M2 Money Stock, Billions of Dollars, Weekly, Seasonally Adjusted]]-B1209)/B1209</f>
        <v>-2.0126035171070997E-3</v>
      </c>
      <c r="D1210" s="54">
        <f>((1+Table26[[#This Row],[Weekly change]])^52)-1</f>
        <v>-9.9460129423747712E-2</v>
      </c>
      <c r="E1210" s="57">
        <f>(Table26[[#This Row],[M2 Money Stock, Billions of Dollars, Weekly, Seasonally Adjusted]]-B1158)/B1158</f>
        <v>5.4856146469049759E-2</v>
      </c>
    </row>
    <row r="1211" spans="1:5" x14ac:dyDescent="0.2">
      <c r="A1211" s="50">
        <v>37956</v>
      </c>
      <c r="B1211" s="51">
        <v>6061.1</v>
      </c>
      <c r="C1211" s="53">
        <f>(Table26[[#This Row],[M2 Money Stock, Billions of Dollars, Weekly, Seasonally Adjusted]]-B1210)/B1210</f>
        <v>1.9009521290663843E-3</v>
      </c>
      <c r="D1211" s="54">
        <f>((1+Table26[[#This Row],[Weekly change]])^52)-1</f>
        <v>0.10379658208078513</v>
      </c>
      <c r="E1211" s="57">
        <f>(Table26[[#This Row],[M2 Money Stock, Billions of Dollars, Weekly, Seasonally Adjusted]]-B1159)/B1159</f>
        <v>5.2840938699647511E-2</v>
      </c>
    </row>
    <row r="1212" spans="1:5" x14ac:dyDescent="0.2">
      <c r="A1212" s="50">
        <v>37963</v>
      </c>
      <c r="B1212" s="51">
        <v>6052.5</v>
      </c>
      <c r="C1212" s="53">
        <f>(Table26[[#This Row],[M2 Money Stock, Billions of Dollars, Weekly, Seasonally Adjusted]]-B1211)/B1211</f>
        <v>-1.4188843609246446E-3</v>
      </c>
      <c r="D1212" s="54">
        <f>((1+Table26[[#This Row],[Weekly change]])^52)-1</f>
        <v>-7.1174487175588164E-2</v>
      </c>
      <c r="E1212" s="57">
        <f>(Table26[[#This Row],[M2 Money Stock, Billions of Dollars, Weekly, Seasonally Adjusted]]-B1160)/B1160</f>
        <v>5.2407365547460422E-2</v>
      </c>
    </row>
    <row r="1213" spans="1:5" x14ac:dyDescent="0.2">
      <c r="A1213" s="50">
        <v>37970</v>
      </c>
      <c r="B1213" s="51">
        <v>6054.1</v>
      </c>
      <c r="C1213" s="53">
        <f>(Table26[[#This Row],[M2 Money Stock, Billions of Dollars, Weekly, Seasonally Adjusted]]-B1212)/B1212</f>
        <v>2.6435357290381889E-4</v>
      </c>
      <c r="D1213" s="54">
        <f>((1+Table26[[#This Row],[Weekly change]])^52)-1</f>
        <v>1.3839459994873904E-2</v>
      </c>
      <c r="E1213" s="57">
        <f>(Table26[[#This Row],[M2 Money Stock, Billions of Dollars, Weekly, Seasonally Adjusted]]-B1161)/B1161</f>
        <v>5.0293188994136317E-2</v>
      </c>
    </row>
    <row r="1214" spans="1:5" x14ac:dyDescent="0.2">
      <c r="A1214" s="50">
        <v>37977</v>
      </c>
      <c r="B1214" s="51">
        <v>6056.4</v>
      </c>
      <c r="C1214" s="53">
        <f>(Table26[[#This Row],[M2 Money Stock, Billions of Dollars, Weekly, Seasonally Adjusted]]-B1213)/B1213</f>
        <v>3.7990783105651909E-4</v>
      </c>
      <c r="D1214" s="54">
        <f>((1+Table26[[#This Row],[Weekly change]])^52)-1</f>
        <v>1.9947806191181972E-2</v>
      </c>
      <c r="E1214" s="57">
        <f>(Table26[[#This Row],[M2 Money Stock, Billions of Dollars, Weekly, Seasonally Adjusted]]-B1162)/B1162</f>
        <v>5.1421825631054449E-2</v>
      </c>
    </row>
    <row r="1215" spans="1:5" x14ac:dyDescent="0.2">
      <c r="A1215" s="50">
        <v>37984</v>
      </c>
      <c r="B1215" s="51">
        <v>6053.1</v>
      </c>
      <c r="C1215" s="53">
        <f>(Table26[[#This Row],[M2 Money Stock, Billions of Dollars, Weekly, Seasonally Adjusted]]-B1214)/B1214</f>
        <v>-5.4487814543281038E-4</v>
      </c>
      <c r="D1215" s="54">
        <f>((1+Table26[[#This Row],[Weekly change]])^52)-1</f>
        <v>-2.7943535893838023E-2</v>
      </c>
      <c r="E1215" s="57">
        <f>(Table26[[#This Row],[M2 Money Stock, Billions of Dollars, Weekly, Seasonally Adjusted]]-B1163)/B1163</f>
        <v>5.0465959773007336E-2</v>
      </c>
    </row>
    <row r="1216" spans="1:5" x14ac:dyDescent="0.2">
      <c r="A1216" s="50">
        <v>37991</v>
      </c>
      <c r="B1216" s="51">
        <v>6053</v>
      </c>
      <c r="C1216" s="53">
        <f>(Table26[[#This Row],[M2 Money Stock, Billions of Dollars, Weekly, Seasonally Adjusted]]-B1215)/B1215</f>
        <v>-1.6520460590501361E-5</v>
      </c>
      <c r="D1216" s="54">
        <f>((1+Table26[[#This Row],[Weekly change]])^52)-1</f>
        <v>-8.5870215096528479E-4</v>
      </c>
      <c r="E1216" s="57">
        <f>(Table26[[#This Row],[M2 Money Stock, Billions of Dollars, Weekly, Seasonally Adjusted]]-B1164)/B1164</f>
        <v>4.8501645591546856E-2</v>
      </c>
    </row>
    <row r="1217" spans="1:5" x14ac:dyDescent="0.2">
      <c r="A1217" s="50">
        <v>37998</v>
      </c>
      <c r="B1217" s="51">
        <v>6051.7</v>
      </c>
      <c r="C1217" s="53">
        <f>(Table26[[#This Row],[M2 Money Stock, Billions of Dollars, Weekly, Seasonally Adjusted]]-B1216)/B1216</f>
        <v>-2.1476953576741813E-4</v>
      </c>
      <c r="D1217" s="54">
        <f>((1+Table26[[#This Row],[Weekly change]])^52)-1</f>
        <v>-1.1107071203298235E-2</v>
      </c>
      <c r="E1217" s="57">
        <f>(Table26[[#This Row],[M2 Money Stock, Billions of Dollars, Weekly, Seasonally Adjusted]]-B1165)/B1165</f>
        <v>4.6409489391869632E-2</v>
      </c>
    </row>
    <row r="1218" spans="1:5" x14ac:dyDescent="0.2">
      <c r="A1218" s="50">
        <v>38005</v>
      </c>
      <c r="B1218" s="51">
        <v>6056.6</v>
      </c>
      <c r="C1218" s="53">
        <f>(Table26[[#This Row],[M2 Money Stock, Billions of Dollars, Weekly, Seasonally Adjusted]]-B1217)/B1217</f>
        <v>8.0968983921882209E-4</v>
      </c>
      <c r="D1218" s="54">
        <f>((1+Table26[[#This Row],[Weekly change]])^52)-1</f>
        <v>4.2985042733891365E-2</v>
      </c>
      <c r="E1218" s="57">
        <f>(Table26[[#This Row],[M2 Money Stock, Billions of Dollars, Weekly, Seasonally Adjusted]]-B1166)/B1166</f>
        <v>4.4709697450581426E-2</v>
      </c>
    </row>
    <row r="1219" spans="1:5" x14ac:dyDescent="0.2">
      <c r="A1219" s="50">
        <v>38012</v>
      </c>
      <c r="B1219" s="51">
        <v>6071</v>
      </c>
      <c r="C1219" s="53">
        <f>(Table26[[#This Row],[M2 Money Stock, Billions of Dollars, Weekly, Seasonally Adjusted]]-B1218)/B1218</f>
        <v>2.3775715748108896E-3</v>
      </c>
      <c r="D1219" s="54">
        <f>((1+Table26[[#This Row],[Weekly change]])^52)-1</f>
        <v>0.13143527363970797</v>
      </c>
      <c r="E1219" s="57">
        <f>(Table26[[#This Row],[M2 Money Stock, Billions of Dollars, Weekly, Seasonally Adjusted]]-B1167)/B1167</f>
        <v>4.5570405070267356E-2</v>
      </c>
    </row>
    <row r="1220" spans="1:5" x14ac:dyDescent="0.2">
      <c r="A1220" s="50">
        <v>38019</v>
      </c>
      <c r="B1220" s="51">
        <v>6084.8</v>
      </c>
      <c r="C1220" s="53">
        <f>(Table26[[#This Row],[M2 Money Stock, Billions of Dollars, Weekly, Seasonally Adjusted]]-B1219)/B1219</f>
        <v>2.2731016307033737E-3</v>
      </c>
      <c r="D1220" s="54">
        <f>((1+Table26[[#This Row],[Weekly change]])^52)-1</f>
        <v>0.1253196698435437</v>
      </c>
      <c r="E1220" s="57">
        <f>(Table26[[#This Row],[M2 Money Stock, Billions of Dollars, Weekly, Seasonally Adjusted]]-B1168)/B1168</f>
        <v>4.8452684540629919E-2</v>
      </c>
    </row>
    <row r="1221" spans="1:5" x14ac:dyDescent="0.2">
      <c r="A1221" s="50">
        <v>38026</v>
      </c>
      <c r="B1221" s="51">
        <v>6084.6</v>
      </c>
      <c r="C1221" s="53">
        <f>(Table26[[#This Row],[M2 Money Stock, Billions of Dollars, Weekly, Seasonally Adjusted]]-B1220)/B1220</f>
        <v>-3.2868787799076073E-5</v>
      </c>
      <c r="D1221" s="54">
        <f>((1+Table26[[#This Row],[Weekly change]])^52)-1</f>
        <v>-1.7077451963442014E-3</v>
      </c>
      <c r="E1221" s="57">
        <f>(Table26[[#This Row],[M2 Money Stock, Billions of Dollars, Weekly, Seasonally Adjusted]]-B1169)/B1169</f>
        <v>4.4405156284865986E-2</v>
      </c>
    </row>
    <row r="1222" spans="1:5" x14ac:dyDescent="0.2">
      <c r="A1222" s="50">
        <v>38033</v>
      </c>
      <c r="B1222" s="51">
        <v>6103.4</v>
      </c>
      <c r="C1222" s="53">
        <f>(Table26[[#This Row],[M2 Money Stock, Billions of Dollars, Weekly, Seasonally Adjusted]]-B1221)/B1221</f>
        <v>3.089767610031764E-3</v>
      </c>
      <c r="D1222" s="54">
        <f>((1+Table26[[#This Row],[Weekly change]])^52)-1</f>
        <v>0.17400409862164423</v>
      </c>
      <c r="E1222" s="57">
        <f>(Table26[[#This Row],[M2 Money Stock, Billions of Dollars, Weekly, Seasonally Adjusted]]-B1170)/B1170</f>
        <v>4.385154780229171E-2</v>
      </c>
    </row>
    <row r="1223" spans="1:5" x14ac:dyDescent="0.2">
      <c r="A1223" s="50">
        <v>38040</v>
      </c>
      <c r="B1223" s="51">
        <v>6107.8</v>
      </c>
      <c r="C1223" s="53">
        <f>(Table26[[#This Row],[M2 Money Stock, Billions of Dollars, Weekly, Seasonally Adjusted]]-B1222)/B1222</f>
        <v>7.2090965691263002E-4</v>
      </c>
      <c r="D1223" s="54">
        <f>((1+Table26[[#This Row],[Weekly change]])^52)-1</f>
        <v>3.8184792308691762E-2</v>
      </c>
      <c r="E1223" s="57">
        <f>(Table26[[#This Row],[M2 Money Stock, Billions of Dollars, Weekly, Seasonally Adjusted]]-B1171)/B1171</f>
        <v>4.890949682294353E-2</v>
      </c>
    </row>
    <row r="1224" spans="1:5" x14ac:dyDescent="0.2">
      <c r="A1224" s="50">
        <v>38047</v>
      </c>
      <c r="B1224" s="51">
        <v>6117.5</v>
      </c>
      <c r="C1224" s="53">
        <f>(Table26[[#This Row],[M2 Money Stock, Billions of Dollars, Weekly, Seasonally Adjusted]]-B1223)/B1223</f>
        <v>1.5881332067192472E-3</v>
      </c>
      <c r="D1224" s="54">
        <f>((1+Table26[[#This Row],[Weekly change]])^52)-1</f>
        <v>8.6017591431380769E-2</v>
      </c>
      <c r="E1224" s="57">
        <f>(Table26[[#This Row],[M2 Money Stock, Billions of Dollars, Weekly, Seasonally Adjusted]]-B1172)/B1172</f>
        <v>4.9547926638873196E-2</v>
      </c>
    </row>
    <row r="1225" spans="1:5" x14ac:dyDescent="0.2">
      <c r="A1225" s="50">
        <v>38054</v>
      </c>
      <c r="B1225" s="51">
        <v>6112.5</v>
      </c>
      <c r="C1225" s="53">
        <f>(Table26[[#This Row],[M2 Money Stock, Billions of Dollars, Weekly, Seasonally Adjusted]]-B1224)/B1224</f>
        <v>-8.1732733959950961E-4</v>
      </c>
      <c r="D1225" s="54">
        <f>((1+Table26[[#This Row],[Weekly change]])^52)-1</f>
        <v>-4.162716846405401E-2</v>
      </c>
      <c r="E1225" s="57">
        <f>(Table26[[#This Row],[M2 Money Stock, Billions of Dollars, Weekly, Seasonally Adjusted]]-B1173)/B1173</f>
        <v>4.5855077423218413E-2</v>
      </c>
    </row>
    <row r="1226" spans="1:5" x14ac:dyDescent="0.2">
      <c r="A1226" s="50">
        <v>38061</v>
      </c>
      <c r="B1226" s="51">
        <v>6128.3</v>
      </c>
      <c r="C1226" s="53">
        <f>(Table26[[#This Row],[M2 Money Stock, Billions of Dollars, Weekly, Seasonally Adjusted]]-B1225)/B1225</f>
        <v>2.5848670756646514E-3</v>
      </c>
      <c r="D1226" s="54">
        <f>((1+Table26[[#This Row],[Weekly change]])^52)-1</f>
        <v>0.14366688570913211</v>
      </c>
      <c r="E1226" s="57">
        <f>(Table26[[#This Row],[M2 Money Stock, Billions of Dollars, Weekly, Seasonally Adjusted]]-B1174)/B1174</f>
        <v>4.6552931331864743E-2</v>
      </c>
    </row>
    <row r="1227" spans="1:5" x14ac:dyDescent="0.2">
      <c r="A1227" s="50">
        <v>38068</v>
      </c>
      <c r="B1227" s="51">
        <v>6148.6</v>
      </c>
      <c r="C1227" s="53">
        <f>(Table26[[#This Row],[M2 Money Stock, Billions of Dollars, Weekly, Seasonally Adjusted]]-B1226)/B1226</f>
        <v>3.3125010198587178E-3</v>
      </c>
      <c r="D1227" s="54">
        <f>((1+Table26[[#This Row],[Weekly change]])^52)-1</f>
        <v>0.18763673106446488</v>
      </c>
      <c r="E1227" s="57">
        <f>(Table26[[#This Row],[M2 Money Stock, Billions of Dollars, Weekly, Seasonally Adjusted]]-B1175)/B1175</f>
        <v>5.1474109036185781E-2</v>
      </c>
    </row>
    <row r="1228" spans="1:5" x14ac:dyDescent="0.2">
      <c r="A1228" s="50">
        <v>38075</v>
      </c>
      <c r="B1228" s="51">
        <v>6156.1</v>
      </c>
      <c r="C1228" s="53">
        <f>(Table26[[#This Row],[M2 Money Stock, Billions of Dollars, Weekly, Seasonally Adjusted]]-B1227)/B1227</f>
        <v>1.2197898708649123E-3</v>
      </c>
      <c r="D1228" s="54">
        <f>((1+Table26[[#This Row],[Weekly change]])^52)-1</f>
        <v>6.5442727811102053E-2</v>
      </c>
      <c r="E1228" s="57">
        <f>(Table26[[#This Row],[M2 Money Stock, Billions of Dollars, Weekly, Seasonally Adjusted]]-B1176)/B1176</f>
        <v>5.086973592120312E-2</v>
      </c>
    </row>
    <row r="1229" spans="1:5" x14ac:dyDescent="0.2">
      <c r="A1229" s="50">
        <v>38082</v>
      </c>
      <c r="B1229" s="51">
        <v>6161.7</v>
      </c>
      <c r="C1229" s="53">
        <f>(Table26[[#This Row],[M2 Money Stock, Billions of Dollars, Weekly, Seasonally Adjusted]]-B1228)/B1228</f>
        <v>9.0966683452176772E-4</v>
      </c>
      <c r="D1229" s="54">
        <f>((1+Table26[[#This Row],[Weekly change]])^52)-1</f>
        <v>4.8416754749719182E-2</v>
      </c>
      <c r="E1229" s="57">
        <f>(Table26[[#This Row],[M2 Money Stock, Billions of Dollars, Weekly, Seasonally Adjusted]]-B1177)/B1177</f>
        <v>5.0104811084411269E-2</v>
      </c>
    </row>
    <row r="1230" spans="1:5" x14ac:dyDescent="0.2">
      <c r="A1230" s="50">
        <v>38089</v>
      </c>
      <c r="B1230" s="51">
        <v>6160.2</v>
      </c>
      <c r="C1230" s="53">
        <f>(Table26[[#This Row],[M2 Money Stock, Billions of Dollars, Weekly, Seasonally Adjusted]]-B1229)/B1229</f>
        <v>-2.4343931057987245E-4</v>
      </c>
      <c r="D1230" s="54">
        <f>((1+Table26[[#This Row],[Weekly change]])^52)-1</f>
        <v>-1.2580579697938798E-2</v>
      </c>
      <c r="E1230" s="57">
        <f>(Table26[[#This Row],[M2 Money Stock, Billions of Dollars, Weekly, Seasonally Adjusted]]-B1178)/B1178</f>
        <v>4.8633926291599253E-2</v>
      </c>
    </row>
    <row r="1231" spans="1:5" x14ac:dyDescent="0.2">
      <c r="A1231" s="50">
        <v>38096</v>
      </c>
      <c r="B1231" s="51">
        <v>6163.6</v>
      </c>
      <c r="C1231" s="53">
        <f>(Table26[[#This Row],[M2 Money Stock, Billions of Dollars, Weekly, Seasonally Adjusted]]-B1230)/B1230</f>
        <v>5.5193013213865555E-4</v>
      </c>
      <c r="D1231" s="54">
        <f>((1+Table26[[#This Row],[Weekly change]])^52)-1</f>
        <v>2.9108043091896851E-2</v>
      </c>
      <c r="E1231" s="57">
        <f>(Table26[[#This Row],[M2 Money Stock, Billions of Dollars, Weekly, Seasonally Adjusted]]-B1179)/B1179</f>
        <v>4.9391333957606261E-2</v>
      </c>
    </row>
    <row r="1232" spans="1:5" x14ac:dyDescent="0.2">
      <c r="A1232" s="50">
        <v>38103</v>
      </c>
      <c r="B1232" s="51">
        <v>6195.8</v>
      </c>
      <c r="C1232" s="53">
        <f>(Table26[[#This Row],[M2 Money Stock, Billions of Dollars, Weekly, Seasonally Adjusted]]-B1231)/B1231</f>
        <v>5.224219611915085E-3</v>
      </c>
      <c r="D1232" s="54">
        <f>((1+Table26[[#This Row],[Weekly change]])^52)-1</f>
        <v>0.31121249437088405</v>
      </c>
      <c r="E1232" s="57">
        <f>(Table26[[#This Row],[M2 Money Stock, Billions of Dollars, Weekly, Seasonally Adjusted]]-B1180)/B1180</f>
        <v>4.7844543286712199E-2</v>
      </c>
    </row>
    <row r="1233" spans="1:5" x14ac:dyDescent="0.2">
      <c r="A1233" s="50">
        <v>38110</v>
      </c>
      <c r="B1233" s="51">
        <v>6226.4</v>
      </c>
      <c r="C1233" s="53">
        <f>(Table26[[#This Row],[M2 Money Stock, Billions of Dollars, Weekly, Seasonally Adjusted]]-B1232)/B1232</f>
        <v>4.9388295296813088E-3</v>
      </c>
      <c r="D1233" s="54">
        <f>((1+Table26[[#This Row],[Weekly change]])^52)-1</f>
        <v>0.29199433798723895</v>
      </c>
      <c r="E1233" s="57">
        <f>(Table26[[#This Row],[M2 Money Stock, Billions of Dollars, Weekly, Seasonally Adjusted]]-B1181)/B1181</f>
        <v>4.6928858473592967E-2</v>
      </c>
    </row>
    <row r="1234" spans="1:5" x14ac:dyDescent="0.2">
      <c r="A1234" s="50">
        <v>38117</v>
      </c>
      <c r="B1234" s="51">
        <v>6247.5</v>
      </c>
      <c r="C1234" s="53">
        <f>(Table26[[#This Row],[M2 Money Stock, Billions of Dollars, Weekly, Seasonally Adjusted]]-B1233)/B1233</f>
        <v>3.3887960940511956E-3</v>
      </c>
      <c r="D1234" s="54">
        <f>((1+Table26[[#This Row],[Weekly change]])^52)-1</f>
        <v>0.19234205613674482</v>
      </c>
      <c r="E1234" s="57">
        <f>(Table26[[#This Row],[M2 Money Stock, Billions of Dollars, Weekly, Seasonally Adjusted]]-B1182)/B1182</f>
        <v>5.0653347459764866E-2</v>
      </c>
    </row>
    <row r="1235" spans="1:5" x14ac:dyDescent="0.2">
      <c r="A1235" s="50">
        <v>38124</v>
      </c>
      <c r="B1235" s="51">
        <v>6269.2</v>
      </c>
      <c r="C1235" s="53">
        <f>(Table26[[#This Row],[M2 Money Stock, Billions of Dollars, Weekly, Seasonally Adjusted]]-B1234)/B1234</f>
        <v>3.473389355742268E-3</v>
      </c>
      <c r="D1235" s="54">
        <f>((1+Table26[[#This Row],[Weekly change]])^52)-1</f>
        <v>0.19758052904888035</v>
      </c>
      <c r="E1235" s="57">
        <f>(Table26[[#This Row],[M2 Money Stock, Billions of Dollars, Weekly, Seasonally Adjusted]]-B1183)/B1183</f>
        <v>5.5634134842055573E-2</v>
      </c>
    </row>
    <row r="1236" spans="1:5" x14ac:dyDescent="0.2">
      <c r="A1236" s="50">
        <v>38131</v>
      </c>
      <c r="B1236" s="51">
        <v>6256.2</v>
      </c>
      <c r="C1236" s="53">
        <f>(Table26[[#This Row],[M2 Money Stock, Billions of Dollars, Weekly, Seasonally Adjusted]]-B1235)/B1235</f>
        <v>-2.0736298092260577E-3</v>
      </c>
      <c r="D1236" s="54">
        <f>((1+Table26[[#This Row],[Weekly change]])^52)-1</f>
        <v>-0.1023191756624372</v>
      </c>
      <c r="E1236" s="57">
        <f>(Table26[[#This Row],[M2 Money Stock, Billions of Dollars, Weekly, Seasonally Adjusted]]-B1184)/B1184</f>
        <v>5.1939535587577496E-2</v>
      </c>
    </row>
    <row r="1237" spans="1:5" x14ac:dyDescent="0.2">
      <c r="A1237" s="50">
        <v>38138</v>
      </c>
      <c r="B1237" s="51">
        <v>6259.4</v>
      </c>
      <c r="C1237" s="53">
        <f>(Table26[[#This Row],[M2 Money Stock, Billions of Dollars, Weekly, Seasonally Adjusted]]-B1236)/B1236</f>
        <v>5.1149259934142426E-4</v>
      </c>
      <c r="D1237" s="54">
        <f>((1+Table26[[#This Row],[Weekly change]])^52)-1</f>
        <v>2.6947505513977399E-2</v>
      </c>
      <c r="E1237" s="57">
        <f>(Table26[[#This Row],[M2 Money Stock, Billions of Dollars, Weekly, Seasonally Adjusted]]-B1185)/B1185</f>
        <v>5.0852010408797048E-2</v>
      </c>
    </row>
    <row r="1238" spans="1:5" x14ac:dyDescent="0.2">
      <c r="A1238" s="50">
        <v>38145</v>
      </c>
      <c r="B1238" s="51">
        <v>6250.1</v>
      </c>
      <c r="C1238" s="53">
        <f>(Table26[[#This Row],[M2 Money Stock, Billions of Dollars, Weekly, Seasonally Adjusted]]-B1237)/B1237</f>
        <v>-1.485765408825011E-3</v>
      </c>
      <c r="D1238" s="54">
        <f>((1+Table26[[#This Row],[Weekly change]])^52)-1</f>
        <v>-7.4403841269115589E-2</v>
      </c>
      <c r="E1238" s="57">
        <f>(Table26[[#This Row],[M2 Money Stock, Billions of Dollars, Weekly, Seasonally Adjusted]]-B1186)/B1186</f>
        <v>4.8023877793987049E-2</v>
      </c>
    </row>
    <row r="1239" spans="1:5" x14ac:dyDescent="0.2">
      <c r="A1239" s="50">
        <v>38152</v>
      </c>
      <c r="B1239" s="51">
        <v>6259.4</v>
      </c>
      <c r="C1239" s="53">
        <f>(Table26[[#This Row],[M2 Money Stock, Billions of Dollars, Weekly, Seasonally Adjusted]]-B1238)/B1238</f>
        <v>1.4879761923808053E-3</v>
      </c>
      <c r="D1239" s="54">
        <f>((1+Table26[[#This Row],[Weekly change]])^52)-1</f>
        <v>8.0384777494241888E-2</v>
      </c>
      <c r="E1239" s="57">
        <f>(Table26[[#This Row],[M2 Money Stock, Billions of Dollars, Weekly, Seasonally Adjusted]]-B1187)/B1187</f>
        <v>4.5795532387683066E-2</v>
      </c>
    </row>
    <row r="1240" spans="1:5" x14ac:dyDescent="0.2">
      <c r="A1240" s="50">
        <v>38159</v>
      </c>
      <c r="B1240" s="51">
        <v>6260.6</v>
      </c>
      <c r="C1240" s="53">
        <f>(Table26[[#This Row],[M2 Money Stock, Billions of Dollars, Weekly, Seasonally Adjusted]]-B1239)/B1239</f>
        <v>1.9171166565497134E-4</v>
      </c>
      <c r="D1240" s="54">
        <f>((1+Table26[[#This Row],[Weekly change]])^52)-1</f>
        <v>1.0017897657102814E-2</v>
      </c>
      <c r="E1240" s="57">
        <f>(Table26[[#This Row],[M2 Money Stock, Billions of Dollars, Weekly, Seasonally Adjusted]]-B1188)/B1188</f>
        <v>4.540217409454482E-2</v>
      </c>
    </row>
    <row r="1241" spans="1:5" x14ac:dyDescent="0.2">
      <c r="A1241" s="50">
        <v>38166</v>
      </c>
      <c r="B1241" s="51">
        <v>6259.3</v>
      </c>
      <c r="C1241" s="53">
        <f>(Table26[[#This Row],[M2 Money Stock, Billions of Dollars, Weekly, Seasonally Adjusted]]-B1240)/B1240</f>
        <v>-2.0764782928156756E-4</v>
      </c>
      <c r="D1241" s="54">
        <f>((1+Table26[[#This Row],[Weekly change]])^52)-1</f>
        <v>-1.074071052237624E-2</v>
      </c>
      <c r="E1241" s="57">
        <f>(Table26[[#This Row],[M2 Money Stock, Billions of Dollars, Weekly, Seasonally Adjusted]]-B1189)/B1189</f>
        <v>4.2625845354299322E-2</v>
      </c>
    </row>
    <row r="1242" spans="1:5" x14ac:dyDescent="0.2">
      <c r="A1242" s="50">
        <v>38173</v>
      </c>
      <c r="B1242" s="51">
        <v>6256.5</v>
      </c>
      <c r="C1242" s="53">
        <f>(Table26[[#This Row],[M2 Money Stock, Billions of Dollars, Weekly, Seasonally Adjusted]]-B1241)/B1241</f>
        <v>-4.4733436646273252E-4</v>
      </c>
      <c r="D1242" s="54">
        <f>((1+Table26[[#This Row],[Weekly change]])^52)-1</f>
        <v>-2.2998011292733933E-2</v>
      </c>
      <c r="E1242" s="57">
        <f>(Table26[[#This Row],[M2 Money Stock, Billions of Dollars, Weekly, Seasonally Adjusted]]-B1190)/B1190</f>
        <v>3.8854296388542965E-2</v>
      </c>
    </row>
    <row r="1243" spans="1:5" x14ac:dyDescent="0.2">
      <c r="A1243" s="50">
        <v>38180</v>
      </c>
      <c r="B1243" s="51">
        <v>6269.4</v>
      </c>
      <c r="C1243" s="53">
        <f>(Table26[[#This Row],[M2 Money Stock, Billions of Dollars, Weekly, Seasonally Adjusted]]-B1242)/B1242</f>
        <v>2.0618556701030347E-3</v>
      </c>
      <c r="D1243" s="54">
        <f>((1+Table26[[#This Row],[Weekly change]])^52)-1</f>
        <v>0.11305235873615049</v>
      </c>
      <c r="E1243" s="57">
        <f>(Table26[[#This Row],[M2 Money Stock, Billions of Dollars, Weekly, Seasonally Adjusted]]-B1191)/B1191</f>
        <v>4.1791987238073085E-2</v>
      </c>
    </row>
    <row r="1244" spans="1:5" x14ac:dyDescent="0.2">
      <c r="A1244" s="50">
        <v>38187</v>
      </c>
      <c r="B1244" s="51">
        <v>6268</v>
      </c>
      <c r="C1244" s="53">
        <f>(Table26[[#This Row],[M2 Money Stock, Billions of Dollars, Weekly, Seasonally Adjusted]]-B1243)/B1243</f>
        <v>-2.2330685552040646E-4</v>
      </c>
      <c r="D1244" s="54">
        <f>((1+Table26[[#This Row],[Weekly change]])^52)-1</f>
        <v>-1.1546079655866404E-2</v>
      </c>
      <c r="E1244" s="57">
        <f>(Table26[[#This Row],[M2 Money Stock, Billions of Dollars, Weekly, Seasonally Adjusted]]-B1192)/B1192</f>
        <v>4.040102247452107E-2</v>
      </c>
    </row>
    <row r="1245" spans="1:5" x14ac:dyDescent="0.2">
      <c r="A1245" s="50">
        <v>38194</v>
      </c>
      <c r="B1245" s="51">
        <v>6278.2</v>
      </c>
      <c r="C1245" s="53">
        <f>(Table26[[#This Row],[M2 Money Stock, Billions of Dollars, Weekly, Seasonally Adjusted]]-B1244)/B1244</f>
        <v>1.6273133375877182E-3</v>
      </c>
      <c r="D1245" s="54">
        <f>((1+Table26[[#This Row],[Weekly change]])^52)-1</f>
        <v>8.8228904307134703E-2</v>
      </c>
      <c r="E1245" s="57">
        <f>(Table26[[#This Row],[M2 Money Stock, Billions of Dollars, Weekly, Seasonally Adjusted]]-B1193)/B1193</f>
        <v>4.0212078535332582E-2</v>
      </c>
    </row>
    <row r="1246" spans="1:5" x14ac:dyDescent="0.2">
      <c r="A1246" s="50">
        <v>38201</v>
      </c>
      <c r="B1246" s="51">
        <v>6281.8</v>
      </c>
      <c r="C1246" s="53">
        <f>(Table26[[#This Row],[M2 Money Stock, Billions of Dollars, Weekly, Seasonally Adjusted]]-B1245)/B1245</f>
        <v>5.7341276161963046E-4</v>
      </c>
      <c r="D1246" s="54">
        <f>((1+Table26[[#This Row],[Weekly change]])^52)-1</f>
        <v>3.0257651465388946E-2</v>
      </c>
      <c r="E1246" s="57">
        <f>(Table26[[#This Row],[M2 Money Stock, Billions of Dollars, Weekly, Seasonally Adjusted]]-B1194)/B1194</f>
        <v>3.3887983673200769E-2</v>
      </c>
    </row>
    <row r="1247" spans="1:5" x14ac:dyDescent="0.2">
      <c r="A1247" s="50">
        <v>38208</v>
      </c>
      <c r="B1247" s="51">
        <v>6285.9</v>
      </c>
      <c r="C1247" s="53">
        <f>(Table26[[#This Row],[M2 Money Stock, Billions of Dollars, Weekly, Seasonally Adjusted]]-B1246)/B1246</f>
        <v>6.5267916839113857E-4</v>
      </c>
      <c r="D1247" s="54">
        <f>((1+Table26[[#This Row],[Weekly change]])^52)-1</f>
        <v>3.4510373632425484E-2</v>
      </c>
      <c r="E1247" s="57">
        <f>(Table26[[#This Row],[M2 Money Stock, Billions of Dollars, Weekly, Seasonally Adjusted]]-B1195)/B1195</f>
        <v>3.3270321361058543E-2</v>
      </c>
    </row>
    <row r="1248" spans="1:5" x14ac:dyDescent="0.2">
      <c r="A1248" s="50">
        <v>38215</v>
      </c>
      <c r="B1248" s="51">
        <v>6301.5</v>
      </c>
      <c r="C1248" s="53">
        <f>(Table26[[#This Row],[M2 Money Stock, Billions of Dollars, Weekly, Seasonally Adjusted]]-B1247)/B1247</f>
        <v>2.4817448575383582E-3</v>
      </c>
      <c r="D1248" s="54">
        <f>((1+Table26[[#This Row],[Weekly change]])^52)-1</f>
        <v>0.13756596520150222</v>
      </c>
      <c r="E1248" s="57">
        <f>(Table26[[#This Row],[M2 Money Stock, Billions of Dollars, Weekly, Seasonally Adjusted]]-B1196)/B1196</f>
        <v>2.9875627175707287E-2</v>
      </c>
    </row>
    <row r="1249" spans="1:5" x14ac:dyDescent="0.2">
      <c r="A1249" s="50">
        <v>38222</v>
      </c>
      <c r="B1249" s="51">
        <v>6305.5</v>
      </c>
      <c r="C1249" s="53">
        <f>(Table26[[#This Row],[M2 Money Stock, Billions of Dollars, Weekly, Seasonally Adjusted]]-B1248)/B1248</f>
        <v>6.3476949932555744E-4</v>
      </c>
      <c r="D1249" s="54">
        <f>((1+Table26[[#This Row],[Weekly change]])^52)-1</f>
        <v>3.3547998938337376E-2</v>
      </c>
      <c r="E1249" s="57">
        <f>(Table26[[#This Row],[M2 Money Stock, Billions of Dollars, Weekly, Seasonally Adjusted]]-B1197)/B1197</f>
        <v>3.8574934528025268E-2</v>
      </c>
    </row>
    <row r="1250" spans="1:5" x14ac:dyDescent="0.2">
      <c r="A1250" s="50">
        <v>38229</v>
      </c>
      <c r="B1250" s="51">
        <v>6298.2</v>
      </c>
      <c r="C1250" s="53">
        <f>(Table26[[#This Row],[M2 Money Stock, Billions of Dollars, Weekly, Seasonally Adjusted]]-B1249)/B1249</f>
        <v>-1.1577194512727273E-3</v>
      </c>
      <c r="D1250" s="54">
        <f>((1+Table26[[#This Row],[Weekly change]])^52)-1</f>
        <v>-5.845796642825607E-2</v>
      </c>
      <c r="E1250" s="57">
        <f>(Table26[[#This Row],[M2 Money Stock, Billions of Dollars, Weekly, Seasonally Adjusted]]-B1198)/B1198</f>
        <v>3.4917922342540708E-2</v>
      </c>
    </row>
    <row r="1251" spans="1:5" x14ac:dyDescent="0.2">
      <c r="A1251" s="50">
        <v>38236</v>
      </c>
      <c r="B1251" s="51">
        <v>6308.5</v>
      </c>
      <c r="C1251" s="53">
        <f>(Table26[[#This Row],[M2 Money Stock, Billions of Dollars, Weekly, Seasonally Adjusted]]-B1250)/B1250</f>
        <v>1.6353878886031219E-3</v>
      </c>
      <c r="D1251" s="54">
        <f>((1+Table26[[#This Row],[Weekly change]])^52)-1</f>
        <v>8.8685177657716441E-2</v>
      </c>
      <c r="E1251" s="57">
        <f>(Table26[[#This Row],[M2 Money Stock, Billions of Dollars, Weekly, Seasonally Adjusted]]-B1199)/B1199</f>
        <v>3.9069062638973501E-2</v>
      </c>
    </row>
    <row r="1252" spans="1:5" x14ac:dyDescent="0.2">
      <c r="A1252" s="50">
        <v>38243</v>
      </c>
      <c r="B1252" s="51">
        <v>6320.8</v>
      </c>
      <c r="C1252" s="53">
        <f>(Table26[[#This Row],[M2 Money Stock, Billions of Dollars, Weekly, Seasonally Adjusted]]-B1251)/B1251</f>
        <v>1.9497503368471399E-3</v>
      </c>
      <c r="D1252" s="54">
        <f>((1+Table26[[#This Row],[Weekly change]])^52)-1</f>
        <v>0.10659563406877082</v>
      </c>
      <c r="E1252" s="57">
        <f>(Table26[[#This Row],[M2 Money Stock, Billions of Dollars, Weekly, Seasonally Adjusted]]-B1200)/B1200</f>
        <v>4.2004615891856278E-2</v>
      </c>
    </row>
    <row r="1253" spans="1:5" x14ac:dyDescent="0.2">
      <c r="A1253" s="50">
        <v>38250</v>
      </c>
      <c r="B1253" s="51">
        <v>6341.5</v>
      </c>
      <c r="C1253" s="53">
        <f>(Table26[[#This Row],[M2 Money Stock, Billions of Dollars, Weekly, Seasonally Adjusted]]-B1252)/B1252</f>
        <v>3.2749019111504582E-3</v>
      </c>
      <c r="D1253" s="54">
        <f>((1+Table26[[#This Row],[Weekly change]])^52)-1</f>
        <v>0.18532459528071499</v>
      </c>
      <c r="E1253" s="57">
        <f>(Table26[[#This Row],[M2 Money Stock, Billions of Dollars, Weekly, Seasonally Adjusted]]-B1201)/B1201</f>
        <v>4.7645008342832536E-2</v>
      </c>
    </row>
    <row r="1254" spans="1:5" x14ac:dyDescent="0.2">
      <c r="A1254" s="50">
        <v>38257</v>
      </c>
      <c r="B1254" s="51">
        <v>6348.8</v>
      </c>
      <c r="C1254" s="53">
        <f>(Table26[[#This Row],[M2 Money Stock, Billions of Dollars, Weekly, Seasonally Adjusted]]-B1253)/B1253</f>
        <v>1.1511472049200004E-3</v>
      </c>
      <c r="D1254" s="54">
        <f>((1+Table26[[#This Row],[Weekly change]])^52)-1</f>
        <v>6.1650982866573001E-2</v>
      </c>
      <c r="E1254" s="57">
        <f>(Table26[[#This Row],[M2 Money Stock, Billions of Dollars, Weekly, Seasonally Adjusted]]-B1202)/B1202</f>
        <v>4.9596614204470306E-2</v>
      </c>
    </row>
    <row r="1255" spans="1:5" x14ac:dyDescent="0.2">
      <c r="A1255" s="50">
        <v>38264</v>
      </c>
      <c r="B1255" s="51">
        <v>6341.2</v>
      </c>
      <c r="C1255" s="53">
        <f>(Table26[[#This Row],[M2 Money Stock, Billions of Dollars, Weekly, Seasonally Adjusted]]-B1254)/B1254</f>
        <v>-1.1970766129032831E-3</v>
      </c>
      <c r="D1255" s="54">
        <f>((1+Table26[[#This Row],[Weekly change]])^52)-1</f>
        <v>-6.0385196707872124E-2</v>
      </c>
      <c r="E1255" s="57">
        <f>(Table26[[#This Row],[M2 Money Stock, Billions of Dollars, Weekly, Seasonally Adjusted]]-B1203)/B1203</f>
        <v>4.9033880359978764E-2</v>
      </c>
    </row>
    <row r="1256" spans="1:5" x14ac:dyDescent="0.2">
      <c r="A1256" s="50">
        <v>38271</v>
      </c>
      <c r="B1256" s="51">
        <v>6348.6</v>
      </c>
      <c r="C1256" s="53">
        <f>(Table26[[#This Row],[M2 Money Stock, Billions of Dollars, Weekly, Seasonally Adjusted]]-B1255)/B1255</f>
        <v>1.166971551126056E-3</v>
      </c>
      <c r="D1256" s="54">
        <f>((1+Table26[[#This Row],[Weekly change]])^52)-1</f>
        <v>6.2523926682120035E-2</v>
      </c>
      <c r="E1256" s="57">
        <f>(Table26[[#This Row],[M2 Money Stock, Billions of Dollars, Weekly, Seasonally Adjusted]]-B1204)/B1204</f>
        <v>4.9164614698154051E-2</v>
      </c>
    </row>
    <row r="1257" spans="1:5" x14ac:dyDescent="0.2">
      <c r="A1257" s="50">
        <v>38278</v>
      </c>
      <c r="B1257" s="51">
        <v>6355.1</v>
      </c>
      <c r="C1257" s="53">
        <f>(Table26[[#This Row],[M2 Money Stock, Billions of Dollars, Weekly, Seasonally Adjusted]]-B1256)/B1256</f>
        <v>1.0238477774627476E-3</v>
      </c>
      <c r="D1257" s="54">
        <f>((1+Table26[[#This Row],[Weekly change]])^52)-1</f>
        <v>5.4654102401171301E-2</v>
      </c>
      <c r="E1257" s="57">
        <f>(Table26[[#This Row],[M2 Money Stock, Billions of Dollars, Weekly, Seasonally Adjusted]]-B1205)/B1205</f>
        <v>4.9579679268030974E-2</v>
      </c>
    </row>
    <row r="1258" spans="1:5" x14ac:dyDescent="0.2">
      <c r="A1258" s="50">
        <v>38285</v>
      </c>
      <c r="B1258" s="51">
        <v>6368</v>
      </c>
      <c r="C1258" s="53">
        <f>(Table26[[#This Row],[M2 Money Stock, Billions of Dollars, Weekly, Seasonally Adjusted]]-B1257)/B1257</f>
        <v>2.0298657770923567E-3</v>
      </c>
      <c r="D1258" s="54">
        <f>((1+Table26[[#This Row],[Weekly change]])^52)-1</f>
        <v>0.11120613769740206</v>
      </c>
      <c r="E1258" s="57">
        <f>(Table26[[#This Row],[M2 Money Stock, Billions of Dollars, Weekly, Seasonally Adjusted]]-B1206)/B1206</f>
        <v>5.1571246924385319E-2</v>
      </c>
    </row>
    <row r="1259" spans="1:5" x14ac:dyDescent="0.2">
      <c r="A1259" s="50">
        <v>38292</v>
      </c>
      <c r="B1259" s="51">
        <v>6381.7</v>
      </c>
      <c r="C1259" s="53">
        <f>(Table26[[#This Row],[M2 Money Stock, Billions of Dollars, Weekly, Seasonally Adjusted]]-B1258)/B1258</f>
        <v>2.1513819095477101E-3</v>
      </c>
      <c r="D1259" s="54">
        <f>((1+Table26[[#This Row],[Weekly change]])^52)-1</f>
        <v>0.11823515950981012</v>
      </c>
      <c r="E1259" s="57">
        <f>(Table26[[#This Row],[M2 Money Stock, Billions of Dollars, Weekly, Seasonally Adjusted]]-B1207)/B1207</f>
        <v>5.5803719144993748E-2</v>
      </c>
    </row>
    <row r="1260" spans="1:5" x14ac:dyDescent="0.2">
      <c r="A1260" s="50">
        <v>38299</v>
      </c>
      <c r="B1260" s="51">
        <v>6374.6</v>
      </c>
      <c r="C1260" s="53">
        <f>(Table26[[#This Row],[M2 Money Stock, Billions of Dollars, Weekly, Seasonally Adjusted]]-B1259)/B1259</f>
        <v>-1.1125562154284054E-3</v>
      </c>
      <c r="D1260" s="54">
        <f>((1+Table26[[#This Row],[Weekly change]])^52)-1</f>
        <v>-5.6241648707699543E-2</v>
      </c>
      <c r="E1260" s="57">
        <f>(Table26[[#This Row],[M2 Money Stock, Billions of Dollars, Weekly, Seasonally Adjusted]]-B1208)/B1208</f>
        <v>5.2348328518365725E-2</v>
      </c>
    </row>
    <row r="1261" spans="1:5" x14ac:dyDescent="0.2">
      <c r="A1261" s="50">
        <v>38306</v>
      </c>
      <c r="B1261" s="51">
        <v>6387.2</v>
      </c>
      <c r="C1261" s="53">
        <f>(Table26[[#This Row],[M2 Money Stock, Billions of Dollars, Weekly, Seasonally Adjusted]]-B1260)/B1260</f>
        <v>1.9765946098577879E-3</v>
      </c>
      <c r="D1261" s="54">
        <f>((1+Table26[[#This Row],[Weekly change]])^52)-1</f>
        <v>0.10813838117851615</v>
      </c>
      <c r="E1261" s="57">
        <f>(Table26[[#This Row],[M2 Money Stock, Billions of Dollars, Weekly, Seasonally Adjusted]]-B1209)/B1209</f>
        <v>5.368042495628355E-2</v>
      </c>
    </row>
    <row r="1262" spans="1:5" x14ac:dyDescent="0.2">
      <c r="A1262" s="50">
        <v>38313</v>
      </c>
      <c r="B1262" s="51">
        <v>6393.6</v>
      </c>
      <c r="C1262" s="53">
        <f>(Table26[[#This Row],[M2 Money Stock, Billions of Dollars, Weekly, Seasonally Adjusted]]-B1261)/B1261</f>
        <v>1.0020040080161176E-3</v>
      </c>
      <c r="D1262" s="54">
        <f>((1+Table26[[#This Row],[Weekly change]])^52)-1</f>
        <v>5.345803705107155E-2</v>
      </c>
      <c r="E1262" s="57">
        <f>(Table26[[#This Row],[M2 Money Stock, Billions of Dollars, Weekly, Seasonally Adjusted]]-B1210)/B1210</f>
        <v>5.6863263686855327E-2</v>
      </c>
    </row>
    <row r="1263" spans="1:5" x14ac:dyDescent="0.2">
      <c r="A1263" s="50">
        <v>38320</v>
      </c>
      <c r="B1263" s="51">
        <v>6390</v>
      </c>
      <c r="C1263" s="53">
        <f>(Table26[[#This Row],[M2 Money Stock, Billions of Dollars, Weekly, Seasonally Adjusted]]-B1262)/B1262</f>
        <v>-5.6306306306311998E-4</v>
      </c>
      <c r="D1263" s="54">
        <f>((1+Table26[[#This Row],[Weekly change]])^52)-1</f>
        <v>-2.8862802305561264E-2</v>
      </c>
      <c r="E1263" s="57">
        <f>(Table26[[#This Row],[M2 Money Stock, Billions of Dollars, Weekly, Seasonally Adjusted]]-B1211)/B1211</f>
        <v>5.4264077477685503E-2</v>
      </c>
    </row>
    <row r="1264" spans="1:5" x14ac:dyDescent="0.2">
      <c r="A1264" s="50">
        <v>38327</v>
      </c>
      <c r="B1264" s="51">
        <v>6392.9</v>
      </c>
      <c r="C1264" s="53">
        <f>(Table26[[#This Row],[M2 Money Stock, Billions of Dollars, Weekly, Seasonally Adjusted]]-B1263)/B1263</f>
        <v>4.5383411580588985E-4</v>
      </c>
      <c r="D1264" s="54">
        <f>((1+Table26[[#This Row],[Weekly change]])^52)-1</f>
        <v>2.387456146154987E-2</v>
      </c>
      <c r="E1264" s="57">
        <f>(Table26[[#This Row],[M2 Money Stock, Billions of Dollars, Weekly, Seasonally Adjusted]]-B1212)/B1212</f>
        <v>5.6241222635274618E-2</v>
      </c>
    </row>
    <row r="1265" spans="1:5" x14ac:dyDescent="0.2">
      <c r="A1265" s="50">
        <v>38334</v>
      </c>
      <c r="B1265" s="51">
        <v>6399.6</v>
      </c>
      <c r="C1265" s="53">
        <f>(Table26[[#This Row],[M2 Money Stock, Billions of Dollars, Weekly, Seasonally Adjusted]]-B1264)/B1264</f>
        <v>1.0480376667867052E-3</v>
      </c>
      <c r="D1265" s="54">
        <f>((1+Table26[[#This Row],[Weekly change]])^52)-1</f>
        <v>5.5980184736267979E-2</v>
      </c>
      <c r="E1265" s="57">
        <f>(Table26[[#This Row],[M2 Money Stock, Billions of Dollars, Weekly, Seasonally Adjusted]]-B1213)/B1213</f>
        <v>5.7068763317421251E-2</v>
      </c>
    </row>
    <row r="1266" spans="1:5" x14ac:dyDescent="0.2">
      <c r="A1266" s="50">
        <v>38341</v>
      </c>
      <c r="B1266" s="51">
        <v>6416.1</v>
      </c>
      <c r="C1266" s="53">
        <f>(Table26[[#This Row],[M2 Money Stock, Billions of Dollars, Weekly, Seasonally Adjusted]]-B1265)/B1265</f>
        <v>2.5782861428839299E-3</v>
      </c>
      <c r="D1266" s="54">
        <f>((1+Table26[[#This Row],[Weekly change]])^52)-1</f>
        <v>0.14327658754450678</v>
      </c>
      <c r="E1266" s="57">
        <f>(Table26[[#This Row],[M2 Money Stock, Billions of Dollars, Weekly, Seasonally Adjusted]]-B1214)/B1214</f>
        <v>5.9391717852189545E-2</v>
      </c>
    </row>
    <row r="1267" spans="1:5" x14ac:dyDescent="0.2">
      <c r="A1267" s="50">
        <v>38348</v>
      </c>
      <c r="B1267" s="51">
        <v>6419.3</v>
      </c>
      <c r="C1267" s="53">
        <f>(Table26[[#This Row],[M2 Money Stock, Billions of Dollars, Weekly, Seasonally Adjusted]]-B1266)/B1266</f>
        <v>4.9874534374461403E-4</v>
      </c>
      <c r="D1267" s="54">
        <f>((1+Table26[[#This Row],[Weekly change]])^52)-1</f>
        <v>2.6267354875713522E-2</v>
      </c>
      <c r="E1267" s="57">
        <f>(Table26[[#This Row],[M2 Money Stock, Billions of Dollars, Weekly, Seasonally Adjusted]]-B1215)/B1215</f>
        <v>6.0497926682195863E-2</v>
      </c>
    </row>
    <row r="1268" spans="1:5" x14ac:dyDescent="0.2">
      <c r="A1268" s="50">
        <v>38355</v>
      </c>
      <c r="B1268" s="51">
        <v>6374.9</v>
      </c>
      <c r="C1268" s="53">
        <f>(Table26[[#This Row],[M2 Money Stock, Billions of Dollars, Weekly, Seasonally Adjusted]]-B1267)/B1267</f>
        <v>-6.9166420014644186E-3</v>
      </c>
      <c r="D1268" s="54">
        <f>((1+Table26[[#This Row],[Weekly change]])^52)-1</f>
        <v>-0.30296174729765857</v>
      </c>
      <c r="E1268" s="57">
        <f>(Table26[[#This Row],[M2 Money Stock, Billions of Dollars, Weekly, Seasonally Adjusted]]-B1216)/B1216</f>
        <v>5.3180241202709339E-2</v>
      </c>
    </row>
    <row r="1269" spans="1:5" x14ac:dyDescent="0.2">
      <c r="A1269" s="50">
        <v>38362</v>
      </c>
      <c r="B1269" s="51">
        <v>6384.6</v>
      </c>
      <c r="C1269" s="53">
        <f>(Table26[[#This Row],[M2 Money Stock, Billions of Dollars, Weekly, Seasonally Adjusted]]-B1268)/B1268</f>
        <v>1.5215924955686722E-3</v>
      </c>
      <c r="D1269" s="54">
        <f>((1+Table26[[#This Row],[Weekly change]])^52)-1</f>
        <v>8.2272150730605453E-2</v>
      </c>
      <c r="E1269" s="57">
        <f>(Table26[[#This Row],[M2 Money Stock, Billions of Dollars, Weekly, Seasonally Adjusted]]-B1217)/B1217</f>
        <v>5.500933621957476E-2</v>
      </c>
    </row>
    <row r="1270" spans="1:5" x14ac:dyDescent="0.2">
      <c r="A1270" s="50">
        <v>38369</v>
      </c>
      <c r="B1270" s="51">
        <v>6403.5</v>
      </c>
      <c r="C1270" s="53">
        <f>(Table26[[#This Row],[M2 Money Stock, Billions of Dollars, Weekly, Seasonally Adjusted]]-B1269)/B1269</f>
        <v>2.9602480969833089E-3</v>
      </c>
      <c r="D1270" s="54">
        <f>((1+Table26[[#This Row],[Weekly change]])^52)-1</f>
        <v>0.16614741733725436</v>
      </c>
      <c r="E1270" s="57">
        <f>(Table26[[#This Row],[M2 Money Stock, Billions of Dollars, Weekly, Seasonally Adjusted]]-B1218)/B1218</f>
        <v>5.7276359673744281E-2</v>
      </c>
    </row>
    <row r="1271" spans="1:5" x14ac:dyDescent="0.2">
      <c r="A1271" s="50">
        <v>38376</v>
      </c>
      <c r="B1271" s="51">
        <v>6405.6</v>
      </c>
      <c r="C1271" s="53">
        <f>(Table26[[#This Row],[M2 Money Stock, Billions of Dollars, Weekly, Seasonally Adjusted]]-B1270)/B1270</f>
        <v>3.2794565472013179E-4</v>
      </c>
      <c r="D1271" s="54">
        <f>((1+Table26[[#This Row],[Weekly change]])^52)-1</f>
        <v>1.7196565769383332E-2</v>
      </c>
      <c r="E1271" s="57">
        <f>(Table26[[#This Row],[M2 Money Stock, Billions of Dollars, Weekly, Seasonally Adjusted]]-B1219)/B1219</f>
        <v>5.5114478669082582E-2</v>
      </c>
    </row>
    <row r="1272" spans="1:5" x14ac:dyDescent="0.2">
      <c r="A1272" s="50">
        <v>38383</v>
      </c>
      <c r="B1272" s="51">
        <v>6402.4</v>
      </c>
      <c r="C1272" s="53">
        <f>(Table26[[#This Row],[M2 Money Stock, Billions of Dollars, Weekly, Seasonally Adjusted]]-B1271)/B1271</f>
        <v>-4.9956288247794548E-4</v>
      </c>
      <c r="D1272" s="54">
        <f>((1+Table26[[#This Row],[Weekly change]])^52)-1</f>
        <v>-2.5649087733764731E-2</v>
      </c>
      <c r="E1272" s="57">
        <f>(Table26[[#This Row],[M2 Money Stock, Billions of Dollars, Weekly, Seasonally Adjusted]]-B1220)/B1220</f>
        <v>5.2195635024980189E-2</v>
      </c>
    </row>
    <row r="1273" spans="1:5" x14ac:dyDescent="0.2">
      <c r="A1273" s="50">
        <v>38390</v>
      </c>
      <c r="B1273" s="51">
        <v>6412.6</v>
      </c>
      <c r="C1273" s="53">
        <f>(Table26[[#This Row],[M2 Money Stock, Billions of Dollars, Weekly, Seasonally Adjusted]]-B1272)/B1272</f>
        <v>1.5931525677871936E-3</v>
      </c>
      <c r="D1273" s="54">
        <f>((1+Table26[[#This Row],[Weekly change]])^52)-1</f>
        <v>8.6300636094792438E-2</v>
      </c>
      <c r="E1273" s="57">
        <f>(Table26[[#This Row],[M2 Money Stock, Billions of Dollars, Weekly, Seasonally Adjusted]]-B1221)/B1221</f>
        <v>5.3906583834598822E-2</v>
      </c>
    </row>
    <row r="1274" spans="1:5" x14ac:dyDescent="0.2">
      <c r="A1274" s="50">
        <v>38397</v>
      </c>
      <c r="B1274" s="51">
        <v>6413.2</v>
      </c>
      <c r="C1274" s="53">
        <f>(Table26[[#This Row],[M2 Money Stock, Billions of Dollars, Weekly, Seasonally Adjusted]]-B1273)/B1273</f>
        <v>9.3565792346233089E-5</v>
      </c>
      <c r="D1274" s="54">
        <f>((1+Table26[[#This Row],[Weekly change]])^52)-1</f>
        <v>4.8770478687223395E-3</v>
      </c>
      <c r="E1274" s="57">
        <f>(Table26[[#This Row],[M2 Money Stock, Billions of Dollars, Weekly, Seasonally Adjusted]]-B1222)/B1222</f>
        <v>5.0758593570796637E-2</v>
      </c>
    </row>
    <row r="1275" spans="1:5" x14ac:dyDescent="0.2">
      <c r="A1275" s="50">
        <v>38404</v>
      </c>
      <c r="B1275" s="51">
        <v>6427.8</v>
      </c>
      <c r="C1275" s="53">
        <f>(Table26[[#This Row],[M2 Money Stock, Billions of Dollars, Weekly, Seasonally Adjusted]]-B1274)/B1274</f>
        <v>2.2765546061249242E-3</v>
      </c>
      <c r="D1275" s="54">
        <f>((1+Table26[[#This Row],[Weekly change]])^52)-1</f>
        <v>0.12552128576238308</v>
      </c>
      <c r="E1275" s="57">
        <f>(Table26[[#This Row],[M2 Money Stock, Billions of Dollars, Weekly, Seasonally Adjusted]]-B1223)/B1223</f>
        <v>5.2392023314450371E-2</v>
      </c>
    </row>
    <row r="1276" spans="1:5" x14ac:dyDescent="0.2">
      <c r="A1276" s="50">
        <v>38411</v>
      </c>
      <c r="B1276" s="51">
        <v>6424.7</v>
      </c>
      <c r="C1276" s="53">
        <f>(Table26[[#This Row],[M2 Money Stock, Billions of Dollars, Weekly, Seasonally Adjusted]]-B1275)/B1275</f>
        <v>-4.8228009583377887E-4</v>
      </c>
      <c r="D1276" s="54">
        <f>((1+Table26[[#This Row],[Weekly change]])^52)-1</f>
        <v>-2.4772609718790695E-2</v>
      </c>
      <c r="E1276" s="57">
        <f>(Table26[[#This Row],[M2 Money Stock, Billions of Dollars, Weekly, Seasonally Adjusted]]-B1224)/B1224</f>
        <v>5.0216591744993842E-2</v>
      </c>
    </row>
    <row r="1277" spans="1:5" x14ac:dyDescent="0.2">
      <c r="A1277" s="50">
        <v>38418</v>
      </c>
      <c r="B1277" s="51">
        <v>6419.3</v>
      </c>
      <c r="C1277" s="53">
        <f>(Table26[[#This Row],[M2 Money Stock, Billions of Dollars, Weekly, Seasonally Adjusted]]-B1276)/B1276</f>
        <v>-8.4050617149433228E-4</v>
      </c>
      <c r="D1277" s="54">
        <f>((1+Table26[[#This Row],[Weekly change]])^52)-1</f>
        <v>-4.278255581353696E-2</v>
      </c>
      <c r="E1277" s="57">
        <f>(Table26[[#This Row],[M2 Money Stock, Billions of Dollars, Weekly, Seasonally Adjusted]]-B1225)/B1225</f>
        <v>5.0192229038854834E-2</v>
      </c>
    </row>
    <row r="1278" spans="1:5" x14ac:dyDescent="0.2">
      <c r="A1278" s="50">
        <v>38425</v>
      </c>
      <c r="B1278" s="51">
        <v>6422.4</v>
      </c>
      <c r="C1278" s="53">
        <f>(Table26[[#This Row],[M2 Money Stock, Billions of Dollars, Weekly, Seasonally Adjusted]]-B1277)/B1277</f>
        <v>4.829186983003527E-4</v>
      </c>
      <c r="D1278" s="54">
        <f>((1+Table26[[#This Row],[Weekly change]])^52)-1</f>
        <v>2.5423513125697683E-2</v>
      </c>
      <c r="E1278" s="57">
        <f>(Table26[[#This Row],[M2 Money Stock, Billions of Dollars, Weekly, Seasonally Adjusted]]-B1226)/B1226</f>
        <v>4.7990470440415683E-2</v>
      </c>
    </row>
    <row r="1279" spans="1:5" x14ac:dyDescent="0.2">
      <c r="A1279" s="50">
        <v>38432</v>
      </c>
      <c r="B1279" s="51">
        <v>6431.1</v>
      </c>
      <c r="C1279" s="53">
        <f>(Table26[[#This Row],[M2 Money Stock, Billions of Dollars, Weekly, Seasonally Adjusted]]-B1278)/B1278</f>
        <v>1.3546337817639399E-3</v>
      </c>
      <c r="D1279" s="54">
        <f>((1+Table26[[#This Row],[Weekly change]])^52)-1</f>
        <v>7.2930069715084311E-2</v>
      </c>
      <c r="E1279" s="57">
        <f>(Table26[[#This Row],[M2 Money Stock, Billions of Dollars, Weekly, Seasonally Adjusted]]-B1227)/B1227</f>
        <v>4.5945418469245027E-2</v>
      </c>
    </row>
    <row r="1280" spans="1:5" x14ac:dyDescent="0.2">
      <c r="A1280" s="50">
        <v>38439</v>
      </c>
      <c r="B1280" s="51">
        <v>6438.1</v>
      </c>
      <c r="C1280" s="53">
        <f>(Table26[[#This Row],[M2 Money Stock, Billions of Dollars, Weekly, Seasonally Adjusted]]-B1279)/B1279</f>
        <v>1.0884607609895664E-3</v>
      </c>
      <c r="D1280" s="54">
        <f>((1+Table26[[#This Row],[Weekly change]])^52)-1</f>
        <v>5.8199816931421955E-2</v>
      </c>
      <c r="E1280" s="57">
        <f>(Table26[[#This Row],[M2 Money Stock, Billions of Dollars, Weekly, Seasonally Adjusted]]-B1228)/B1228</f>
        <v>4.5808222738422048E-2</v>
      </c>
    </row>
    <row r="1281" spans="1:5" x14ac:dyDescent="0.2">
      <c r="A1281" s="50">
        <v>38446</v>
      </c>
      <c r="B1281" s="51">
        <v>6436.4</v>
      </c>
      <c r="C1281" s="53">
        <f>(Table26[[#This Row],[M2 Money Stock, Billions of Dollars, Weekly, Seasonally Adjusted]]-B1280)/B1280</f>
        <v>-2.6405305913246573E-4</v>
      </c>
      <c r="D1281" s="54">
        <f>((1+Table26[[#This Row],[Weekly change]])^52)-1</f>
        <v>-1.3638710593756764E-2</v>
      </c>
      <c r="E1281" s="57">
        <f>(Table26[[#This Row],[M2 Money Stock, Billions of Dollars, Weekly, Seasonally Adjusted]]-B1229)/B1229</f>
        <v>4.4581852410860608E-2</v>
      </c>
    </row>
    <row r="1282" spans="1:5" x14ac:dyDescent="0.2">
      <c r="A1282" s="50">
        <v>38453</v>
      </c>
      <c r="B1282" s="51">
        <v>6435.8</v>
      </c>
      <c r="C1282" s="53">
        <f>(Table26[[#This Row],[M2 Money Stock, Billions of Dollars, Weekly, Seasonally Adjusted]]-B1281)/B1281</f>
        <v>-9.3219812317359756E-5</v>
      </c>
      <c r="D1282" s="54">
        <f>((1+Table26[[#This Row],[Weekly change]])^52)-1</f>
        <v>-4.8359252710102885E-3</v>
      </c>
      <c r="E1282" s="57">
        <f>(Table26[[#This Row],[M2 Money Stock, Billions of Dollars, Weekly, Seasonally Adjusted]]-B1230)/B1230</f>
        <v>4.4738807181585072E-2</v>
      </c>
    </row>
    <row r="1283" spans="1:5" x14ac:dyDescent="0.2">
      <c r="A1283" s="50">
        <v>38460</v>
      </c>
      <c r="B1283" s="51">
        <v>6443.8</v>
      </c>
      <c r="C1283" s="53">
        <f>(Table26[[#This Row],[M2 Money Stock, Billions of Dollars, Weekly, Seasonally Adjusted]]-B1282)/B1282</f>
        <v>1.2430467074800336E-3</v>
      </c>
      <c r="D1283" s="54">
        <f>((1+Table26[[#This Row],[Weekly change]])^52)-1</f>
        <v>6.6730419632795801E-2</v>
      </c>
      <c r="E1283" s="57">
        <f>(Table26[[#This Row],[M2 Money Stock, Billions of Dollars, Weekly, Seasonally Adjusted]]-B1231)/B1231</f>
        <v>4.54604451943669E-2</v>
      </c>
    </row>
    <row r="1284" spans="1:5" x14ac:dyDescent="0.2">
      <c r="A1284" s="50">
        <v>38467</v>
      </c>
      <c r="B1284" s="51">
        <v>6445.5</v>
      </c>
      <c r="C1284" s="53">
        <f>(Table26[[#This Row],[M2 Money Stock, Billions of Dollars, Weekly, Seasonally Adjusted]]-B1283)/B1283</f>
        <v>2.6381948539678732E-4</v>
      </c>
      <c r="D1284" s="54">
        <f>((1+Table26[[#This Row],[Weekly change]])^52)-1</f>
        <v>1.3811310912088759E-2</v>
      </c>
      <c r="E1284" s="57">
        <f>(Table26[[#This Row],[M2 Money Stock, Billions of Dollars, Weekly, Seasonally Adjusted]]-B1232)/B1232</f>
        <v>4.03014945608315E-2</v>
      </c>
    </row>
    <row r="1285" spans="1:5" x14ac:dyDescent="0.2">
      <c r="A1285" s="50">
        <v>38474</v>
      </c>
      <c r="B1285" s="51">
        <v>6451.6</v>
      </c>
      <c r="C1285" s="53">
        <f>(Table26[[#This Row],[M2 Money Stock, Billions of Dollars, Weekly, Seasonally Adjusted]]-B1284)/B1284</f>
        <v>9.4639671088361864E-4</v>
      </c>
      <c r="D1285" s="54">
        <f>((1+Table26[[#This Row],[Weekly change]])^52)-1</f>
        <v>5.041923542306348E-2</v>
      </c>
      <c r="E1285" s="57">
        <f>(Table26[[#This Row],[M2 Money Stock, Billions of Dollars, Weekly, Seasonally Adjusted]]-B1233)/B1233</f>
        <v>3.6168572529872919E-2</v>
      </c>
    </row>
    <row r="1286" spans="1:5" x14ac:dyDescent="0.2">
      <c r="A1286" s="50">
        <v>38481</v>
      </c>
      <c r="B1286" s="51">
        <v>6459.6</v>
      </c>
      <c r="C1286" s="53">
        <f>(Table26[[#This Row],[M2 Money Stock, Billions of Dollars, Weekly, Seasonally Adjusted]]-B1285)/B1285</f>
        <v>1.2400024800049599E-3</v>
      </c>
      <c r="D1286" s="54">
        <f>((1+Table26[[#This Row],[Weekly change]])^52)-1</f>
        <v>6.6561779109690855E-2</v>
      </c>
      <c r="E1286" s="57">
        <f>(Table26[[#This Row],[M2 Money Stock, Billions of Dollars, Weekly, Seasonally Adjusted]]-B1234)/B1234</f>
        <v>3.3949579831932829E-2</v>
      </c>
    </row>
    <row r="1287" spans="1:5" x14ac:dyDescent="0.2">
      <c r="A1287" s="50">
        <v>38488</v>
      </c>
      <c r="B1287" s="51">
        <v>6458.7</v>
      </c>
      <c r="C1287" s="53">
        <f>(Table26[[#This Row],[M2 Money Stock, Billions of Dollars, Weekly, Seasonally Adjusted]]-B1286)/B1286</f>
        <v>-1.3932751253956059E-4</v>
      </c>
      <c r="D1287" s="54">
        <f>((1+Table26[[#This Row],[Weekly change]])^52)-1</f>
        <v>-7.2193498043563453E-3</v>
      </c>
      <c r="E1287" s="57">
        <f>(Table26[[#This Row],[M2 Money Stock, Billions of Dollars, Weekly, Seasonally Adjusted]]-B1235)/B1235</f>
        <v>3.0227142219102918E-2</v>
      </c>
    </row>
    <row r="1288" spans="1:5" x14ac:dyDescent="0.2">
      <c r="A1288" s="50">
        <v>38495</v>
      </c>
      <c r="B1288" s="51">
        <v>6462.7</v>
      </c>
      <c r="C1288" s="53">
        <f>(Table26[[#This Row],[M2 Money Stock, Billions of Dollars, Weekly, Seasonally Adjusted]]-B1287)/B1287</f>
        <v>6.1931967733444809E-4</v>
      </c>
      <c r="D1288" s="54">
        <f>((1+Table26[[#This Row],[Weekly change]])^52)-1</f>
        <v>3.2718509416578945E-2</v>
      </c>
      <c r="E1288" s="57">
        <f>(Table26[[#This Row],[M2 Money Stock, Billions of Dollars, Weekly, Seasonally Adjusted]]-B1236)/B1236</f>
        <v>3.300725680125316E-2</v>
      </c>
    </row>
    <row r="1289" spans="1:5" x14ac:dyDescent="0.2">
      <c r="A1289" s="50">
        <v>38502</v>
      </c>
      <c r="B1289" s="51">
        <v>6459.3</v>
      </c>
      <c r="C1289" s="53">
        <f>(Table26[[#This Row],[M2 Money Stock, Billions of Dollars, Weekly, Seasonally Adjusted]]-B1288)/B1288</f>
        <v>-5.2609590418859549E-4</v>
      </c>
      <c r="D1289" s="54">
        <f>((1+Table26[[#This Row],[Weekly change]])^52)-1</f>
        <v>-2.6993178220554137E-2</v>
      </c>
      <c r="E1289" s="57">
        <f>(Table26[[#This Row],[M2 Money Stock, Billions of Dollars, Weekly, Seasonally Adjusted]]-B1237)/B1237</f>
        <v>3.1935968303671368E-2</v>
      </c>
    </row>
    <row r="1290" spans="1:5" x14ac:dyDescent="0.2">
      <c r="A1290" s="50">
        <v>38509</v>
      </c>
      <c r="B1290" s="51">
        <v>6470.9</v>
      </c>
      <c r="C1290" s="53">
        <f>(Table26[[#This Row],[M2 Money Stock, Billions of Dollars, Weekly, Seasonally Adjusted]]-B1289)/B1289</f>
        <v>1.7958602325328524E-3</v>
      </c>
      <c r="D1290" s="54">
        <f>((1+Table26[[#This Row],[Weekly change]])^52)-1</f>
        <v>9.7792098340482303E-2</v>
      </c>
      <c r="E1290" s="57">
        <f>(Table26[[#This Row],[M2 Money Stock, Billions of Dollars, Weekly, Seasonally Adjusted]]-B1238)/B1238</f>
        <v>3.5327434761043705E-2</v>
      </c>
    </row>
    <row r="1291" spans="1:5" x14ac:dyDescent="0.2">
      <c r="A1291" s="50">
        <v>38516</v>
      </c>
      <c r="B1291" s="51">
        <v>6480.8</v>
      </c>
      <c r="C1291" s="53">
        <f>(Table26[[#This Row],[M2 Money Stock, Billions of Dollars, Weekly, Seasonally Adjusted]]-B1290)/B1290</f>
        <v>1.5299262853699712E-3</v>
      </c>
      <c r="D1291" s="54">
        <f>((1+Table26[[#This Row],[Weekly change]])^52)-1</f>
        <v>8.2740547841427148E-2</v>
      </c>
      <c r="E1291" s="57">
        <f>(Table26[[#This Row],[M2 Money Stock, Billions of Dollars, Weekly, Seasonally Adjusted]]-B1239)/B1239</f>
        <v>3.5370802313320855E-2</v>
      </c>
    </row>
    <row r="1292" spans="1:5" x14ac:dyDescent="0.2">
      <c r="A1292" s="50">
        <v>38523</v>
      </c>
      <c r="B1292" s="51">
        <v>6501.5</v>
      </c>
      <c r="C1292" s="53">
        <f>(Table26[[#This Row],[M2 Money Stock, Billions of Dollars, Weekly, Seasonally Adjusted]]-B1291)/B1291</f>
        <v>3.194050117269445E-3</v>
      </c>
      <c r="D1292" s="54">
        <f>((1+Table26[[#This Row],[Weekly change]])^52)-1</f>
        <v>0.18036760391587192</v>
      </c>
      <c r="E1292" s="57">
        <f>(Table26[[#This Row],[M2 Money Stock, Billions of Dollars, Weekly, Seasonally Adjusted]]-B1240)/B1240</f>
        <v>3.8478740056863497E-2</v>
      </c>
    </row>
    <row r="1293" spans="1:5" x14ac:dyDescent="0.2">
      <c r="A1293" s="50">
        <v>38530</v>
      </c>
      <c r="B1293" s="51">
        <v>6508.2</v>
      </c>
      <c r="C1293" s="53">
        <f>(Table26[[#This Row],[M2 Money Stock, Billions of Dollars, Weekly, Seasonally Adjusted]]-B1292)/B1292</f>
        <v>1.0305314158270888E-3</v>
      </c>
      <c r="D1293" s="54">
        <f>((1+Table26[[#This Row],[Weekly change]])^52)-1</f>
        <v>5.5020334034154184E-2</v>
      </c>
      <c r="E1293" s="57">
        <f>(Table26[[#This Row],[M2 Money Stock, Billions of Dollars, Weekly, Seasonally Adjusted]]-B1241)/B1241</f>
        <v>3.9764829933059548E-2</v>
      </c>
    </row>
    <row r="1294" spans="1:5" x14ac:dyDescent="0.2">
      <c r="A1294" s="50">
        <v>38537</v>
      </c>
      <c r="B1294" s="51">
        <v>6503.1</v>
      </c>
      <c r="C1294" s="53">
        <f>(Table26[[#This Row],[M2 Money Stock, Billions of Dollars, Weekly, Seasonally Adjusted]]-B1293)/B1293</f>
        <v>-7.8362680925593163E-4</v>
      </c>
      <c r="D1294" s="54">
        <f>((1+Table26[[#This Row],[Weekly change]])^52)-1</f>
        <v>-3.9944869219132872E-2</v>
      </c>
      <c r="E1294" s="57">
        <f>(Table26[[#This Row],[M2 Money Stock, Billions of Dollars, Weekly, Seasonally Adjusted]]-B1242)/B1242</f>
        <v>3.9415008391273133E-2</v>
      </c>
    </row>
    <row r="1295" spans="1:5" x14ac:dyDescent="0.2">
      <c r="A1295" s="50">
        <v>38544</v>
      </c>
      <c r="B1295" s="51">
        <v>6505.5</v>
      </c>
      <c r="C1295" s="53">
        <f>(Table26[[#This Row],[M2 Money Stock, Billions of Dollars, Weekly, Seasonally Adjusted]]-B1294)/B1294</f>
        <v>3.6905475849973644E-4</v>
      </c>
      <c r="D1295" s="54">
        <f>((1+Table26[[#This Row],[Weekly change]])^52)-1</f>
        <v>1.9372566431738569E-2</v>
      </c>
      <c r="E1295" s="57">
        <f>(Table26[[#This Row],[M2 Money Stock, Billions of Dollars, Weekly, Seasonally Adjusted]]-B1243)/B1243</f>
        <v>3.765910613455839E-2</v>
      </c>
    </row>
    <row r="1296" spans="1:5" x14ac:dyDescent="0.2">
      <c r="A1296" s="50">
        <v>38551</v>
      </c>
      <c r="B1296" s="51">
        <v>6521.6</v>
      </c>
      <c r="C1296" s="53">
        <f>(Table26[[#This Row],[M2 Money Stock, Billions of Dollars, Weekly, Seasonally Adjusted]]-B1295)/B1295</f>
        <v>2.4748289908539489E-3</v>
      </c>
      <c r="D1296" s="54">
        <f>((1+Table26[[#This Row],[Weekly change]])^52)-1</f>
        <v>0.13715795250709273</v>
      </c>
      <c r="E1296" s="57">
        <f>(Table26[[#This Row],[M2 Money Stock, Billions of Dollars, Weekly, Seasonally Adjusted]]-B1244)/B1244</f>
        <v>4.0459476707083657E-2</v>
      </c>
    </row>
    <row r="1297" spans="1:5" x14ac:dyDescent="0.2">
      <c r="A1297" s="50">
        <v>38558</v>
      </c>
      <c r="B1297" s="51">
        <v>6534.5</v>
      </c>
      <c r="C1297" s="53">
        <f>(Table26[[#This Row],[M2 Money Stock, Billions of Dollars, Weekly, Seasonally Adjusted]]-B1296)/B1296</f>
        <v>1.9780421982335066E-3</v>
      </c>
      <c r="D1297" s="54">
        <f>((1+Table26[[#This Row],[Weekly change]])^52)-1</f>
        <v>0.10822163436229815</v>
      </c>
      <c r="E1297" s="57">
        <f>(Table26[[#This Row],[M2 Money Stock, Billions of Dollars, Weekly, Seasonally Adjusted]]-B1245)/B1245</f>
        <v>4.0823803000860151E-2</v>
      </c>
    </row>
    <row r="1298" spans="1:5" x14ac:dyDescent="0.2">
      <c r="A1298" s="50">
        <v>38565</v>
      </c>
      <c r="B1298" s="51">
        <v>6549.3</v>
      </c>
      <c r="C1298" s="53">
        <f>(Table26[[#This Row],[M2 Money Stock, Billions of Dollars, Weekly, Seasonally Adjusted]]-B1297)/B1297</f>
        <v>2.2649016757212001E-3</v>
      </c>
      <c r="D1298" s="54">
        <f>((1+Table26[[#This Row],[Weekly change]])^52)-1</f>
        <v>0.1248410242721183</v>
      </c>
      <c r="E1298" s="57">
        <f>(Table26[[#This Row],[M2 Money Stock, Billions of Dollars, Weekly, Seasonally Adjusted]]-B1246)/B1246</f>
        <v>4.2583335986500687E-2</v>
      </c>
    </row>
    <row r="1299" spans="1:5" x14ac:dyDescent="0.2">
      <c r="A1299" s="50">
        <v>38572</v>
      </c>
      <c r="B1299" s="51">
        <v>6545.1</v>
      </c>
      <c r="C1299" s="53">
        <f>(Table26[[#This Row],[M2 Money Stock, Billions of Dollars, Weekly, Seasonally Adjusted]]-B1298)/B1298</f>
        <v>-6.4128990884519232E-4</v>
      </c>
      <c r="D1299" s="54">
        <f>((1+Table26[[#This Row],[Weekly change]])^52)-1</f>
        <v>-3.2807537092685135E-2</v>
      </c>
      <c r="E1299" s="57">
        <f>(Table26[[#This Row],[M2 Money Stock, Billions of Dollars, Weekly, Seasonally Adjusted]]-B1247)/B1247</f>
        <v>4.1235145325251875E-2</v>
      </c>
    </row>
    <row r="1300" spans="1:5" x14ac:dyDescent="0.2">
      <c r="A1300" s="50">
        <v>38579</v>
      </c>
      <c r="B1300" s="51">
        <v>6552.8</v>
      </c>
      <c r="C1300" s="53">
        <f>(Table26[[#This Row],[M2 Money Stock, Billions of Dollars, Weekly, Seasonally Adjusted]]-B1299)/B1299</f>
        <v>1.1764526134054206E-3</v>
      </c>
      <c r="D1300" s="54">
        <f>((1+Table26[[#This Row],[Weekly change]])^52)-1</f>
        <v>6.3047282947142458E-2</v>
      </c>
      <c r="E1300" s="57">
        <f>(Table26[[#This Row],[M2 Money Stock, Billions of Dollars, Weekly, Seasonally Adjusted]]-B1248)/B1248</f>
        <v>3.9879393795128171E-2</v>
      </c>
    </row>
    <row r="1301" spans="1:5" x14ac:dyDescent="0.2">
      <c r="A1301" s="50">
        <v>38586</v>
      </c>
      <c r="B1301" s="51">
        <v>6566.1</v>
      </c>
      <c r="C1301" s="53">
        <f>(Table26[[#This Row],[M2 Money Stock, Billions of Dollars, Weekly, Seasonally Adjusted]]-B1300)/B1300</f>
        <v>2.0296667073617662E-3</v>
      </c>
      <c r="D1301" s="54">
        <f>((1+Table26[[#This Row],[Weekly change]])^52)-1</f>
        <v>0.11119465826705066</v>
      </c>
      <c r="E1301" s="57">
        <f>(Table26[[#This Row],[M2 Money Stock, Billions of Dollars, Weekly, Seasonally Adjusted]]-B1249)/B1249</f>
        <v>4.1328998493378857E-2</v>
      </c>
    </row>
    <row r="1302" spans="1:5" x14ac:dyDescent="0.2">
      <c r="A1302" s="50">
        <v>38593</v>
      </c>
      <c r="B1302" s="51">
        <v>6558.8</v>
      </c>
      <c r="C1302" s="53">
        <f>(Table26[[#This Row],[M2 Money Stock, Billions of Dollars, Weekly, Seasonally Adjusted]]-B1301)/B1301</f>
        <v>-1.1117710665387644E-3</v>
      </c>
      <c r="D1302" s="54">
        <f>((1+Table26[[#This Row],[Weekly change]])^52)-1</f>
        <v>-5.6203073495566302E-2</v>
      </c>
      <c r="E1302" s="57">
        <f>(Table26[[#This Row],[M2 Money Stock, Billions of Dollars, Weekly, Seasonally Adjusted]]-B1250)/B1250</f>
        <v>4.1376901336889961E-2</v>
      </c>
    </row>
    <row r="1303" spans="1:5" x14ac:dyDescent="0.2">
      <c r="A1303" s="50">
        <v>38600</v>
      </c>
      <c r="B1303" s="51">
        <v>6573.5</v>
      </c>
      <c r="C1303" s="53">
        <f>(Table26[[#This Row],[M2 Money Stock, Billions of Dollars, Weekly, Seasonally Adjusted]]-B1302)/B1302</f>
        <v>2.2412636457888359E-3</v>
      </c>
      <c r="D1303" s="54">
        <f>((1+Table26[[#This Row],[Weekly change]])^52)-1</f>
        <v>0.12346234869218975</v>
      </c>
      <c r="E1303" s="57">
        <f>(Table26[[#This Row],[M2 Money Stock, Billions of Dollars, Weekly, Seasonally Adjusted]]-B1251)/B1251</f>
        <v>4.2006816200364588E-2</v>
      </c>
    </row>
    <row r="1304" spans="1:5" x14ac:dyDescent="0.2">
      <c r="A1304" s="50">
        <v>38607</v>
      </c>
      <c r="B1304" s="51">
        <v>6578.5</v>
      </c>
      <c r="C1304" s="53">
        <f>(Table26[[#This Row],[M2 Money Stock, Billions of Dollars, Weekly, Seasonally Adjusted]]-B1303)/B1303</f>
        <v>7.6062980147562184E-4</v>
      </c>
      <c r="D1304" s="54">
        <f>((1+Table26[[#This Row],[Weekly change]])^52)-1</f>
        <v>4.0329733973108572E-2</v>
      </c>
      <c r="E1304" s="57">
        <f>(Table26[[#This Row],[M2 Money Stock, Billions of Dollars, Weekly, Seasonally Adjusted]]-B1252)/B1252</f>
        <v>4.0770155676496618E-2</v>
      </c>
    </row>
    <row r="1305" spans="1:5" x14ac:dyDescent="0.2">
      <c r="A1305" s="50">
        <v>38614</v>
      </c>
      <c r="B1305" s="51">
        <v>6594.5</v>
      </c>
      <c r="C1305" s="53">
        <f>(Table26[[#This Row],[M2 Money Stock, Billions of Dollars, Weekly, Seasonally Adjusted]]-B1304)/B1304</f>
        <v>2.4321653872463327E-3</v>
      </c>
      <c r="D1305" s="54">
        <f>((1+Table26[[#This Row],[Weekly change]])^52)-1</f>
        <v>0.13464411638857809</v>
      </c>
      <c r="E1305" s="57">
        <f>(Table26[[#This Row],[M2 Money Stock, Billions of Dollars, Weekly, Seasonally Adjusted]]-B1253)/B1253</f>
        <v>3.9895923677363401E-2</v>
      </c>
    </row>
    <row r="1306" spans="1:5" x14ac:dyDescent="0.2">
      <c r="A1306" s="50">
        <v>38621</v>
      </c>
      <c r="B1306" s="51">
        <v>6603.6</v>
      </c>
      <c r="C1306" s="53">
        <f>(Table26[[#This Row],[M2 Money Stock, Billions of Dollars, Weekly, Seasonally Adjusted]]-B1305)/B1305</f>
        <v>1.3799378269770816E-3</v>
      </c>
      <c r="D1306" s="54">
        <f>((1+Table26[[#This Row],[Weekly change]])^52)-1</f>
        <v>7.4340841229615151E-2</v>
      </c>
      <c r="E1306" s="57">
        <f>(Table26[[#This Row],[M2 Money Stock, Billions of Dollars, Weekly, Seasonally Adjusted]]-B1254)/B1254</f>
        <v>4.0133568548387122E-2</v>
      </c>
    </row>
    <row r="1307" spans="1:5" x14ac:dyDescent="0.2">
      <c r="A1307" s="50">
        <v>38628</v>
      </c>
      <c r="B1307" s="51">
        <v>6604.1</v>
      </c>
      <c r="C1307" s="53">
        <f>(Table26[[#This Row],[M2 Money Stock, Billions of Dollars, Weekly, Seasonally Adjusted]]-B1306)/B1306</f>
        <v>7.5716275970682658E-5</v>
      </c>
      <c r="D1307" s="54">
        <f>((1+Table26[[#This Row],[Weekly change]])^52)-1</f>
        <v>3.9448578500973497E-3</v>
      </c>
      <c r="E1307" s="57">
        <f>(Table26[[#This Row],[M2 Money Stock, Billions of Dollars, Weekly, Seasonally Adjusted]]-B1255)/B1255</f>
        <v>4.145902983662407E-2</v>
      </c>
    </row>
    <row r="1308" spans="1:5" x14ac:dyDescent="0.2">
      <c r="A1308" s="50">
        <v>38635</v>
      </c>
      <c r="B1308" s="51">
        <v>6614.4</v>
      </c>
      <c r="C1308" s="53">
        <f>(Table26[[#This Row],[M2 Money Stock, Billions of Dollars, Weekly, Seasonally Adjusted]]-B1307)/B1307</f>
        <v>1.5596371950756761E-3</v>
      </c>
      <c r="D1308" s="54">
        <f>((1+Table26[[#This Row],[Weekly change]])^52)-1</f>
        <v>8.4412055353405124E-2</v>
      </c>
      <c r="E1308" s="57">
        <f>(Table26[[#This Row],[M2 Money Stock, Billions of Dollars, Weekly, Seasonally Adjusted]]-B1256)/B1256</f>
        <v>4.1867498346091936E-2</v>
      </c>
    </row>
    <row r="1309" spans="1:5" x14ac:dyDescent="0.2">
      <c r="A1309" s="50">
        <v>38642</v>
      </c>
      <c r="B1309" s="51">
        <v>6630.5</v>
      </c>
      <c r="C1309" s="53">
        <f>(Table26[[#This Row],[M2 Money Stock, Billions of Dollars, Weekly, Seasonally Adjusted]]-B1308)/B1308</f>
        <v>2.4340832123851542E-3</v>
      </c>
      <c r="D1309" s="54">
        <f>((1+Table26[[#This Row],[Weekly change]])^52)-1</f>
        <v>0.13475700190139284</v>
      </c>
      <c r="E1309" s="57">
        <f>(Table26[[#This Row],[M2 Money Stock, Billions of Dollars, Weekly, Seasonally Adjusted]]-B1257)/B1257</f>
        <v>4.3335274031879846E-2</v>
      </c>
    </row>
    <row r="1310" spans="1:5" x14ac:dyDescent="0.2">
      <c r="A1310" s="50">
        <v>38649</v>
      </c>
      <c r="B1310" s="51">
        <v>6634.8</v>
      </c>
      <c r="C1310" s="53">
        <f>(Table26[[#This Row],[M2 Money Stock, Billions of Dollars, Weekly, Seasonally Adjusted]]-B1309)/B1309</f>
        <v>6.4851821129630971E-4</v>
      </c>
      <c r="D1310" s="54">
        <f>((1+Table26[[#This Row],[Weekly change]])^52)-1</f>
        <v>3.4286706577681958E-2</v>
      </c>
      <c r="E1310" s="57">
        <f>(Table26[[#This Row],[M2 Money Stock, Billions of Dollars, Weekly, Seasonally Adjusted]]-B1258)/B1258</f>
        <v>4.1896984924623147E-2</v>
      </c>
    </row>
    <row r="1311" spans="1:5" x14ac:dyDescent="0.2">
      <c r="A1311" s="50">
        <v>38656</v>
      </c>
      <c r="B1311" s="51">
        <v>6628</v>
      </c>
      <c r="C1311" s="53">
        <f>(Table26[[#This Row],[M2 Money Stock, Billions of Dollars, Weekly, Seasonally Adjusted]]-B1310)/B1310</f>
        <v>-1.0248990173027342E-3</v>
      </c>
      <c r="D1311" s="54">
        <f>((1+Table26[[#This Row],[Weekly change]])^52)-1</f>
        <v>-5.1925391090495099E-2</v>
      </c>
      <c r="E1311" s="57">
        <f>(Table26[[#This Row],[M2 Money Stock, Billions of Dollars, Weekly, Seasonally Adjusted]]-B1259)/B1259</f>
        <v>3.8594731811272889E-2</v>
      </c>
    </row>
    <row r="1312" spans="1:5" x14ac:dyDescent="0.2">
      <c r="A1312" s="50">
        <v>38663</v>
      </c>
      <c r="B1312" s="51">
        <v>6629.5</v>
      </c>
      <c r="C1312" s="53">
        <f>(Table26[[#This Row],[M2 Money Stock, Billions of Dollars, Weekly, Seasonally Adjusted]]-B1311)/B1311</f>
        <v>2.2631261315630657E-4</v>
      </c>
      <c r="D1312" s="54">
        <f>((1+Table26[[#This Row],[Weekly change]])^52)-1</f>
        <v>1.1836427031017616E-2</v>
      </c>
      <c r="E1312" s="57">
        <f>(Table26[[#This Row],[M2 Money Stock, Billions of Dollars, Weekly, Seasonally Adjusted]]-B1260)/B1260</f>
        <v>3.9986822702600885E-2</v>
      </c>
    </row>
    <row r="1313" spans="1:5" x14ac:dyDescent="0.2">
      <c r="A1313" s="50">
        <v>38670</v>
      </c>
      <c r="B1313" s="51">
        <v>6636.9</v>
      </c>
      <c r="C1313" s="53">
        <f>(Table26[[#This Row],[M2 Money Stock, Billions of Dollars, Weekly, Seasonally Adjusted]]-B1312)/B1312</f>
        <v>1.1162229429066499E-3</v>
      </c>
      <c r="D1313" s="54">
        <f>((1+Table26[[#This Row],[Weekly change]])^52)-1</f>
        <v>5.9726888240364984E-2</v>
      </c>
      <c r="E1313" s="57">
        <f>(Table26[[#This Row],[M2 Money Stock, Billions of Dollars, Weekly, Seasonally Adjusted]]-B1261)/B1261</f>
        <v>3.9093812625250475E-2</v>
      </c>
    </row>
    <row r="1314" spans="1:5" x14ac:dyDescent="0.2">
      <c r="A1314" s="50">
        <v>38677</v>
      </c>
      <c r="B1314" s="51">
        <v>6652.7</v>
      </c>
      <c r="C1314" s="53">
        <f>(Table26[[#This Row],[M2 Money Stock, Billions of Dollars, Weekly, Seasonally Adjusted]]-B1313)/B1313</f>
        <v>2.3806295107655956E-3</v>
      </c>
      <c r="D1314" s="54">
        <f>((1+Table26[[#This Row],[Weekly change]])^52)-1</f>
        <v>0.1316147734061015</v>
      </c>
      <c r="E1314" s="57">
        <f>(Table26[[#This Row],[M2 Money Stock, Billions of Dollars, Weekly, Seasonally Adjusted]]-B1262)/B1262</f>
        <v>4.0524899899899811E-2</v>
      </c>
    </row>
    <row r="1315" spans="1:5" x14ac:dyDescent="0.2">
      <c r="A1315" s="50">
        <v>38684</v>
      </c>
      <c r="B1315" s="51">
        <v>6642.6</v>
      </c>
      <c r="C1315" s="53">
        <f>(Table26[[#This Row],[M2 Money Stock, Billions of Dollars, Weekly, Seasonally Adjusted]]-B1314)/B1314</f>
        <v>-1.5181805883324748E-3</v>
      </c>
      <c r="D1315" s="54">
        <f>((1+Table26[[#This Row],[Weekly change]])^52)-1</f>
        <v>-7.5965045023847155E-2</v>
      </c>
      <c r="E1315" s="57">
        <f>(Table26[[#This Row],[M2 Money Stock, Billions of Dollars, Weekly, Seasonally Adjusted]]-B1263)/B1263</f>
        <v>3.9530516431924942E-2</v>
      </c>
    </row>
    <row r="1316" spans="1:5" x14ac:dyDescent="0.2">
      <c r="A1316" s="50">
        <v>38691</v>
      </c>
      <c r="B1316" s="51">
        <v>6651.7</v>
      </c>
      <c r="C1316" s="53">
        <f>(Table26[[#This Row],[M2 Money Stock, Billions of Dollars, Weekly, Seasonally Adjusted]]-B1315)/B1315</f>
        <v>1.3699455032667109E-3</v>
      </c>
      <c r="D1316" s="54">
        <f>((1+Table26[[#This Row],[Weekly change]])^52)-1</f>
        <v>7.3783523916243432E-2</v>
      </c>
      <c r="E1316" s="57">
        <f>(Table26[[#This Row],[M2 Money Stock, Billions of Dollars, Weekly, Seasonally Adjusted]]-B1264)/B1264</f>
        <v>4.0482410173786572E-2</v>
      </c>
    </row>
    <row r="1317" spans="1:5" x14ac:dyDescent="0.2">
      <c r="A1317" s="50">
        <v>38698</v>
      </c>
      <c r="B1317" s="51">
        <v>6658.1</v>
      </c>
      <c r="C1317" s="53">
        <f>(Table26[[#This Row],[M2 Money Stock, Billions of Dollars, Weekly, Seasonally Adjusted]]-B1316)/B1316</f>
        <v>9.6216004931078461E-4</v>
      </c>
      <c r="D1317" s="54">
        <f>((1+Table26[[#This Row],[Weekly change]])^52)-1</f>
        <v>5.1279788785237423E-2</v>
      </c>
      <c r="E1317" s="57">
        <f>(Table26[[#This Row],[M2 Money Stock, Billions of Dollars, Weekly, Seasonally Adjusted]]-B1265)/B1265</f>
        <v>4.0393149571848239E-2</v>
      </c>
    </row>
    <row r="1318" spans="1:5" x14ac:dyDescent="0.2">
      <c r="A1318" s="50">
        <v>38705</v>
      </c>
      <c r="B1318" s="51">
        <v>6669.9</v>
      </c>
      <c r="C1318" s="53">
        <f>(Table26[[#This Row],[M2 Money Stock, Billions of Dollars, Weekly, Seasonally Adjusted]]-B1317)/B1317</f>
        <v>1.7722773764286015E-3</v>
      </c>
      <c r="D1318" s="54">
        <f>((1+Table26[[#This Row],[Weekly change]])^52)-1</f>
        <v>9.6449086207540669E-2</v>
      </c>
      <c r="E1318" s="57">
        <f>(Table26[[#This Row],[M2 Money Stock, Billions of Dollars, Weekly, Seasonally Adjusted]]-B1266)/B1266</f>
        <v>3.9556740075746832E-2</v>
      </c>
    </row>
    <row r="1319" spans="1:5" x14ac:dyDescent="0.2">
      <c r="A1319" s="50">
        <v>38712</v>
      </c>
      <c r="B1319" s="51">
        <v>6677.1</v>
      </c>
      <c r="C1319" s="53">
        <f>(Table26[[#This Row],[M2 Money Stock, Billions of Dollars, Weekly, Seasonally Adjusted]]-B1318)/B1318</f>
        <v>1.079476453919958E-3</v>
      </c>
      <c r="D1319" s="54">
        <f>((1+Table26[[#This Row],[Weekly change]])^52)-1</f>
        <v>5.7706093461964869E-2</v>
      </c>
      <c r="E1319" s="57">
        <f>(Table26[[#This Row],[M2 Money Stock, Billions of Dollars, Weekly, Seasonally Adjusted]]-B1267)/B1267</f>
        <v>4.0160142071565465E-2</v>
      </c>
    </row>
    <row r="1320" spans="1:5" x14ac:dyDescent="0.2">
      <c r="A1320" s="50">
        <v>38719</v>
      </c>
      <c r="B1320" s="51">
        <v>6682.9</v>
      </c>
      <c r="C1320" s="53">
        <f>(Table26[[#This Row],[M2 Money Stock, Billions of Dollars, Weekly, Seasonally Adjusted]]-B1319)/B1319</f>
        <v>8.6864057749610937E-4</v>
      </c>
      <c r="D1320" s="54">
        <f>((1+Table26[[#This Row],[Weekly change]])^52)-1</f>
        <v>4.6184465594627744E-2</v>
      </c>
      <c r="E1320" s="57">
        <f>(Table26[[#This Row],[M2 Money Stock, Billions of Dollars, Weekly, Seasonally Adjusted]]-B1268)/B1268</f>
        <v>4.8314483364444938E-2</v>
      </c>
    </row>
    <row r="1321" spans="1:5" x14ac:dyDescent="0.2">
      <c r="A1321" s="50">
        <v>38726</v>
      </c>
      <c r="B1321" s="51">
        <v>6700.7</v>
      </c>
      <c r="C1321" s="53">
        <f>(Table26[[#This Row],[M2 Money Stock, Billions of Dollars, Weekly, Seasonally Adjusted]]-B1320)/B1320</f>
        <v>2.6635143425758553E-3</v>
      </c>
      <c r="D1321" s="54">
        <f>((1+Table26[[#This Row],[Weekly change]])^52)-1</f>
        <v>0.14834137728222485</v>
      </c>
      <c r="E1321" s="57">
        <f>(Table26[[#This Row],[M2 Money Stock, Billions of Dollars, Weekly, Seasonally Adjusted]]-B1269)/B1269</f>
        <v>4.9509757854838118E-2</v>
      </c>
    </row>
    <row r="1322" spans="1:5" x14ac:dyDescent="0.2">
      <c r="A1322" s="50">
        <v>38733</v>
      </c>
      <c r="B1322" s="51">
        <v>6713.1</v>
      </c>
      <c r="C1322" s="53">
        <f>(Table26[[#This Row],[M2 Money Stock, Billions of Dollars, Weekly, Seasonally Adjusted]]-B1321)/B1321</f>
        <v>1.8505529273061838E-3</v>
      </c>
      <c r="D1322" s="54">
        <f>((1+Table26[[#This Row],[Weekly change]])^52)-1</f>
        <v>0.1009129869761265</v>
      </c>
      <c r="E1322" s="57">
        <f>(Table26[[#This Row],[M2 Money Stock, Billions of Dollars, Weekly, Seasonally Adjusted]]-B1270)/B1270</f>
        <v>4.8348559381588253E-2</v>
      </c>
    </row>
    <row r="1323" spans="1:5" x14ac:dyDescent="0.2">
      <c r="A1323" s="50">
        <v>38740</v>
      </c>
      <c r="B1323" s="51">
        <v>6723.3</v>
      </c>
      <c r="C1323" s="53">
        <f>(Table26[[#This Row],[M2 Money Stock, Billions of Dollars, Weekly, Seasonally Adjusted]]-B1322)/B1322</f>
        <v>1.519417258792483E-3</v>
      </c>
      <c r="D1323" s="54">
        <f>((1+Table26[[#This Row],[Weekly change]])^52)-1</f>
        <v>8.2149925182309458E-2</v>
      </c>
      <c r="E1323" s="57">
        <f>(Table26[[#This Row],[M2 Money Stock, Billions of Dollars, Weekly, Seasonally Adjusted]]-B1271)/B1271</f>
        <v>4.959722742600222E-2</v>
      </c>
    </row>
    <row r="1324" spans="1:5" x14ac:dyDescent="0.2">
      <c r="A1324" s="50">
        <v>38747</v>
      </c>
      <c r="B1324" s="51">
        <v>6712.3</v>
      </c>
      <c r="C1324" s="53">
        <f>(Table26[[#This Row],[M2 Money Stock, Billions of Dollars, Weekly, Seasonally Adjusted]]-B1323)/B1323</f>
        <v>-1.6361013192926093E-3</v>
      </c>
      <c r="D1324" s="54">
        <f>((1+Table26[[#This Row],[Weekly change]])^52)-1</f>
        <v>-8.1622673829298886E-2</v>
      </c>
      <c r="E1324" s="57">
        <f>(Table26[[#This Row],[M2 Money Stock, Billions of Dollars, Weekly, Seasonally Adjusted]]-B1272)/B1272</f>
        <v>4.8403723603648717E-2</v>
      </c>
    </row>
    <row r="1325" spans="1:5" x14ac:dyDescent="0.2">
      <c r="A1325" s="50">
        <v>38754</v>
      </c>
      <c r="B1325" s="51">
        <v>6714.9</v>
      </c>
      <c r="C1325" s="53">
        <f>(Table26[[#This Row],[M2 Money Stock, Billions of Dollars, Weekly, Seasonally Adjusted]]-B1324)/B1324</f>
        <v>3.8734859884085248E-4</v>
      </c>
      <c r="D1325" s="54">
        <f>((1+Table26[[#This Row],[Weekly change]])^52)-1</f>
        <v>2.0342369281344697E-2</v>
      </c>
      <c r="E1325" s="57">
        <f>(Table26[[#This Row],[M2 Money Stock, Billions of Dollars, Weekly, Seasonally Adjusted]]-B1273)/B1273</f>
        <v>4.7141565043819861E-2</v>
      </c>
    </row>
    <row r="1326" spans="1:5" x14ac:dyDescent="0.2">
      <c r="A1326" s="50">
        <v>38761</v>
      </c>
      <c r="B1326" s="51">
        <v>6720.4</v>
      </c>
      <c r="C1326" s="53">
        <f>(Table26[[#This Row],[M2 Money Stock, Billions of Dollars, Weekly, Seasonally Adjusted]]-B1325)/B1325</f>
        <v>8.1907399961280141E-4</v>
      </c>
      <c r="D1326" s="54">
        <f>((1+Table26[[#This Row],[Weekly change]])^52)-1</f>
        <v>4.3493704610585215E-2</v>
      </c>
      <c r="E1326" s="57">
        <f>(Table26[[#This Row],[M2 Money Stock, Billions of Dollars, Weekly, Seasonally Adjusted]]-B1274)/B1274</f>
        <v>4.7901203767230061E-2</v>
      </c>
    </row>
    <row r="1327" spans="1:5" x14ac:dyDescent="0.2">
      <c r="A1327" s="50">
        <v>38768</v>
      </c>
      <c r="B1327" s="51">
        <v>6744</v>
      </c>
      <c r="C1327" s="53">
        <f>(Table26[[#This Row],[M2 Money Stock, Billions of Dollars, Weekly, Seasonally Adjusted]]-B1326)/B1326</f>
        <v>3.5116957323969356E-3</v>
      </c>
      <c r="D1327" s="54">
        <f>((1+Table26[[#This Row],[Weekly change]])^52)-1</f>
        <v>0.19996008600117676</v>
      </c>
      <c r="E1327" s="57">
        <f>(Table26[[#This Row],[M2 Money Stock, Billions of Dollars, Weekly, Seasonally Adjusted]]-B1275)/B1275</f>
        <v>4.9192569775039642E-2</v>
      </c>
    </row>
    <row r="1328" spans="1:5" x14ac:dyDescent="0.2">
      <c r="A1328" s="50">
        <v>38775</v>
      </c>
      <c r="B1328" s="51">
        <v>6754.5</v>
      </c>
      <c r="C1328" s="53">
        <f>(Table26[[#This Row],[M2 Money Stock, Billions of Dollars, Weekly, Seasonally Adjusted]]-B1327)/B1327</f>
        <v>1.5569395017793594E-3</v>
      </c>
      <c r="D1328" s="54">
        <f>((1+Table26[[#This Row],[Weekly change]])^52)-1</f>
        <v>8.426018129081525E-2</v>
      </c>
      <c r="E1328" s="57">
        <f>(Table26[[#This Row],[M2 Money Stock, Billions of Dollars, Weekly, Seasonally Adjusted]]-B1276)/B1276</f>
        <v>5.1333136177564742E-2</v>
      </c>
    </row>
    <row r="1329" spans="1:5" x14ac:dyDescent="0.2">
      <c r="A1329" s="50">
        <v>38782</v>
      </c>
      <c r="B1329" s="51">
        <v>6752</v>
      </c>
      <c r="C1329" s="53">
        <f>(Table26[[#This Row],[M2 Money Stock, Billions of Dollars, Weekly, Seasonally Adjusted]]-B1328)/B1328</f>
        <v>-3.701236212895107E-4</v>
      </c>
      <c r="D1329" s="54">
        <f>((1+Table26[[#This Row],[Weekly change]])^52)-1</f>
        <v>-1.9065893075749463E-2</v>
      </c>
      <c r="E1329" s="57">
        <f>(Table26[[#This Row],[M2 Money Stock, Billions of Dollars, Weekly, Seasonally Adjusted]]-B1277)/B1277</f>
        <v>5.1828080943405012E-2</v>
      </c>
    </row>
    <row r="1330" spans="1:5" x14ac:dyDescent="0.2">
      <c r="A1330" s="50">
        <v>38789</v>
      </c>
      <c r="B1330" s="51">
        <v>6737.7</v>
      </c>
      <c r="C1330" s="53">
        <f>(Table26[[#This Row],[M2 Money Stock, Billions of Dollars, Weekly, Seasonally Adjusted]]-B1329)/B1329</f>
        <v>-2.1178909952606906E-3</v>
      </c>
      <c r="D1330" s="54">
        <f>((1+Table26[[#This Row],[Weekly change]])^52)-1</f>
        <v>-0.10438721471612611</v>
      </c>
      <c r="E1330" s="57">
        <f>(Table26[[#This Row],[M2 Money Stock, Billions of Dollars, Weekly, Seasonally Adjusted]]-B1278)/B1278</f>
        <v>4.9093796711509749E-2</v>
      </c>
    </row>
    <row r="1331" spans="1:5" x14ac:dyDescent="0.2">
      <c r="A1331" s="50">
        <v>38796</v>
      </c>
      <c r="B1331" s="51">
        <v>6746.8</v>
      </c>
      <c r="C1331" s="53">
        <f>(Table26[[#This Row],[M2 Money Stock, Billions of Dollars, Weekly, Seasonally Adjusted]]-B1330)/B1330</f>
        <v>1.3506092583523107E-3</v>
      </c>
      <c r="D1331" s="54">
        <f>((1+Table26[[#This Row],[Weekly change]])^52)-1</f>
        <v>7.2705858775739207E-2</v>
      </c>
      <c r="E1331" s="57">
        <f>(Table26[[#This Row],[M2 Money Stock, Billions of Dollars, Weekly, Seasonally Adjusted]]-B1279)/B1279</f>
        <v>4.9089580320629413E-2</v>
      </c>
    </row>
    <row r="1332" spans="1:5" x14ac:dyDescent="0.2">
      <c r="A1332" s="50">
        <v>38803</v>
      </c>
      <c r="B1332" s="51">
        <v>6756.9</v>
      </c>
      <c r="C1332" s="53">
        <f>(Table26[[#This Row],[M2 Money Stock, Billions of Dollars, Weekly, Seasonally Adjusted]]-B1331)/B1331</f>
        <v>1.4970059880238711E-3</v>
      </c>
      <c r="D1332" s="54">
        <f>((1+Table26[[#This Row],[Weekly change]])^52)-1</f>
        <v>8.089143424979417E-2</v>
      </c>
      <c r="E1332" s="57">
        <f>(Table26[[#This Row],[M2 Money Stock, Billions of Dollars, Weekly, Seasonally Adjusted]]-B1280)/B1280</f>
        <v>4.9517714853761087E-2</v>
      </c>
    </row>
    <row r="1333" spans="1:5" x14ac:dyDescent="0.2">
      <c r="A1333" s="50">
        <v>38810</v>
      </c>
      <c r="B1333" s="51">
        <v>6756.2</v>
      </c>
      <c r="C1333" s="53">
        <f>(Table26[[#This Row],[M2 Money Stock, Billions of Dollars, Weekly, Seasonally Adjusted]]-B1332)/B1332</f>
        <v>-1.0359780372653409E-4</v>
      </c>
      <c r="D1333" s="54">
        <f>((1+Table26[[#This Row],[Weekly change]])^52)-1</f>
        <v>-5.3728790332718823E-3</v>
      </c>
      <c r="E1333" s="57">
        <f>(Table26[[#This Row],[M2 Money Stock, Billions of Dollars, Weekly, Seasonally Adjusted]]-B1281)/B1281</f>
        <v>4.9686159965197971E-2</v>
      </c>
    </row>
    <row r="1334" spans="1:5" x14ac:dyDescent="0.2">
      <c r="A1334" s="50">
        <v>38817</v>
      </c>
      <c r="B1334" s="51">
        <v>6772.1</v>
      </c>
      <c r="C1334" s="53">
        <f>(Table26[[#This Row],[M2 Money Stock, Billions of Dollars, Weekly, Seasonally Adjusted]]-B1333)/B1333</f>
        <v>2.3533939196590608E-3</v>
      </c>
      <c r="D1334" s="54">
        <f>((1+Table26[[#This Row],[Weekly change]])^52)-1</f>
        <v>0.13001703667446551</v>
      </c>
      <c r="E1334" s="57">
        <f>(Table26[[#This Row],[M2 Money Stock, Billions of Dollars, Weekly, Seasonally Adjusted]]-B1282)/B1282</f>
        <v>5.2254575965691941E-2</v>
      </c>
    </row>
    <row r="1335" spans="1:5" x14ac:dyDescent="0.2">
      <c r="A1335" s="50">
        <v>38824</v>
      </c>
      <c r="B1335" s="51">
        <v>6790.6</v>
      </c>
      <c r="C1335" s="53">
        <f>(Table26[[#This Row],[M2 Money Stock, Billions of Dollars, Weekly, Seasonally Adjusted]]-B1334)/B1334</f>
        <v>2.7317966361985204E-3</v>
      </c>
      <c r="D1335" s="54">
        <f>((1+Table26[[#This Row],[Weekly change]])^52)-1</f>
        <v>0.15241500776286876</v>
      </c>
      <c r="E1335" s="57">
        <f>(Table26[[#This Row],[M2 Money Stock, Billions of Dollars, Weekly, Seasonally Adjusted]]-B1283)/B1283</f>
        <v>5.3819175020950398E-2</v>
      </c>
    </row>
    <row r="1336" spans="1:5" x14ac:dyDescent="0.2">
      <c r="A1336" s="50">
        <v>38831</v>
      </c>
      <c r="B1336" s="51">
        <v>6801.6</v>
      </c>
      <c r="C1336" s="53">
        <f>(Table26[[#This Row],[M2 Money Stock, Billions of Dollars, Weekly, Seasonally Adjusted]]-B1335)/B1335</f>
        <v>1.6198863134332753E-3</v>
      </c>
      <c r="D1336" s="54">
        <f>((1+Table26[[#This Row],[Weekly change]])^52)-1</f>
        <v>8.7809386728347372E-2</v>
      </c>
      <c r="E1336" s="57">
        <f>(Table26[[#This Row],[M2 Money Stock, Billions of Dollars, Weekly, Seasonally Adjusted]]-B1284)/B1284</f>
        <v>5.5247847335350299E-2</v>
      </c>
    </row>
    <row r="1337" spans="1:5" x14ac:dyDescent="0.2">
      <c r="A1337" s="50">
        <v>38838</v>
      </c>
      <c r="B1337" s="51">
        <v>6795.6</v>
      </c>
      <c r="C1337" s="53">
        <f>(Table26[[#This Row],[M2 Money Stock, Billions of Dollars, Weekly, Seasonally Adjusted]]-B1336)/B1336</f>
        <v>-8.8214537755822154E-4</v>
      </c>
      <c r="D1337" s="54">
        <f>((1+Table26[[#This Row],[Weekly change]])^52)-1</f>
        <v>-4.4854700720341367E-2</v>
      </c>
      <c r="E1337" s="57">
        <f>(Table26[[#This Row],[M2 Money Stock, Billions of Dollars, Weekly, Seasonally Adjusted]]-B1285)/B1285</f>
        <v>5.3320106640213277E-2</v>
      </c>
    </row>
    <row r="1338" spans="1:5" x14ac:dyDescent="0.2">
      <c r="A1338" s="50">
        <v>38845</v>
      </c>
      <c r="B1338" s="51">
        <v>6775</v>
      </c>
      <c r="C1338" s="53">
        <f>(Table26[[#This Row],[M2 Money Stock, Billions of Dollars, Weekly, Seasonally Adjusted]]-B1337)/B1337</f>
        <v>-3.0313732415092652E-3</v>
      </c>
      <c r="D1338" s="54">
        <f>((1+Table26[[#This Row],[Weekly change]])^52)-1</f>
        <v>-0.14603990402735978</v>
      </c>
      <c r="E1338" s="57">
        <f>(Table26[[#This Row],[M2 Money Stock, Billions of Dollars, Weekly, Seasonally Adjusted]]-B1286)/B1286</f>
        <v>4.8826552727723023E-2</v>
      </c>
    </row>
    <row r="1339" spans="1:5" x14ac:dyDescent="0.2">
      <c r="A1339" s="50">
        <v>38852</v>
      </c>
      <c r="B1339" s="51">
        <v>6790.3</v>
      </c>
      <c r="C1339" s="53">
        <f>(Table26[[#This Row],[M2 Money Stock, Billions of Dollars, Weekly, Seasonally Adjusted]]-B1338)/B1338</f>
        <v>2.258302583025857E-3</v>
      </c>
      <c r="D1339" s="54">
        <f>((1+Table26[[#This Row],[Weekly change]])^52)-1</f>
        <v>0.12445596881485299</v>
      </c>
      <c r="E1339" s="57">
        <f>(Table26[[#This Row],[M2 Money Stock, Billions of Dollars, Weekly, Seasonally Adjusted]]-B1287)/B1287</f>
        <v>5.1341601251025805E-2</v>
      </c>
    </row>
    <row r="1340" spans="1:5" x14ac:dyDescent="0.2">
      <c r="A1340" s="50">
        <v>38859</v>
      </c>
      <c r="B1340" s="51">
        <v>6802.5</v>
      </c>
      <c r="C1340" s="53">
        <f>(Table26[[#This Row],[M2 Money Stock, Billions of Dollars, Weekly, Seasonally Adjusted]]-B1339)/B1339</f>
        <v>1.7966805590327111E-3</v>
      </c>
      <c r="D1340" s="54">
        <f>((1+Table26[[#This Row],[Weekly change]])^52)-1</f>
        <v>9.7838843863279124E-2</v>
      </c>
      <c r="E1340" s="57">
        <f>(Table26[[#This Row],[M2 Money Stock, Billions of Dollars, Weekly, Seasonally Adjusted]]-B1288)/B1288</f>
        <v>5.257864360097176E-2</v>
      </c>
    </row>
    <row r="1341" spans="1:5" x14ac:dyDescent="0.2">
      <c r="A1341" s="50">
        <v>38866</v>
      </c>
      <c r="B1341" s="51">
        <v>6799.7</v>
      </c>
      <c r="C1341" s="53">
        <f>(Table26[[#This Row],[M2 Money Stock, Billions of Dollars, Weekly, Seasonally Adjusted]]-B1340)/B1340</f>
        <v>-4.1161337743479334E-4</v>
      </c>
      <c r="D1341" s="54">
        <f>((1+Table26[[#This Row],[Weekly change]])^52)-1</f>
        <v>-2.1180770783027714E-2</v>
      </c>
      <c r="E1341" s="57">
        <f>(Table26[[#This Row],[M2 Money Stock, Billions of Dollars, Weekly, Seasonally Adjusted]]-B1289)/B1289</f>
        <v>5.2699208892604404E-2</v>
      </c>
    </row>
    <row r="1342" spans="1:5" x14ac:dyDescent="0.2">
      <c r="A1342" s="50">
        <v>38873</v>
      </c>
      <c r="B1342" s="51">
        <v>6807.3</v>
      </c>
      <c r="C1342" s="53">
        <f>(Table26[[#This Row],[M2 Money Stock, Billions of Dollars, Weekly, Seasonally Adjusted]]-B1341)/B1341</f>
        <v>1.1176963689575076E-3</v>
      </c>
      <c r="D1342" s="54">
        <f>((1+Table26[[#This Row],[Weekly change]])^52)-1</f>
        <v>5.980799507298884E-2</v>
      </c>
      <c r="E1342" s="57">
        <f>(Table26[[#This Row],[M2 Money Stock, Billions of Dollars, Weekly, Seasonally Adjusted]]-B1290)/B1290</f>
        <v>5.1986586100851592E-2</v>
      </c>
    </row>
    <row r="1343" spans="1:5" x14ac:dyDescent="0.2">
      <c r="A1343" s="50">
        <v>38880</v>
      </c>
      <c r="B1343" s="51">
        <v>6818.7</v>
      </c>
      <c r="C1343" s="53">
        <f>(Table26[[#This Row],[M2 Money Stock, Billions of Dollars, Weekly, Seasonally Adjusted]]-B1342)/B1342</f>
        <v>1.6746727777532408E-3</v>
      </c>
      <c r="D1343" s="54">
        <f>((1+Table26[[#This Row],[Weekly change]])^52)-1</f>
        <v>9.0907750192044778E-2</v>
      </c>
      <c r="E1343" s="57">
        <f>(Table26[[#This Row],[M2 Money Stock, Billions of Dollars, Weekly, Seasonally Adjusted]]-B1291)/B1291</f>
        <v>5.2138624861128198E-2</v>
      </c>
    </row>
    <row r="1344" spans="1:5" x14ac:dyDescent="0.2">
      <c r="A1344" s="50">
        <v>38887</v>
      </c>
      <c r="B1344" s="51">
        <v>6830.3</v>
      </c>
      <c r="C1344" s="53">
        <f>(Table26[[#This Row],[M2 Money Stock, Billions of Dollars, Weekly, Seasonally Adjusted]]-B1343)/B1343</f>
        <v>1.7012040418262079E-3</v>
      </c>
      <c r="D1344" s="54">
        <f>((1+Table26[[#This Row],[Weekly change]])^52)-1</f>
        <v>9.2411293632116642E-2</v>
      </c>
      <c r="E1344" s="57">
        <f>(Table26[[#This Row],[M2 Money Stock, Billions of Dollars, Weekly, Seasonally Adjusted]]-B1292)/B1292</f>
        <v>5.0572944705068089E-2</v>
      </c>
    </row>
    <row r="1345" spans="1:5" x14ac:dyDescent="0.2">
      <c r="A1345" s="50">
        <v>38894</v>
      </c>
      <c r="B1345" s="51">
        <v>6850.3</v>
      </c>
      <c r="C1345" s="53">
        <f>(Table26[[#This Row],[M2 Money Stock, Billions of Dollars, Weekly, Seasonally Adjusted]]-B1344)/B1344</f>
        <v>2.9281290719294904E-3</v>
      </c>
      <c r="D1345" s="54">
        <f>((1+Table26[[#This Row],[Weekly change]])^52)-1</f>
        <v>0.16420706398977103</v>
      </c>
      <c r="E1345" s="57">
        <f>(Table26[[#This Row],[M2 Money Stock, Billions of Dollars, Weekly, Seasonally Adjusted]]-B1293)/B1293</f>
        <v>5.2564457146369252E-2</v>
      </c>
    </row>
    <row r="1346" spans="1:5" x14ac:dyDescent="0.2">
      <c r="A1346" s="50">
        <v>38901</v>
      </c>
      <c r="B1346" s="51">
        <v>6849.8</v>
      </c>
      <c r="C1346" s="53">
        <f>(Table26[[#This Row],[M2 Money Stock, Billions of Dollars, Weekly, Seasonally Adjusted]]-B1345)/B1345</f>
        <v>-7.2989504109309081E-5</v>
      </c>
      <c r="D1346" s="54">
        <f>((1+Table26[[#This Row],[Weekly change]])^52)-1</f>
        <v>-3.7883985773894402E-3</v>
      </c>
      <c r="E1346" s="57">
        <f>(Table26[[#This Row],[M2 Money Stock, Billions of Dollars, Weekly, Seasonally Adjusted]]-B1294)/B1294</f>
        <v>5.3313035321615812E-2</v>
      </c>
    </row>
    <row r="1347" spans="1:5" x14ac:dyDescent="0.2">
      <c r="A1347" s="50">
        <v>38908</v>
      </c>
      <c r="B1347" s="51">
        <v>6869.3</v>
      </c>
      <c r="C1347" s="53">
        <f>(Table26[[#This Row],[M2 Money Stock, Billions of Dollars, Weekly, Seasonally Adjusted]]-B1346)/B1346</f>
        <v>2.8467984466699755E-3</v>
      </c>
      <c r="D1347" s="54">
        <f>((1+Table26[[#This Row],[Weekly change]])^52)-1</f>
        <v>0.15930792127496329</v>
      </c>
      <c r="E1347" s="57">
        <f>(Table26[[#This Row],[M2 Money Stock, Billions of Dollars, Weekly, Seasonally Adjusted]]-B1295)/B1295</f>
        <v>5.5921912228114698E-2</v>
      </c>
    </row>
    <row r="1348" spans="1:5" x14ac:dyDescent="0.2">
      <c r="A1348" s="50">
        <v>38915</v>
      </c>
      <c r="B1348" s="51">
        <v>6877.2</v>
      </c>
      <c r="C1348" s="53">
        <f>(Table26[[#This Row],[M2 Money Stock, Billions of Dollars, Weekly, Seasonally Adjusted]]-B1347)/B1347</f>
        <v>1.1500444004483188E-3</v>
      </c>
      <c r="D1348" s="54">
        <f>((1+Table26[[#This Row],[Weekly change]])^52)-1</f>
        <v>6.1590173317929153E-2</v>
      </c>
      <c r="E1348" s="57">
        <f>(Table26[[#This Row],[M2 Money Stock, Billions of Dollars, Weekly, Seasonally Adjusted]]-B1296)/B1296</f>
        <v>5.4526496565259971E-2</v>
      </c>
    </row>
    <row r="1349" spans="1:5" x14ac:dyDescent="0.2">
      <c r="A1349" s="50">
        <v>38922</v>
      </c>
      <c r="B1349" s="51">
        <v>6880.8</v>
      </c>
      <c r="C1349" s="53">
        <f>(Table26[[#This Row],[M2 Money Stock, Billions of Dollars, Weekly, Seasonally Adjusted]]-B1348)/B1348</f>
        <v>5.2346885360326351E-4</v>
      </c>
      <c r="D1349" s="54">
        <f>((1+Table26[[#This Row],[Weekly change]])^52)-1</f>
        <v>2.7586920901885303E-2</v>
      </c>
      <c r="E1349" s="57">
        <f>(Table26[[#This Row],[M2 Money Stock, Billions of Dollars, Weekly, Seasonally Adjusted]]-B1297)/B1297</f>
        <v>5.2995638533935296E-2</v>
      </c>
    </row>
    <row r="1350" spans="1:5" x14ac:dyDescent="0.2">
      <c r="A1350" s="50">
        <v>38929</v>
      </c>
      <c r="B1350" s="51">
        <v>6872.3</v>
      </c>
      <c r="C1350" s="53">
        <f>(Table26[[#This Row],[M2 Money Stock, Billions of Dollars, Weekly, Seasonally Adjusted]]-B1349)/B1349</f>
        <v>-1.2353214742471805E-3</v>
      </c>
      <c r="D1350" s="54">
        <f>((1+Table26[[#This Row],[Weekly change]])^52)-1</f>
        <v>-6.2254253478316257E-2</v>
      </c>
      <c r="E1350" s="57">
        <f>(Table26[[#This Row],[M2 Money Stock, Billions of Dollars, Weekly, Seasonally Adjusted]]-B1298)/B1298</f>
        <v>4.9318247751668119E-2</v>
      </c>
    </row>
    <row r="1351" spans="1:5" x14ac:dyDescent="0.2">
      <c r="A1351" s="50">
        <v>38936</v>
      </c>
      <c r="B1351" s="51">
        <v>6883.1</v>
      </c>
      <c r="C1351" s="53">
        <f>(Table26[[#This Row],[M2 Money Stock, Billions of Dollars, Weekly, Seasonally Adjusted]]-B1350)/B1350</f>
        <v>1.5715262721359925E-3</v>
      </c>
      <c r="D1351" s="54">
        <f>((1+Table26[[#This Row],[Weekly change]])^52)-1</f>
        <v>8.5081632273216634E-2</v>
      </c>
      <c r="E1351" s="57">
        <f>(Table26[[#This Row],[M2 Money Stock, Billions of Dollars, Weekly, Seasonally Adjusted]]-B1299)/B1299</f>
        <v>5.1641686146888507E-2</v>
      </c>
    </row>
    <row r="1352" spans="1:5" x14ac:dyDescent="0.2">
      <c r="A1352" s="50">
        <v>38943</v>
      </c>
      <c r="B1352" s="51">
        <v>6891.5</v>
      </c>
      <c r="C1352" s="53">
        <f>(Table26[[#This Row],[M2 Money Stock, Billions of Dollars, Weekly, Seasonally Adjusted]]-B1351)/B1351</f>
        <v>1.2203803518762819E-3</v>
      </c>
      <c r="D1352" s="54">
        <f>((1+Table26[[#This Row],[Weekly change]])^52)-1</f>
        <v>6.5475402878741651E-2</v>
      </c>
      <c r="E1352" s="57">
        <f>(Table26[[#This Row],[M2 Money Stock, Billions of Dollars, Weekly, Seasonally Adjusted]]-B1300)/B1300</f>
        <v>5.1687828104016571E-2</v>
      </c>
    </row>
    <row r="1353" spans="1:5" x14ac:dyDescent="0.2">
      <c r="A1353" s="50">
        <v>38950</v>
      </c>
      <c r="B1353" s="51">
        <v>6916.1</v>
      </c>
      <c r="C1353" s="53">
        <f>(Table26[[#This Row],[M2 Money Stock, Billions of Dollars, Weekly, Seasonally Adjusted]]-B1352)/B1352</f>
        <v>3.5696147427991529E-3</v>
      </c>
      <c r="D1353" s="54">
        <f>((1+Table26[[#This Row],[Weekly change]])^52)-1</f>
        <v>0.20356677058105466</v>
      </c>
      <c r="E1353" s="57">
        <f>(Table26[[#This Row],[M2 Money Stock, Billions of Dollars, Weekly, Seasonally Adjusted]]-B1301)/B1301</f>
        <v>5.3304092231309295E-2</v>
      </c>
    </row>
    <row r="1354" spans="1:5" x14ac:dyDescent="0.2">
      <c r="A1354" s="50">
        <v>38957</v>
      </c>
      <c r="B1354" s="51">
        <v>6914.3</v>
      </c>
      <c r="C1354" s="53">
        <f>(Table26[[#This Row],[M2 Money Stock, Billions of Dollars, Weekly, Seasonally Adjusted]]-B1353)/B1353</f>
        <v>-2.6026228654880376E-4</v>
      </c>
      <c r="D1354" s="54">
        <f>((1+Table26[[#This Row],[Weekly change]])^52)-1</f>
        <v>-1.3444208724770479E-2</v>
      </c>
      <c r="E1354" s="57">
        <f>(Table26[[#This Row],[M2 Money Stock, Billions of Dollars, Weekly, Seasonally Adjusted]]-B1302)/B1302</f>
        <v>5.4201988168567417E-2</v>
      </c>
    </row>
    <row r="1355" spans="1:5" x14ac:dyDescent="0.2">
      <c r="A1355" s="50">
        <v>38964</v>
      </c>
      <c r="B1355" s="51">
        <v>6922.8</v>
      </c>
      <c r="C1355" s="53">
        <f>(Table26[[#This Row],[M2 Money Stock, Billions of Dollars, Weekly, Seasonally Adjusted]]-B1354)/B1354</f>
        <v>1.2293363030241673E-3</v>
      </c>
      <c r="D1355" s="54">
        <f>((1+Table26[[#This Row],[Weekly change]])^52)-1</f>
        <v>6.597111309767012E-2</v>
      </c>
      <c r="E1355" s="57">
        <f>(Table26[[#This Row],[M2 Money Stock, Billions of Dollars, Weekly, Seasonally Adjusted]]-B1303)/B1303</f>
        <v>5.3137597931086966E-2</v>
      </c>
    </row>
    <row r="1356" spans="1:5" x14ac:dyDescent="0.2">
      <c r="A1356" s="50">
        <v>38971</v>
      </c>
      <c r="B1356" s="51">
        <v>6922.2</v>
      </c>
      <c r="C1356" s="53">
        <f>(Table26[[#This Row],[M2 Money Stock, Billions of Dollars, Weekly, Seasonally Adjusted]]-B1355)/B1355</f>
        <v>-8.6670133472058095E-5</v>
      </c>
      <c r="D1356" s="54">
        <f>((1+Table26[[#This Row],[Weekly change]])^52)-1</f>
        <v>-4.4969007831335839E-3</v>
      </c>
      <c r="E1356" s="57">
        <f>(Table26[[#This Row],[M2 Money Stock, Billions of Dollars, Weekly, Seasonally Adjusted]]-B1304)/B1304</f>
        <v>5.2245952724785258E-2</v>
      </c>
    </row>
    <row r="1357" spans="1:5" x14ac:dyDescent="0.2">
      <c r="A1357" s="50">
        <v>38978</v>
      </c>
      <c r="B1357" s="51">
        <v>6924.8</v>
      </c>
      <c r="C1357" s="53">
        <f>(Table26[[#This Row],[M2 Money Stock, Billions of Dollars, Weekly, Seasonally Adjusted]]-B1356)/B1356</f>
        <v>3.7560313195232208E-4</v>
      </c>
      <c r="D1357" s="54">
        <f>((1+Table26[[#This Row],[Weekly change]])^52)-1</f>
        <v>1.971960837830955E-2</v>
      </c>
      <c r="E1357" s="57">
        <f>(Table26[[#This Row],[M2 Money Stock, Billions of Dollars, Weekly, Seasonally Adjusted]]-B1305)/B1305</f>
        <v>5.0087193873682642E-2</v>
      </c>
    </row>
    <row r="1358" spans="1:5" x14ac:dyDescent="0.2">
      <c r="A1358" s="50">
        <v>38985</v>
      </c>
      <c r="B1358" s="51">
        <v>6936.3</v>
      </c>
      <c r="C1358" s="53">
        <f>(Table26[[#This Row],[M2 Money Stock, Billions of Dollars, Weekly, Seasonally Adjusted]]-B1357)/B1357</f>
        <v>1.6606977818853974E-3</v>
      </c>
      <c r="D1358" s="54">
        <f>((1+Table26[[#This Row],[Weekly change]])^52)-1</f>
        <v>9.0116594663829819E-2</v>
      </c>
      <c r="E1358" s="57">
        <f>(Table26[[#This Row],[M2 Money Stock, Billions of Dollars, Weekly, Seasonally Adjusted]]-B1306)/B1306</f>
        <v>5.0381610030892213E-2</v>
      </c>
    </row>
    <row r="1359" spans="1:5" x14ac:dyDescent="0.2">
      <c r="A1359" s="50">
        <v>38992</v>
      </c>
      <c r="B1359" s="51">
        <v>6947.8</v>
      </c>
      <c r="C1359" s="53">
        <f>(Table26[[#This Row],[M2 Money Stock, Billions of Dollars, Weekly, Seasonally Adjusted]]-B1358)/B1358</f>
        <v>1.6579444372359904E-3</v>
      </c>
      <c r="D1359" s="54">
        <f>((1+Table26[[#This Row],[Weekly change]])^52)-1</f>
        <v>8.9960788082922516E-2</v>
      </c>
      <c r="E1359" s="57">
        <f>(Table26[[#This Row],[M2 Money Stock, Billions of Dollars, Weekly, Seasonally Adjusted]]-B1307)/B1307</f>
        <v>5.2043427567723052E-2</v>
      </c>
    </row>
    <row r="1360" spans="1:5" x14ac:dyDescent="0.2">
      <c r="A1360" s="50">
        <v>38999</v>
      </c>
      <c r="B1360" s="51">
        <v>6972.7</v>
      </c>
      <c r="C1360" s="53">
        <f>(Table26[[#This Row],[M2 Money Stock, Billions of Dollars, Weekly, Seasonally Adjusted]]-B1359)/B1359</f>
        <v>3.5838682748495403E-3</v>
      </c>
      <c r="D1360" s="54">
        <f>((1+Table26[[#This Row],[Weekly change]])^52)-1</f>
        <v>0.20445598362244666</v>
      </c>
      <c r="E1360" s="57">
        <f>(Table26[[#This Row],[M2 Money Stock, Billions of Dollars, Weekly, Seasonally Adjusted]]-B1308)/B1308</f>
        <v>5.416969037252059E-2</v>
      </c>
    </row>
    <row r="1361" spans="1:5" x14ac:dyDescent="0.2">
      <c r="A1361" s="50">
        <v>39006</v>
      </c>
      <c r="B1361" s="51">
        <v>6980.4</v>
      </c>
      <c r="C1361" s="53">
        <f>(Table26[[#This Row],[M2 Money Stock, Billions of Dollars, Weekly, Seasonally Adjusted]]-B1360)/B1360</f>
        <v>1.1043067965063487E-3</v>
      </c>
      <c r="D1361" s="54">
        <f>((1+Table26[[#This Row],[Weekly change]])^52)-1</f>
        <v>5.9071170677061025E-2</v>
      </c>
      <c r="E1361" s="57">
        <f>(Table26[[#This Row],[M2 Money Stock, Billions of Dollars, Weekly, Seasonally Adjusted]]-B1309)/B1309</f>
        <v>5.2771284216876498E-2</v>
      </c>
    </row>
    <row r="1362" spans="1:5" x14ac:dyDescent="0.2">
      <c r="A1362" s="50">
        <v>39013</v>
      </c>
      <c r="B1362" s="51">
        <v>6987.2</v>
      </c>
      <c r="C1362" s="53">
        <f>(Table26[[#This Row],[M2 Money Stock, Billions of Dollars, Weekly, Seasonally Adjusted]]-B1361)/B1361</f>
        <v>9.7415620881327462E-4</v>
      </c>
      <c r="D1362" s="54">
        <f>((1+Table26[[#This Row],[Weekly change]])^52)-1</f>
        <v>5.1935147321199082E-2</v>
      </c>
      <c r="E1362" s="57">
        <f>(Table26[[#This Row],[M2 Money Stock, Billions of Dollars, Weekly, Seasonally Adjusted]]-B1310)/B1310</f>
        <v>5.3113884367275523E-2</v>
      </c>
    </row>
    <row r="1363" spans="1:5" x14ac:dyDescent="0.2">
      <c r="A1363" s="50">
        <v>39020</v>
      </c>
      <c r="B1363" s="51">
        <v>6984.8</v>
      </c>
      <c r="C1363" s="53">
        <f>(Table26[[#This Row],[M2 Money Stock, Billions of Dollars, Weekly, Seasonally Adjusted]]-B1362)/B1362</f>
        <v>-3.4348523013505211E-4</v>
      </c>
      <c r="D1363" s="54">
        <f>((1+Table26[[#This Row],[Weekly change]])^52)-1</f>
        <v>-1.7705679546909825E-2</v>
      </c>
      <c r="E1363" s="57">
        <f>(Table26[[#This Row],[M2 Money Stock, Billions of Dollars, Weekly, Seasonally Adjusted]]-B1311)/B1311</f>
        <v>5.3832226916113488E-2</v>
      </c>
    </row>
    <row r="1364" spans="1:5" x14ac:dyDescent="0.2">
      <c r="A1364" s="50">
        <v>39027</v>
      </c>
      <c r="B1364" s="51">
        <v>6994.5</v>
      </c>
      <c r="C1364" s="53">
        <f>(Table26[[#This Row],[M2 Money Stock, Billions of Dollars, Weekly, Seasonally Adjusted]]-B1363)/B1363</f>
        <v>1.3887298133088732E-3</v>
      </c>
      <c r="D1364" s="54">
        <f>((1+Table26[[#This Row],[Weekly change]])^52)-1</f>
        <v>7.4831444889321475E-2</v>
      </c>
      <c r="E1364" s="57">
        <f>(Table26[[#This Row],[M2 Money Stock, Billions of Dollars, Weekly, Seasonally Adjusted]]-B1312)/B1312</f>
        <v>5.5056942454182065E-2</v>
      </c>
    </row>
    <row r="1365" spans="1:5" x14ac:dyDescent="0.2">
      <c r="A1365" s="50">
        <v>39034</v>
      </c>
      <c r="B1365" s="51">
        <v>6999.9</v>
      </c>
      <c r="C1365" s="53">
        <f>(Table26[[#This Row],[M2 Money Stock, Billions of Dollars, Weekly, Seasonally Adjusted]]-B1364)/B1364</f>
        <v>7.7203517049104816E-4</v>
      </c>
      <c r="D1365" s="54">
        <f>((1+Table26[[#This Row],[Weekly change]])^52)-1</f>
        <v>4.0946442144639938E-2</v>
      </c>
      <c r="E1365" s="57">
        <f>(Table26[[#This Row],[M2 Money Stock, Billions of Dollars, Weekly, Seasonally Adjusted]]-B1313)/B1313</f>
        <v>5.4694209646069705E-2</v>
      </c>
    </row>
    <row r="1366" spans="1:5" x14ac:dyDescent="0.2">
      <c r="A1366" s="50">
        <v>39041</v>
      </c>
      <c r="B1366" s="51">
        <v>7014.5</v>
      </c>
      <c r="C1366" s="53">
        <f>(Table26[[#This Row],[M2 Money Stock, Billions of Dollars, Weekly, Seasonally Adjusted]]-B1365)/B1365</f>
        <v>2.0857440820583671E-3</v>
      </c>
      <c r="D1366" s="54">
        <f>((1+Table26[[#This Row],[Weekly change]])^52)-1</f>
        <v>0.11443298369377253</v>
      </c>
      <c r="E1366" s="57">
        <f>(Table26[[#This Row],[M2 Money Stock, Billions of Dollars, Weekly, Seasonally Adjusted]]-B1314)/B1314</f>
        <v>5.4383934342447454E-2</v>
      </c>
    </row>
    <row r="1367" spans="1:5" x14ac:dyDescent="0.2">
      <c r="A1367" s="50">
        <v>39048</v>
      </c>
      <c r="B1367" s="51">
        <v>7037.7</v>
      </c>
      <c r="C1367" s="53">
        <f>(Table26[[#This Row],[M2 Money Stock, Billions of Dollars, Weekly, Seasonally Adjusted]]-B1366)/B1366</f>
        <v>3.3074345997576192E-3</v>
      </c>
      <c r="D1367" s="54">
        <f>((1+Table26[[#This Row],[Weekly change]])^52)-1</f>
        <v>0.18732491677230034</v>
      </c>
      <c r="E1367" s="57">
        <f>(Table26[[#This Row],[M2 Money Stock, Billions of Dollars, Weekly, Seasonally Adjusted]]-B1315)/B1315</f>
        <v>5.9479721795682325E-2</v>
      </c>
    </row>
    <row r="1368" spans="1:5" x14ac:dyDescent="0.2">
      <c r="A1368" s="50">
        <v>39055</v>
      </c>
      <c r="B1368" s="51">
        <v>7033</v>
      </c>
      <c r="C1368" s="53">
        <f>(Table26[[#This Row],[M2 Money Stock, Billions of Dollars, Weekly, Seasonally Adjusted]]-B1367)/B1367</f>
        <v>-6.678318200548216E-4</v>
      </c>
      <c r="D1368" s="54">
        <f>((1+Table26[[#This Row],[Weekly change]])^52)-1</f>
        <v>-3.4142388551623548E-2</v>
      </c>
      <c r="E1368" s="57">
        <f>(Table26[[#This Row],[M2 Money Stock, Billions of Dollars, Weekly, Seasonally Adjusted]]-B1316)/B1316</f>
        <v>5.7323691687839226E-2</v>
      </c>
    </row>
    <row r="1369" spans="1:5" x14ac:dyDescent="0.2">
      <c r="A1369" s="50">
        <v>39062</v>
      </c>
      <c r="B1369" s="51">
        <v>7038.5</v>
      </c>
      <c r="C1369" s="53">
        <f>(Table26[[#This Row],[M2 Money Stock, Billions of Dollars, Weekly, Seasonally Adjusted]]-B1368)/B1368</f>
        <v>7.8202758424569883E-4</v>
      </c>
      <c r="D1369" s="54">
        <f>((1+Table26[[#This Row],[Weekly change]])^52)-1</f>
        <v>4.1487044030132925E-2</v>
      </c>
      <c r="E1369" s="57">
        <f>(Table26[[#This Row],[M2 Money Stock, Billions of Dollars, Weekly, Seasonally Adjusted]]-B1317)/B1317</f>
        <v>5.7133416440125505E-2</v>
      </c>
    </row>
    <row r="1370" spans="1:5" x14ac:dyDescent="0.2">
      <c r="A1370" s="50">
        <v>39069</v>
      </c>
      <c r="B1370" s="51">
        <v>7049.4</v>
      </c>
      <c r="C1370" s="53">
        <f>(Table26[[#This Row],[M2 Money Stock, Billions of Dollars, Weekly, Seasonally Adjusted]]-B1369)/B1369</f>
        <v>1.5486254173473946E-3</v>
      </c>
      <c r="D1370" s="54">
        <f>((1+Table26[[#This Row],[Weekly change]])^52)-1</f>
        <v>8.3792248251543411E-2</v>
      </c>
      <c r="E1370" s="57">
        <f>(Table26[[#This Row],[M2 Money Stock, Billions of Dollars, Weekly, Seasonally Adjusted]]-B1318)/B1318</f>
        <v>5.6897404758692038E-2</v>
      </c>
    </row>
    <row r="1371" spans="1:5" x14ac:dyDescent="0.2">
      <c r="A1371" s="50">
        <v>39076</v>
      </c>
      <c r="B1371" s="51">
        <v>7076</v>
      </c>
      <c r="C1371" s="53">
        <f>(Table26[[#This Row],[M2 Money Stock, Billions of Dollars, Weekly, Seasonally Adjusted]]-B1370)/B1370</f>
        <v>3.7733707833291293E-3</v>
      </c>
      <c r="D1371" s="54">
        <f>((1+Table26[[#This Row],[Weekly change]])^52)-1</f>
        <v>0.21633959025894067</v>
      </c>
      <c r="E1371" s="57">
        <f>(Table26[[#This Row],[M2 Money Stock, Billions of Dollars, Weekly, Seasonally Adjusted]]-B1319)/B1319</f>
        <v>5.974150454538641E-2</v>
      </c>
    </row>
    <row r="1372" spans="1:5" x14ac:dyDescent="0.2">
      <c r="A1372" s="50">
        <v>39083</v>
      </c>
      <c r="B1372" s="51">
        <v>7083.9</v>
      </c>
      <c r="C1372" s="53">
        <f>(Table26[[#This Row],[M2 Money Stock, Billions of Dollars, Weekly, Seasonally Adjusted]]-B1371)/B1371</f>
        <v>1.1164499717353923E-3</v>
      </c>
      <c r="D1372" s="54">
        <f>((1+Table26[[#This Row],[Weekly change]])^52)-1</f>
        <v>5.9739384968391152E-2</v>
      </c>
      <c r="E1372" s="57">
        <f>(Table26[[#This Row],[M2 Money Stock, Billions of Dollars, Weekly, Seasonally Adjusted]]-B1320)/B1320</f>
        <v>6.0003890526567807E-2</v>
      </c>
    </row>
    <row r="1373" spans="1:5" x14ac:dyDescent="0.2">
      <c r="A1373" s="50">
        <v>39090</v>
      </c>
      <c r="B1373" s="51">
        <v>7085.1</v>
      </c>
      <c r="C1373" s="53">
        <f>(Table26[[#This Row],[M2 Money Stock, Billions of Dollars, Weekly, Seasonally Adjusted]]-B1372)/B1372</f>
        <v>1.6939821284895718E-4</v>
      </c>
      <c r="D1373" s="54">
        <f>((1+Table26[[#This Row],[Weekly change]])^52)-1</f>
        <v>8.8468652902353728E-3</v>
      </c>
      <c r="E1373" s="57">
        <f>(Table26[[#This Row],[M2 Money Stock, Billions of Dollars, Weekly, Seasonally Adjusted]]-B1321)/B1321</f>
        <v>5.7367140746489256E-2</v>
      </c>
    </row>
    <row r="1374" spans="1:5" x14ac:dyDescent="0.2">
      <c r="A1374" s="50">
        <v>39097</v>
      </c>
      <c r="B1374" s="51">
        <v>7102.8</v>
      </c>
      <c r="C1374" s="53">
        <f>(Table26[[#This Row],[M2 Money Stock, Billions of Dollars, Weekly, Seasonally Adjusted]]-B1373)/B1373</f>
        <v>2.4982004488292072E-3</v>
      </c>
      <c r="D1374" s="54">
        <f>((1+Table26[[#This Row],[Weekly change]])^52)-1</f>
        <v>0.13853736665962657</v>
      </c>
      <c r="E1374" s="57">
        <f>(Table26[[#This Row],[M2 Money Stock, Billions of Dollars, Weekly, Seasonally Adjusted]]-B1322)/B1322</f>
        <v>5.8050677034454989E-2</v>
      </c>
    </row>
    <row r="1375" spans="1:5" x14ac:dyDescent="0.2">
      <c r="A1375" s="50">
        <v>39104</v>
      </c>
      <c r="B1375" s="51">
        <v>7098.8</v>
      </c>
      <c r="C1375" s="53">
        <f>(Table26[[#This Row],[M2 Money Stock, Billions of Dollars, Weekly, Seasonally Adjusted]]-B1374)/B1374</f>
        <v>-5.6315819113589001E-4</v>
      </c>
      <c r="D1375" s="54">
        <f>((1+Table26[[#This Row],[Weekly change]])^52)-1</f>
        <v>-2.8867608885631557E-2</v>
      </c>
      <c r="E1375" s="57">
        <f>(Table26[[#This Row],[M2 Money Stock, Billions of Dollars, Weekly, Seasonally Adjusted]]-B1323)/B1323</f>
        <v>5.5850549581306801E-2</v>
      </c>
    </row>
    <row r="1376" spans="1:5" x14ac:dyDescent="0.2">
      <c r="A1376" s="50">
        <v>39111</v>
      </c>
      <c r="B1376" s="51">
        <v>7094.8</v>
      </c>
      <c r="C1376" s="53">
        <f>(Table26[[#This Row],[M2 Money Stock, Billions of Dollars, Weekly, Seasonally Adjusted]]-B1375)/B1375</f>
        <v>-5.6347551698878687E-4</v>
      </c>
      <c r="D1376" s="54">
        <f>((1+Table26[[#This Row],[Weekly change]])^52)-1</f>
        <v>-2.8883642386831831E-2</v>
      </c>
      <c r="E1376" s="57">
        <f>(Table26[[#This Row],[M2 Money Stock, Billions of Dollars, Weekly, Seasonally Adjusted]]-B1324)/B1324</f>
        <v>5.6984938098714299E-2</v>
      </c>
    </row>
    <row r="1377" spans="1:5" x14ac:dyDescent="0.2">
      <c r="A1377" s="50">
        <v>39118</v>
      </c>
      <c r="B1377" s="51">
        <v>7102.8</v>
      </c>
      <c r="C1377" s="53">
        <f>(Table26[[#This Row],[M2 Money Stock, Billions of Dollars, Weekly, Seasonally Adjusted]]-B1376)/B1376</f>
        <v>1.1275864013080002E-3</v>
      </c>
      <c r="D1377" s="54">
        <f>((1+Table26[[#This Row],[Weekly change]])^52)-1</f>
        <v>6.0352563575222451E-2</v>
      </c>
      <c r="E1377" s="57">
        <f>(Table26[[#This Row],[M2 Money Stock, Billions of Dollars, Weekly, Seasonally Adjusted]]-B1325)/B1325</f>
        <v>5.7767055354510204E-2</v>
      </c>
    </row>
    <row r="1378" spans="1:5" x14ac:dyDescent="0.2">
      <c r="A1378" s="50">
        <v>39125</v>
      </c>
      <c r="B1378" s="51">
        <v>7103.8</v>
      </c>
      <c r="C1378" s="53">
        <f>(Table26[[#This Row],[M2 Money Stock, Billions of Dollars, Weekly, Seasonally Adjusted]]-B1377)/B1377</f>
        <v>1.407895477839725E-4</v>
      </c>
      <c r="D1378" s="54">
        <f>((1+Table26[[#This Row],[Weekly change]])^52)-1</f>
        <v>7.3474018353920645E-3</v>
      </c>
      <c r="E1378" s="57">
        <f>(Table26[[#This Row],[M2 Money Stock, Billions of Dollars, Weekly, Seasonally Adjusted]]-B1326)/B1326</f>
        <v>5.7050175584786707E-2</v>
      </c>
    </row>
    <row r="1379" spans="1:5" x14ac:dyDescent="0.2">
      <c r="A1379" s="50">
        <v>39132</v>
      </c>
      <c r="B1379" s="51">
        <v>7109.2</v>
      </c>
      <c r="C1379" s="53">
        <f>(Table26[[#This Row],[M2 Money Stock, Billions of Dollars, Weekly, Seasonally Adjusted]]-B1378)/B1378</f>
        <v>7.601565359384605E-4</v>
      </c>
      <c r="D1379" s="54">
        <f>((1+Table26[[#This Row],[Weekly change]])^52)-1</f>
        <v>4.0304151425751611E-2</v>
      </c>
      <c r="E1379" s="57">
        <f>(Table26[[#This Row],[M2 Money Stock, Billions of Dollars, Weekly, Seasonally Adjusted]]-B1327)/B1327</f>
        <v>5.4151838671411601E-2</v>
      </c>
    </row>
    <row r="1380" spans="1:5" x14ac:dyDescent="0.2">
      <c r="A1380" s="50">
        <v>39139</v>
      </c>
      <c r="B1380" s="51">
        <v>7127.2</v>
      </c>
      <c r="C1380" s="53">
        <f>(Table26[[#This Row],[M2 Money Stock, Billions of Dollars, Weekly, Seasonally Adjusted]]-B1379)/B1379</f>
        <v>2.5319304563101333E-3</v>
      </c>
      <c r="D1380" s="54">
        <f>((1+Table26[[#This Row],[Weekly change]])^52)-1</f>
        <v>0.14053104976959485</v>
      </c>
      <c r="E1380" s="57">
        <f>(Table26[[#This Row],[M2 Money Stock, Billions of Dollars, Weekly, Seasonally Adjusted]]-B1328)/B1328</f>
        <v>5.5178029461840229E-2</v>
      </c>
    </row>
    <row r="1381" spans="1:5" x14ac:dyDescent="0.2">
      <c r="A1381" s="50">
        <v>39146</v>
      </c>
      <c r="B1381" s="51">
        <v>7111</v>
      </c>
      <c r="C1381" s="53">
        <f>(Table26[[#This Row],[M2 Money Stock, Billions of Dollars, Weekly, Seasonally Adjusted]]-B1380)/B1380</f>
        <v>-2.2729823773711723E-3</v>
      </c>
      <c r="D1381" s="54">
        <f>((1+Table26[[#This Row],[Weekly change]])^52)-1</f>
        <v>-0.11159682683366201</v>
      </c>
      <c r="E1381" s="57">
        <f>(Table26[[#This Row],[M2 Money Stock, Billions of Dollars, Weekly, Seasonally Adjusted]]-B1329)/B1329</f>
        <v>5.316943127962085E-2</v>
      </c>
    </row>
    <row r="1382" spans="1:5" x14ac:dyDescent="0.2">
      <c r="A1382" s="50">
        <v>39153</v>
      </c>
      <c r="B1382" s="51">
        <v>7121.2</v>
      </c>
      <c r="C1382" s="53">
        <f>(Table26[[#This Row],[M2 Money Stock, Billions of Dollars, Weekly, Seasonally Adjusted]]-B1381)/B1381</f>
        <v>1.4343974124595442E-3</v>
      </c>
      <c r="D1382" s="54">
        <f>((1+Table26[[#This Row],[Weekly change]])^52)-1</f>
        <v>7.7383290075301536E-2</v>
      </c>
      <c r="E1382" s="57">
        <f>(Table26[[#This Row],[M2 Money Stock, Billions of Dollars, Weekly, Seasonally Adjusted]]-B1330)/B1330</f>
        <v>5.6918533030559389E-2</v>
      </c>
    </row>
    <row r="1383" spans="1:5" x14ac:dyDescent="0.2">
      <c r="A1383" s="50">
        <v>39160</v>
      </c>
      <c r="B1383" s="51">
        <v>7135.8</v>
      </c>
      <c r="C1383" s="53">
        <f>(Table26[[#This Row],[M2 Money Stock, Billions of Dollars, Weekly, Seasonally Adjusted]]-B1382)/B1382</f>
        <v>2.0502162556872948E-3</v>
      </c>
      <c r="D1383" s="54">
        <f>((1+Table26[[#This Row],[Weekly change]])^52)-1</f>
        <v>0.11238026954816838</v>
      </c>
      <c r="E1383" s="57">
        <f>(Table26[[#This Row],[M2 Money Stock, Billions of Dollars, Weekly, Seasonally Adjusted]]-B1331)/B1331</f>
        <v>5.765696330112053E-2</v>
      </c>
    </row>
    <row r="1384" spans="1:5" x14ac:dyDescent="0.2">
      <c r="A1384" s="50">
        <v>39167</v>
      </c>
      <c r="B1384" s="51">
        <v>7173.4</v>
      </c>
      <c r="C1384" s="53">
        <f>(Table26[[#This Row],[M2 Money Stock, Billions of Dollars, Weekly, Seasonally Adjusted]]-B1383)/B1383</f>
        <v>5.2692059755037211E-3</v>
      </c>
      <c r="D1384" s="54">
        <f>((1+Table26[[#This Row],[Weekly change]])^52)-1</f>
        <v>0.31426734561606007</v>
      </c>
      <c r="E1384" s="57">
        <f>(Table26[[#This Row],[M2 Money Stock, Billions of Dollars, Weekly, Seasonally Adjusted]]-B1332)/B1332</f>
        <v>6.1640693217303796E-2</v>
      </c>
    </row>
    <row r="1385" spans="1:5" x14ac:dyDescent="0.2">
      <c r="A1385" s="50">
        <v>39174</v>
      </c>
      <c r="B1385" s="51">
        <v>7186.5</v>
      </c>
      <c r="C1385" s="53">
        <f>(Table26[[#This Row],[M2 Money Stock, Billions of Dollars, Weekly, Seasonally Adjusted]]-B1384)/B1384</f>
        <v>1.8261912064014784E-3</v>
      </c>
      <c r="D1385" s="54">
        <f>((1+Table26[[#This Row],[Weekly change]])^52)-1</f>
        <v>9.9521778901309643E-2</v>
      </c>
      <c r="E1385" s="57">
        <f>(Table26[[#This Row],[M2 Money Stock, Billions of Dollars, Weekly, Seasonally Adjusted]]-B1333)/B1333</f>
        <v>6.3689648026997447E-2</v>
      </c>
    </row>
    <row r="1386" spans="1:5" x14ac:dyDescent="0.2">
      <c r="A1386" s="50">
        <v>39181</v>
      </c>
      <c r="B1386" s="51">
        <v>7202.4</v>
      </c>
      <c r="C1386" s="53">
        <f>(Table26[[#This Row],[M2 Money Stock, Billions of Dollars, Weekly, Seasonally Adjusted]]-B1385)/B1385</f>
        <v>2.2124817365893881E-3</v>
      </c>
      <c r="D1386" s="54">
        <f>((1+Table26[[#This Row],[Weekly change]])^52)-1</f>
        <v>0.12178589644088422</v>
      </c>
      <c r="E1386" s="57">
        <f>(Table26[[#This Row],[M2 Money Stock, Billions of Dollars, Weekly, Seasonally Adjusted]]-B1334)/B1334</f>
        <v>6.3540113111147101E-2</v>
      </c>
    </row>
    <row r="1387" spans="1:5" x14ac:dyDescent="0.2">
      <c r="A1387" s="50">
        <v>39188</v>
      </c>
      <c r="B1387" s="51">
        <v>7221.2</v>
      </c>
      <c r="C1387" s="53">
        <f>(Table26[[#This Row],[M2 Money Stock, Billions of Dollars, Weekly, Seasonally Adjusted]]-B1386)/B1386</f>
        <v>2.6102410307675475E-3</v>
      </c>
      <c r="D1387" s="54">
        <f>((1+Table26[[#This Row],[Weekly change]])^52)-1</f>
        <v>0.14517297326274736</v>
      </c>
      <c r="E1387" s="57">
        <f>(Table26[[#This Row],[M2 Money Stock, Billions of Dollars, Weekly, Seasonally Adjusted]]-B1335)/B1335</f>
        <v>6.3411186051306134E-2</v>
      </c>
    </row>
    <row r="1388" spans="1:5" x14ac:dyDescent="0.2">
      <c r="A1388" s="50">
        <v>39195</v>
      </c>
      <c r="B1388" s="51">
        <v>7236.1</v>
      </c>
      <c r="C1388" s="53">
        <f>(Table26[[#This Row],[M2 Money Stock, Billions of Dollars, Weekly, Seasonally Adjusted]]-B1387)/B1387</f>
        <v>2.0633689691464778E-3</v>
      </c>
      <c r="D1388" s="54">
        <f>((1+Table26[[#This Row],[Weekly change]])^52)-1</f>
        <v>0.11313976969606343</v>
      </c>
      <c r="E1388" s="57">
        <f>(Table26[[#This Row],[M2 Money Stock, Billions of Dollars, Weekly, Seasonally Adjusted]]-B1336)/B1336</f>
        <v>6.3882027758174545E-2</v>
      </c>
    </row>
    <row r="1389" spans="1:5" x14ac:dyDescent="0.2">
      <c r="A1389" s="50">
        <v>39202</v>
      </c>
      <c r="B1389" s="51">
        <v>7218.5</v>
      </c>
      <c r="C1389" s="53">
        <f>(Table26[[#This Row],[M2 Money Stock, Billions of Dollars, Weekly, Seasonally Adjusted]]-B1388)/B1388</f>
        <v>-2.4322494161219941E-3</v>
      </c>
      <c r="D1389" s="54">
        <f>((1+Table26[[#This Row],[Weekly change]])^52)-1</f>
        <v>-0.11894130425816285</v>
      </c>
      <c r="E1389" s="57">
        <f>(Table26[[#This Row],[M2 Money Stock, Billions of Dollars, Weekly, Seasonally Adjusted]]-B1337)/B1337</f>
        <v>6.2231443875448759E-2</v>
      </c>
    </row>
    <row r="1390" spans="1:5" x14ac:dyDescent="0.2">
      <c r="A1390" s="50">
        <v>39209</v>
      </c>
      <c r="B1390" s="51">
        <v>7222</v>
      </c>
      <c r="C1390" s="53">
        <f>(Table26[[#This Row],[M2 Money Stock, Billions of Dollars, Weekly, Seasonally Adjusted]]-B1389)/B1389</f>
        <v>4.8486527671954009E-4</v>
      </c>
      <c r="D1390" s="54">
        <f>((1+Table26[[#This Row],[Weekly change]])^52)-1</f>
        <v>2.5527263671094813E-2</v>
      </c>
      <c r="E1390" s="57">
        <f>(Table26[[#This Row],[M2 Money Stock, Billions of Dollars, Weekly, Seasonally Adjusted]]-B1338)/B1338</f>
        <v>6.5977859778597783E-2</v>
      </c>
    </row>
    <row r="1391" spans="1:5" x14ac:dyDescent="0.2">
      <c r="A1391" s="50">
        <v>39216</v>
      </c>
      <c r="B1391" s="51">
        <v>7224.1</v>
      </c>
      <c r="C1391" s="53">
        <f>(Table26[[#This Row],[M2 Money Stock, Billions of Dollars, Weekly, Seasonally Adjusted]]-B1390)/B1390</f>
        <v>2.9077817779013624E-4</v>
      </c>
      <c r="D1391" s="54">
        <f>((1+Table26[[#This Row],[Weekly change]])^52)-1</f>
        <v>1.5233126417413922E-2</v>
      </c>
      <c r="E1391" s="57">
        <f>(Table26[[#This Row],[M2 Money Stock, Billions of Dollars, Weekly, Seasonally Adjusted]]-B1339)/B1339</f>
        <v>6.3885248074459181E-2</v>
      </c>
    </row>
    <row r="1392" spans="1:5" x14ac:dyDescent="0.2">
      <c r="A1392" s="50">
        <v>39223</v>
      </c>
      <c r="B1392" s="51">
        <v>7236.4</v>
      </c>
      <c r="C1392" s="53">
        <f>(Table26[[#This Row],[M2 Money Stock, Billions of Dollars, Weekly, Seasonally Adjusted]]-B1391)/B1391</f>
        <v>1.7026342381748969E-3</v>
      </c>
      <c r="D1392" s="54">
        <f>((1+Table26[[#This Row],[Weekly change]])^52)-1</f>
        <v>9.2492401466560237E-2</v>
      </c>
      <c r="E1392" s="57">
        <f>(Table26[[#This Row],[M2 Money Stock, Billions of Dollars, Weekly, Seasonally Adjusted]]-B1340)/B1340</f>
        <v>6.378537302462324E-2</v>
      </c>
    </row>
    <row r="1393" spans="1:5" x14ac:dyDescent="0.2">
      <c r="A1393" s="50">
        <v>39230</v>
      </c>
      <c r="B1393" s="51">
        <v>7235.9</v>
      </c>
      <c r="C1393" s="53">
        <f>(Table26[[#This Row],[M2 Money Stock, Billions of Dollars, Weekly, Seasonally Adjusted]]-B1392)/B1392</f>
        <v>-6.9095130175225256E-5</v>
      </c>
      <c r="D1393" s="54">
        <f>((1+Table26[[#This Row],[Weekly change]])^52)-1</f>
        <v>-3.5866235473870356E-3</v>
      </c>
      <c r="E1393" s="57">
        <f>(Table26[[#This Row],[M2 Money Stock, Billions of Dollars, Weekly, Seasonally Adjusted]]-B1341)/B1341</f>
        <v>6.4149888965689641E-2</v>
      </c>
    </row>
    <row r="1394" spans="1:5" x14ac:dyDescent="0.2">
      <c r="A1394" s="50">
        <v>39237</v>
      </c>
      <c r="B1394" s="51">
        <v>7244</v>
      </c>
      <c r="C1394" s="53">
        <f>(Table26[[#This Row],[M2 Money Stock, Billions of Dollars, Weekly, Seasonally Adjusted]]-B1393)/B1393</f>
        <v>1.1194184552025821E-3</v>
      </c>
      <c r="D1394" s="54">
        <f>((1+Table26[[#This Row],[Weekly change]])^52)-1</f>
        <v>5.9902797475784419E-2</v>
      </c>
      <c r="E1394" s="57">
        <f>(Table26[[#This Row],[M2 Money Stock, Billions of Dollars, Weekly, Seasonally Adjusted]]-B1342)/B1342</f>
        <v>6.4151719477619593E-2</v>
      </c>
    </row>
    <row r="1395" spans="1:5" x14ac:dyDescent="0.2">
      <c r="A1395" s="50">
        <v>39244</v>
      </c>
      <c r="B1395" s="51">
        <v>7253.6</v>
      </c>
      <c r="C1395" s="53">
        <f>(Table26[[#This Row],[M2 Money Stock, Billions of Dollars, Weekly, Seasonally Adjusted]]-B1394)/B1394</f>
        <v>1.3252346769740977E-3</v>
      </c>
      <c r="D1395" s="54">
        <f>((1+Table26[[#This Row],[Weekly change]])^52)-1</f>
        <v>7.1293268826659206E-2</v>
      </c>
      <c r="E1395" s="57">
        <f>(Table26[[#This Row],[M2 Money Stock, Billions of Dollars, Weekly, Seasonally Adjusted]]-B1343)/B1343</f>
        <v>6.3780486016396173E-2</v>
      </c>
    </row>
    <row r="1396" spans="1:5" x14ac:dyDescent="0.2">
      <c r="A1396" s="50">
        <v>39251</v>
      </c>
      <c r="B1396" s="51">
        <v>7263</v>
      </c>
      <c r="C1396" s="53">
        <f>(Table26[[#This Row],[M2 Money Stock, Billions of Dollars, Weekly, Seasonally Adjusted]]-B1395)/B1395</f>
        <v>1.2959082386676459E-3</v>
      </c>
      <c r="D1396" s="54">
        <f>((1+Table26[[#This Row],[Weekly change]])^52)-1</f>
        <v>6.9662953651656201E-2</v>
      </c>
      <c r="E1396" s="57">
        <f>(Table26[[#This Row],[M2 Money Stock, Billions of Dollars, Weekly, Seasonally Adjusted]]-B1344)/B1344</f>
        <v>6.3350072471194507E-2</v>
      </c>
    </row>
    <row r="1397" spans="1:5" x14ac:dyDescent="0.2">
      <c r="A1397" s="50">
        <v>39258</v>
      </c>
      <c r="B1397" s="51">
        <v>7272.7</v>
      </c>
      <c r="C1397" s="53">
        <f>(Table26[[#This Row],[M2 Money Stock, Billions of Dollars, Weekly, Seasonally Adjusted]]-B1396)/B1396</f>
        <v>1.335536279774173E-3</v>
      </c>
      <c r="D1397" s="54">
        <f>((1+Table26[[#This Row],[Weekly change]])^52)-1</f>
        <v>7.1866533656354203E-2</v>
      </c>
      <c r="E1397" s="57">
        <f>(Table26[[#This Row],[M2 Money Stock, Billions of Dollars, Weekly, Seasonally Adjusted]]-B1345)/B1345</f>
        <v>6.1661533071544254E-2</v>
      </c>
    </row>
    <row r="1398" spans="1:5" x14ac:dyDescent="0.2">
      <c r="A1398" s="50">
        <v>39265</v>
      </c>
      <c r="B1398" s="51">
        <v>7284.9</v>
      </c>
      <c r="C1398" s="53">
        <f>(Table26[[#This Row],[M2 Money Stock, Billions of Dollars, Weekly, Seasonally Adjusted]]-B1397)/B1397</f>
        <v>1.6775062906485649E-3</v>
      </c>
      <c r="D1398" s="54">
        <f>((1+Table26[[#This Row],[Weekly change]])^52)-1</f>
        <v>9.1068230296760477E-2</v>
      </c>
      <c r="E1398" s="57">
        <f>(Table26[[#This Row],[M2 Money Stock, Billions of Dollars, Weekly, Seasonally Adjusted]]-B1346)/B1346</f>
        <v>6.3520102776723333E-2</v>
      </c>
    </row>
    <row r="1399" spans="1:5" x14ac:dyDescent="0.2">
      <c r="A1399" s="50">
        <v>39272</v>
      </c>
      <c r="B1399" s="51">
        <v>7279.6</v>
      </c>
      <c r="C1399" s="53">
        <f>(Table26[[#This Row],[M2 Money Stock, Billions of Dollars, Weekly, Seasonally Adjusted]]-B1398)/B1398</f>
        <v>-7.2753229282478452E-4</v>
      </c>
      <c r="D1399" s="54">
        <f>((1+Table26[[#This Row],[Weekly change]])^52)-1</f>
        <v>-3.7138258197254692E-2</v>
      </c>
      <c r="E1399" s="57">
        <f>(Table26[[#This Row],[M2 Money Stock, Billions of Dollars, Weekly, Seasonally Adjusted]]-B1347)/B1347</f>
        <v>5.9729521203033813E-2</v>
      </c>
    </row>
    <row r="1400" spans="1:5" x14ac:dyDescent="0.2">
      <c r="A1400" s="50">
        <v>39279</v>
      </c>
      <c r="B1400" s="51">
        <v>7291</v>
      </c>
      <c r="C1400" s="53">
        <f>(Table26[[#This Row],[M2 Money Stock, Billions of Dollars, Weekly, Seasonally Adjusted]]-B1399)/B1399</f>
        <v>1.5660201109950595E-3</v>
      </c>
      <c r="D1400" s="54">
        <f>((1+Table26[[#This Row],[Weekly change]])^52)-1</f>
        <v>8.4771482246954966E-2</v>
      </c>
      <c r="E1400" s="57">
        <f>(Table26[[#This Row],[M2 Money Stock, Billions of Dollars, Weekly, Seasonally Adjusted]]-B1348)/B1348</f>
        <v>6.0169836561391292E-2</v>
      </c>
    </row>
    <row r="1401" spans="1:5" x14ac:dyDescent="0.2">
      <c r="A1401" s="50">
        <v>39286</v>
      </c>
      <c r="B1401" s="51">
        <v>7300</v>
      </c>
      <c r="C1401" s="53">
        <f>(Table26[[#This Row],[M2 Money Stock, Billions of Dollars, Weekly, Seasonally Adjusted]]-B1400)/B1400</f>
        <v>1.2343985735838706E-3</v>
      </c>
      <c r="D1401" s="54">
        <f>((1+Table26[[#This Row],[Weekly change]])^52)-1</f>
        <v>6.6251408878602369E-2</v>
      </c>
      <c r="E1401" s="57">
        <f>(Table26[[#This Row],[M2 Money Stock, Billions of Dollars, Weekly, Seasonally Adjusted]]-B1349)/B1349</f>
        <v>6.0923148471107982E-2</v>
      </c>
    </row>
    <row r="1402" spans="1:5" x14ac:dyDescent="0.2">
      <c r="A1402" s="50">
        <v>39293</v>
      </c>
      <c r="B1402" s="51">
        <v>7306</v>
      </c>
      <c r="C1402" s="53">
        <f>(Table26[[#This Row],[M2 Money Stock, Billions of Dollars, Weekly, Seasonally Adjusted]]-B1401)/B1401</f>
        <v>8.2191780821917813E-4</v>
      </c>
      <c r="D1402" s="54">
        <f>((1+Table26[[#This Row],[Weekly change]])^52)-1</f>
        <v>4.3647899306843208E-2</v>
      </c>
      <c r="E1402" s="57">
        <f>(Table26[[#This Row],[M2 Money Stock, Billions of Dollars, Weekly, Seasonally Adjusted]]-B1350)/B1350</f>
        <v>6.3108420761608164E-2</v>
      </c>
    </row>
    <row r="1403" spans="1:5" x14ac:dyDescent="0.2">
      <c r="A1403" s="50">
        <v>39300</v>
      </c>
      <c r="B1403" s="51">
        <v>7323</v>
      </c>
      <c r="C1403" s="53">
        <f>(Table26[[#This Row],[M2 Money Stock, Billions of Dollars, Weekly, Seasonally Adjusted]]-B1402)/B1402</f>
        <v>2.3268546400218998E-3</v>
      </c>
      <c r="D1403" s="54">
        <f>((1+Table26[[#This Row],[Weekly change]])^52)-1</f>
        <v>0.12846227648739661</v>
      </c>
      <c r="E1403" s="57">
        <f>(Table26[[#This Row],[M2 Money Stock, Billions of Dollars, Weekly, Seasonally Adjusted]]-B1351)/B1351</f>
        <v>6.391015676076181E-2</v>
      </c>
    </row>
    <row r="1404" spans="1:5" x14ac:dyDescent="0.2">
      <c r="A1404" s="50">
        <v>39307</v>
      </c>
      <c r="B1404" s="51">
        <v>7342.7</v>
      </c>
      <c r="C1404" s="53">
        <f>(Table26[[#This Row],[M2 Money Stock, Billions of Dollars, Weekly, Seasonally Adjusted]]-B1403)/B1403</f>
        <v>2.6901543083435501E-3</v>
      </c>
      <c r="D1404" s="54">
        <f>((1+Table26[[#This Row],[Weekly change]])^52)-1</f>
        <v>0.14992899917631419</v>
      </c>
      <c r="E1404" s="57">
        <f>(Table26[[#This Row],[M2 Money Stock, Billions of Dollars, Weekly, Seasonally Adjusted]]-B1352)/B1352</f>
        <v>6.5471958209388351E-2</v>
      </c>
    </row>
    <row r="1405" spans="1:5" x14ac:dyDescent="0.2">
      <c r="A1405" s="50">
        <v>39314</v>
      </c>
      <c r="B1405" s="51">
        <v>7379.7</v>
      </c>
      <c r="C1405" s="53">
        <f>(Table26[[#This Row],[M2 Money Stock, Billions of Dollars, Weekly, Seasonally Adjusted]]-B1404)/B1404</f>
        <v>5.0390183447505685E-3</v>
      </c>
      <c r="D1405" s="54">
        <f>((1+Table26[[#This Row],[Weekly change]])^52)-1</f>
        <v>0.29870936999806652</v>
      </c>
      <c r="E1405" s="57">
        <f>(Table26[[#This Row],[M2 Money Stock, Billions of Dollars, Weekly, Seasonally Adjusted]]-B1353)/B1353</f>
        <v>6.7031997802229501E-2</v>
      </c>
    </row>
    <row r="1406" spans="1:5" x14ac:dyDescent="0.2">
      <c r="A1406" s="50">
        <v>39321</v>
      </c>
      <c r="B1406" s="51">
        <v>7416.9</v>
      </c>
      <c r="C1406" s="53">
        <f>(Table26[[#This Row],[M2 Money Stock, Billions of Dollars, Weekly, Seasonally Adjusted]]-B1405)/B1405</f>
        <v>5.0408553193218991E-3</v>
      </c>
      <c r="D1406" s="54">
        <f>((1+Table26[[#This Row],[Weekly change]])^52)-1</f>
        <v>0.29883280996060102</v>
      </c>
      <c r="E1406" s="57">
        <f>(Table26[[#This Row],[M2 Money Stock, Billions of Dollars, Weekly, Seasonally Adjusted]]-B1354)/B1354</f>
        <v>7.268993245881715E-2</v>
      </c>
    </row>
    <row r="1407" spans="1:5" x14ac:dyDescent="0.2">
      <c r="A1407" s="50">
        <v>39328</v>
      </c>
      <c r="B1407" s="51">
        <v>7395.9</v>
      </c>
      <c r="C1407" s="53">
        <f>(Table26[[#This Row],[M2 Money Stock, Billions of Dollars, Weekly, Seasonally Adjusted]]-B1406)/B1406</f>
        <v>-2.8313715972980626E-3</v>
      </c>
      <c r="D1407" s="54">
        <f>((1+Table26[[#This Row],[Weekly change]])^52)-1</f>
        <v>-0.13708591835539241</v>
      </c>
      <c r="E1407" s="57">
        <f>(Table26[[#This Row],[M2 Money Stock, Billions of Dollars, Weekly, Seasonally Adjusted]]-B1355)/B1355</f>
        <v>6.833940024267629E-2</v>
      </c>
    </row>
    <row r="1408" spans="1:5" x14ac:dyDescent="0.2">
      <c r="A1408" s="50">
        <v>39335</v>
      </c>
      <c r="B1408" s="51">
        <v>7384</v>
      </c>
      <c r="C1408" s="53">
        <f>(Table26[[#This Row],[M2 Money Stock, Billions of Dollars, Weekly, Seasonally Adjusted]]-B1407)/B1407</f>
        <v>-1.6089995808487997E-3</v>
      </c>
      <c r="D1408" s="54">
        <f>((1+Table26[[#This Row],[Weekly change]])^52)-1</f>
        <v>-8.032539467336719E-2</v>
      </c>
      <c r="E1408" s="57">
        <f>(Table26[[#This Row],[M2 Money Stock, Billions of Dollars, Weekly, Seasonally Adjusted]]-B1356)/B1356</f>
        <v>6.6712894744445431E-2</v>
      </c>
    </row>
    <row r="1409" spans="1:5" x14ac:dyDescent="0.2">
      <c r="A1409" s="50">
        <v>39342</v>
      </c>
      <c r="B1409" s="51">
        <v>7388.5</v>
      </c>
      <c r="C1409" s="53">
        <f>(Table26[[#This Row],[M2 Money Stock, Billions of Dollars, Weekly, Seasonally Adjusted]]-B1408)/B1408</f>
        <v>6.0942578548212349E-4</v>
      </c>
      <c r="D1409" s="54">
        <f>((1+Table26[[#This Row],[Weekly change]])^52)-1</f>
        <v>3.2187656654132146E-2</v>
      </c>
      <c r="E1409" s="57">
        <f>(Table26[[#This Row],[M2 Money Stock, Billions of Dollars, Weekly, Seasonally Adjusted]]-B1357)/B1357</f>
        <v>6.6962222735674648E-2</v>
      </c>
    </row>
    <row r="1410" spans="1:5" x14ac:dyDescent="0.2">
      <c r="A1410" s="50">
        <v>39349</v>
      </c>
      <c r="B1410" s="51">
        <v>7386.3</v>
      </c>
      <c r="C1410" s="53">
        <f>(Table26[[#This Row],[M2 Money Stock, Billions of Dollars, Weekly, Seasonally Adjusted]]-B1409)/B1409</f>
        <v>-2.9776003248288801E-4</v>
      </c>
      <c r="D1410" s="54">
        <f>((1+Table26[[#This Row],[Weekly change]])^52)-1</f>
        <v>-1.5366538465747315E-2</v>
      </c>
      <c r="E1410" s="57">
        <f>(Table26[[#This Row],[M2 Money Stock, Billions of Dollars, Weekly, Seasonally Adjusted]]-B1358)/B1358</f>
        <v>6.4876086674451799E-2</v>
      </c>
    </row>
    <row r="1411" spans="1:5" x14ac:dyDescent="0.2">
      <c r="A1411" s="50">
        <v>39356</v>
      </c>
      <c r="B1411" s="51">
        <v>7396.2</v>
      </c>
      <c r="C1411" s="53">
        <f>(Table26[[#This Row],[M2 Money Stock, Billions of Dollars, Weekly, Seasonally Adjusted]]-B1410)/B1410</f>
        <v>1.3403192396734002E-3</v>
      </c>
      <c r="D1411" s="54">
        <f>((1+Table26[[#This Row],[Weekly change]])^52)-1</f>
        <v>7.2132798645253571E-2</v>
      </c>
      <c r="E1411" s="57">
        <f>(Table26[[#This Row],[M2 Money Stock, Billions of Dollars, Weekly, Seasonally Adjusted]]-B1359)/B1359</f>
        <v>6.4538415037853653E-2</v>
      </c>
    </row>
    <row r="1412" spans="1:5" x14ac:dyDescent="0.2">
      <c r="A1412" s="50">
        <v>39363</v>
      </c>
      <c r="B1412" s="51">
        <v>7402.6</v>
      </c>
      <c r="C1412" s="53">
        <f>(Table26[[#This Row],[M2 Money Stock, Billions of Dollars, Weekly, Seasonally Adjusted]]-B1411)/B1411</f>
        <v>8.653092128390993E-4</v>
      </c>
      <c r="D1412" s="54">
        <f>((1+Table26[[#This Row],[Weekly change]])^52)-1</f>
        <v>4.6003406709511196E-2</v>
      </c>
      <c r="E1412" s="57">
        <f>(Table26[[#This Row],[M2 Money Stock, Billions of Dollars, Weekly, Seasonally Adjusted]]-B1360)/B1360</f>
        <v>6.1654739197154695E-2</v>
      </c>
    </row>
    <row r="1413" spans="1:5" x14ac:dyDescent="0.2">
      <c r="A1413" s="50">
        <v>39370</v>
      </c>
      <c r="B1413" s="51">
        <v>7391.8</v>
      </c>
      <c r="C1413" s="53">
        <f>(Table26[[#This Row],[M2 Money Stock, Billions of Dollars, Weekly, Seasonally Adjusted]]-B1412)/B1412</f>
        <v>-1.4589468565098995E-3</v>
      </c>
      <c r="D1413" s="54">
        <f>((1+Table26[[#This Row],[Weekly change]])^52)-1</f>
        <v>-7.3110231064213438E-2</v>
      </c>
      <c r="E1413" s="57">
        <f>(Table26[[#This Row],[M2 Money Stock, Billions of Dollars, Weekly, Seasonally Adjusted]]-B1361)/B1361</f>
        <v>5.8936450633201617E-2</v>
      </c>
    </row>
    <row r="1414" spans="1:5" x14ac:dyDescent="0.2">
      <c r="A1414" s="50">
        <v>39377</v>
      </c>
      <c r="B1414" s="51">
        <v>7392.9</v>
      </c>
      <c r="C1414" s="53">
        <f>(Table26[[#This Row],[M2 Money Stock, Billions of Dollars, Weekly, Seasonally Adjusted]]-B1413)/B1413</f>
        <v>1.4881355015009258E-4</v>
      </c>
      <c r="D1414" s="54">
        <f>((1+Table26[[#This Row],[Weekly change]])^52)-1</f>
        <v>7.7677424691575681E-3</v>
      </c>
      <c r="E1414" s="57">
        <f>(Table26[[#This Row],[M2 Money Stock, Billions of Dollars, Weekly, Seasonally Adjusted]]-B1362)/B1362</f>
        <v>5.8063315777421548E-2</v>
      </c>
    </row>
    <row r="1415" spans="1:5" x14ac:dyDescent="0.2">
      <c r="A1415" s="50">
        <v>39384</v>
      </c>
      <c r="B1415" s="51">
        <v>7423.1</v>
      </c>
      <c r="C1415" s="53">
        <f>(Table26[[#This Row],[M2 Money Stock, Billions of Dollars, Weekly, Seasonally Adjusted]]-B1414)/B1414</f>
        <v>4.0850004734273061E-3</v>
      </c>
      <c r="D1415" s="54">
        <f>((1+Table26[[#This Row],[Weekly change]])^52)-1</f>
        <v>0.23613222890312024</v>
      </c>
      <c r="E1415" s="57">
        <f>(Table26[[#This Row],[M2 Money Stock, Billions of Dollars, Weekly, Seasonally Adjusted]]-B1363)/B1363</f>
        <v>6.2750544038483583E-2</v>
      </c>
    </row>
    <row r="1416" spans="1:5" x14ac:dyDescent="0.2">
      <c r="A1416" s="50">
        <v>39391</v>
      </c>
      <c r="B1416" s="51">
        <v>7409.2</v>
      </c>
      <c r="C1416" s="53">
        <f>(Table26[[#This Row],[M2 Money Stock, Billions of Dollars, Weekly, Seasonally Adjusted]]-B1415)/B1415</f>
        <v>-1.8725330387574658E-3</v>
      </c>
      <c r="D1416" s="54">
        <f>((1+Table26[[#This Row],[Weekly change]])^52)-1</f>
        <v>-9.2864093097533851E-2</v>
      </c>
      <c r="E1416" s="57">
        <f>(Table26[[#This Row],[M2 Money Stock, Billions of Dollars, Weekly, Seasonally Adjusted]]-B1364)/B1364</f>
        <v>5.928944170419613E-2</v>
      </c>
    </row>
    <row r="1417" spans="1:5" x14ac:dyDescent="0.2">
      <c r="A1417" s="50">
        <v>39398</v>
      </c>
      <c r="B1417" s="51">
        <v>7408.5</v>
      </c>
      <c r="C1417" s="53">
        <f>(Table26[[#This Row],[M2 Money Stock, Billions of Dollars, Weekly, Seasonally Adjusted]]-B1416)/B1416</f>
        <v>-9.4477136532934478E-5</v>
      </c>
      <c r="D1417" s="54">
        <f>((1+Table26[[#This Row],[Weekly change]])^52)-1</f>
        <v>-4.9009939327241403E-3</v>
      </c>
      <c r="E1417" s="57">
        <f>(Table26[[#This Row],[M2 Money Stock, Billions of Dollars, Weekly, Seasonally Adjusted]]-B1365)/B1365</f>
        <v>5.8372262460892353E-2</v>
      </c>
    </row>
    <row r="1418" spans="1:5" x14ac:dyDescent="0.2">
      <c r="A1418" s="50">
        <v>39405</v>
      </c>
      <c r="B1418" s="51">
        <v>7427.4</v>
      </c>
      <c r="C1418" s="53">
        <f>(Table26[[#This Row],[M2 Money Stock, Billions of Dollars, Weekly, Seasonally Adjusted]]-B1417)/B1417</f>
        <v>2.5511237092528359E-3</v>
      </c>
      <c r="D1418" s="54">
        <f>((1+Table26[[#This Row],[Weekly change]])^52)-1</f>
        <v>0.14166703547014947</v>
      </c>
      <c r="E1418" s="57">
        <f>(Table26[[#This Row],[M2 Money Stock, Billions of Dollars, Weekly, Seasonally Adjusted]]-B1366)/B1366</f>
        <v>5.8863782165514238E-2</v>
      </c>
    </row>
    <row r="1419" spans="1:5" x14ac:dyDescent="0.2">
      <c r="A1419" s="50">
        <v>39412</v>
      </c>
      <c r="B1419" s="51">
        <v>7452.8</v>
      </c>
      <c r="C1419" s="53">
        <f>(Table26[[#This Row],[M2 Money Stock, Billions of Dollars, Weekly, Seasonally Adjusted]]-B1418)/B1418</f>
        <v>3.4197700406603318E-3</v>
      </c>
      <c r="D1419" s="54">
        <f>((1+Table26[[#This Row],[Weekly change]])^52)-1</f>
        <v>0.19425751755343823</v>
      </c>
      <c r="E1419" s="57">
        <f>(Table26[[#This Row],[M2 Money Stock, Billions of Dollars, Weekly, Seasonally Adjusted]]-B1367)/B1367</f>
        <v>5.8982337979737752E-2</v>
      </c>
    </row>
    <row r="1420" spans="1:5" x14ac:dyDescent="0.2">
      <c r="A1420" s="50">
        <v>39419</v>
      </c>
      <c r="B1420" s="51">
        <v>7441.4</v>
      </c>
      <c r="C1420" s="53">
        <f>(Table26[[#This Row],[M2 Money Stock, Billions of Dollars, Weekly, Seasonally Adjusted]]-B1419)/B1419</f>
        <v>-1.529626449119867E-3</v>
      </c>
      <c r="D1420" s="54">
        <f>((1+Table26[[#This Row],[Weekly change]])^52)-1</f>
        <v>-7.6515691795623231E-2</v>
      </c>
      <c r="E1420" s="57">
        <f>(Table26[[#This Row],[M2 Money Stock, Billions of Dollars, Weekly, Seasonally Adjusted]]-B1368)/B1368</f>
        <v>5.8069102801080567E-2</v>
      </c>
    </row>
    <row r="1421" spans="1:5" x14ac:dyDescent="0.2">
      <c r="A1421" s="50">
        <v>39426</v>
      </c>
      <c r="B1421" s="51">
        <v>7453.4</v>
      </c>
      <c r="C1421" s="53">
        <f>(Table26[[#This Row],[M2 Money Stock, Billions of Dollars, Weekly, Seasonally Adjusted]]-B1420)/B1420</f>
        <v>1.6125997796113635E-3</v>
      </c>
      <c r="D1421" s="54">
        <f>((1+Table26[[#This Row],[Weekly change]])^52)-1</f>
        <v>8.739795893132718E-2</v>
      </c>
      <c r="E1421" s="57">
        <f>(Table26[[#This Row],[M2 Money Stock, Billions of Dollars, Weekly, Seasonally Adjusted]]-B1369)/B1369</f>
        <v>5.8947218867656408E-2</v>
      </c>
    </row>
    <row r="1422" spans="1:5" x14ac:dyDescent="0.2">
      <c r="A1422" s="50">
        <v>39433</v>
      </c>
      <c r="B1422" s="51">
        <v>7456.6</v>
      </c>
      <c r="C1422" s="53">
        <f>(Table26[[#This Row],[M2 Money Stock, Billions of Dollars, Weekly, Seasonally Adjusted]]-B1421)/B1421</f>
        <v>4.2933426355766866E-4</v>
      </c>
      <c r="D1422" s="54">
        <f>((1+Table26[[#This Row],[Weekly change]])^52)-1</f>
        <v>2.2571558706036887E-2</v>
      </c>
      <c r="E1422" s="57">
        <f>(Table26[[#This Row],[M2 Money Stock, Billions of Dollars, Weekly, Seasonally Adjusted]]-B1370)/B1370</f>
        <v>5.7763781314721929E-2</v>
      </c>
    </row>
    <row r="1423" spans="1:5" x14ac:dyDescent="0.2">
      <c r="A1423" s="50">
        <v>39440</v>
      </c>
      <c r="B1423" s="51">
        <v>7460.9</v>
      </c>
      <c r="C1423" s="53">
        <f>(Table26[[#This Row],[M2 Money Stock, Billions of Dollars, Weekly, Seasonally Adjusted]]-B1422)/B1422</f>
        <v>5.7667033232294503E-4</v>
      </c>
      <c r="D1423" s="54">
        <f>((1+Table26[[#This Row],[Weekly change]])^52)-1</f>
        <v>3.0432085063770486E-2</v>
      </c>
      <c r="E1423" s="57">
        <f>(Table26[[#This Row],[M2 Money Stock, Billions of Dollars, Weekly, Seasonally Adjusted]]-B1371)/B1371</f>
        <v>5.439513849632556E-2</v>
      </c>
    </row>
    <row r="1424" spans="1:5" x14ac:dyDescent="0.2">
      <c r="A1424" s="50">
        <v>39447</v>
      </c>
      <c r="B1424" s="51">
        <v>7468.2</v>
      </c>
      <c r="C1424" s="53">
        <f>(Table26[[#This Row],[M2 Money Stock, Billions of Dollars, Weekly, Seasonally Adjusted]]-B1423)/B1423</f>
        <v>9.7843423715639958E-4</v>
      </c>
      <c r="D1424" s="54">
        <f>((1+Table26[[#This Row],[Weekly change]])^52)-1</f>
        <v>5.2168955895791402E-2</v>
      </c>
      <c r="E1424" s="57">
        <f>(Table26[[#This Row],[M2 Money Stock, Billions of Dollars, Weekly, Seasonally Adjusted]]-B1372)/B1372</f>
        <v>5.4249777664845664E-2</v>
      </c>
    </row>
    <row r="1425" spans="1:5" x14ac:dyDescent="0.2">
      <c r="A1425" s="50">
        <v>39454</v>
      </c>
      <c r="B1425" s="51">
        <v>7464.4</v>
      </c>
      <c r="C1425" s="53">
        <f>(Table26[[#This Row],[M2 Money Stock, Billions of Dollars, Weekly, Seasonally Adjusted]]-B1424)/B1424</f>
        <v>-5.0882408076915217E-4</v>
      </c>
      <c r="D1425" s="54">
        <f>((1+Table26[[#This Row],[Weekly change]])^52)-1</f>
        <v>-2.6118441517759772E-2</v>
      </c>
      <c r="E1425" s="57">
        <f>(Table26[[#This Row],[M2 Money Stock, Billions of Dollars, Weekly, Seasonally Adjusted]]-B1373)/B1373</f>
        <v>5.353488306445911E-2</v>
      </c>
    </row>
    <row r="1426" spans="1:5" x14ac:dyDescent="0.2">
      <c r="A1426" s="50">
        <v>39461</v>
      </c>
      <c r="B1426" s="51">
        <v>7459.6</v>
      </c>
      <c r="C1426" s="53">
        <f>(Table26[[#This Row],[M2 Money Stock, Billions of Dollars, Weekly, Seasonally Adjusted]]-B1425)/B1425</f>
        <v>-6.4305235517915342E-4</v>
      </c>
      <c r="D1426" s="54">
        <f>((1+Table26[[#This Row],[Weekly change]])^52)-1</f>
        <v>-3.289623047484902E-2</v>
      </c>
      <c r="E1426" s="57">
        <f>(Table26[[#This Row],[M2 Money Stock, Billions of Dollars, Weekly, Seasonally Adjusted]]-B1374)/B1374</f>
        <v>5.0233710649321417E-2</v>
      </c>
    </row>
    <row r="1427" spans="1:5" x14ac:dyDescent="0.2">
      <c r="A1427" s="50">
        <v>39468</v>
      </c>
      <c r="B1427" s="51">
        <v>7491.2</v>
      </c>
      <c r="C1427" s="53">
        <f>(Table26[[#This Row],[M2 Money Stock, Billions of Dollars, Weekly, Seasonally Adjusted]]-B1426)/B1426</f>
        <v>4.2361520724971116E-3</v>
      </c>
      <c r="D1427" s="54">
        <f>((1+Table26[[#This Row],[Weekly change]])^52)-1</f>
        <v>0.24584579371598636</v>
      </c>
      <c r="E1427" s="57">
        <f>(Table26[[#This Row],[M2 Money Stock, Billions of Dollars, Weekly, Seasonally Adjusted]]-B1375)/B1375</f>
        <v>5.5276948216599939E-2</v>
      </c>
    </row>
    <row r="1428" spans="1:5" x14ac:dyDescent="0.2">
      <c r="A1428" s="50">
        <v>39475</v>
      </c>
      <c r="B1428" s="51">
        <v>7525.5</v>
      </c>
      <c r="C1428" s="53">
        <f>(Table26[[#This Row],[M2 Money Stock, Billions of Dollars, Weekly, Seasonally Adjusted]]-B1427)/B1427</f>
        <v>4.5787056813327886E-3</v>
      </c>
      <c r="D1428" s="54">
        <f>((1+Table26[[#This Row],[Weekly change]])^52)-1</f>
        <v>0.26813748321129727</v>
      </c>
      <c r="E1428" s="57">
        <f>(Table26[[#This Row],[M2 Money Stock, Billions of Dollars, Weekly, Seasonally Adjusted]]-B1376)/B1376</f>
        <v>6.0706432880419436E-2</v>
      </c>
    </row>
    <row r="1429" spans="1:5" x14ac:dyDescent="0.2">
      <c r="A1429" s="50">
        <v>39482</v>
      </c>
      <c r="B1429" s="51">
        <v>7554</v>
      </c>
      <c r="C1429" s="53">
        <f>(Table26[[#This Row],[M2 Money Stock, Billions of Dollars, Weekly, Seasonally Adjusted]]-B1428)/B1428</f>
        <v>3.7871237791508869E-3</v>
      </c>
      <c r="D1429" s="54">
        <f>((1+Table26[[#This Row],[Weekly change]])^52)-1</f>
        <v>0.21720649538425008</v>
      </c>
      <c r="E1429" s="57">
        <f>(Table26[[#This Row],[M2 Money Stock, Billions of Dollars, Weekly, Seasonally Adjusted]]-B1377)/B1377</f>
        <v>6.3524243960128374E-2</v>
      </c>
    </row>
    <row r="1430" spans="1:5" x14ac:dyDescent="0.2">
      <c r="A1430" s="50">
        <v>39489</v>
      </c>
      <c r="B1430" s="51">
        <v>7563</v>
      </c>
      <c r="C1430" s="53">
        <f>(Table26[[#This Row],[M2 Money Stock, Billions of Dollars, Weekly, Seasonally Adjusted]]-B1429)/B1429</f>
        <v>1.1914217633042098E-3</v>
      </c>
      <c r="D1430" s="54">
        <f>((1+Table26[[#This Row],[Weekly change]])^52)-1</f>
        <v>6.387409733822591E-2</v>
      </c>
      <c r="E1430" s="57">
        <f>(Table26[[#This Row],[M2 Money Stock, Billions of Dollars, Weekly, Seasonally Adjusted]]-B1378)/B1378</f>
        <v>6.4641459500548976E-2</v>
      </c>
    </row>
    <row r="1431" spans="1:5" x14ac:dyDescent="0.2">
      <c r="A1431" s="50">
        <v>39496</v>
      </c>
      <c r="B1431" s="51">
        <v>7565.3</v>
      </c>
      <c r="C1431" s="53">
        <f>(Table26[[#This Row],[M2 Money Stock, Billions of Dollars, Weekly, Seasonally Adjusted]]-B1430)/B1430</f>
        <v>3.0411212481821787E-4</v>
      </c>
      <c r="D1431" s="54">
        <f>((1+Table26[[#This Row],[Weekly change]])^52)-1</f>
        <v>1.5937088416434264E-2</v>
      </c>
      <c r="E1431" s="57">
        <f>(Table26[[#This Row],[M2 Money Stock, Billions of Dollars, Weekly, Seasonally Adjusted]]-B1379)/B1379</f>
        <v>6.4156304506836265E-2</v>
      </c>
    </row>
    <row r="1432" spans="1:5" x14ac:dyDescent="0.2">
      <c r="A1432" s="50">
        <v>39503</v>
      </c>
      <c r="B1432" s="51">
        <v>7596.9</v>
      </c>
      <c r="C1432" s="53">
        <f>(Table26[[#This Row],[M2 Money Stock, Billions of Dollars, Weekly, Seasonally Adjusted]]-B1431)/B1431</f>
        <v>4.1769658837057955E-3</v>
      </c>
      <c r="D1432" s="54">
        <f>((1+Table26[[#This Row],[Weekly change]])^52)-1</f>
        <v>0.24203338358600979</v>
      </c>
      <c r="E1432" s="57">
        <f>(Table26[[#This Row],[M2 Money Stock, Billions of Dollars, Weekly, Seasonally Adjusted]]-B1380)/B1380</f>
        <v>6.5902458188348834E-2</v>
      </c>
    </row>
    <row r="1433" spans="1:5" x14ac:dyDescent="0.2">
      <c r="A1433" s="50">
        <v>39510</v>
      </c>
      <c r="B1433" s="51">
        <v>7606.9</v>
      </c>
      <c r="C1433" s="53">
        <f>(Table26[[#This Row],[M2 Money Stock, Billions of Dollars, Weekly, Seasonally Adjusted]]-B1432)/B1432</f>
        <v>1.3163263962932248E-3</v>
      </c>
      <c r="D1433" s="54">
        <f>((1+Table26[[#This Row],[Weekly change]])^52)-1</f>
        <v>7.0797782208095184E-2</v>
      </c>
      <c r="E1433" s="57">
        <f>(Table26[[#This Row],[M2 Money Stock, Billions of Dollars, Weekly, Seasonally Adjusted]]-B1381)/B1381</f>
        <v>6.9737027141049027E-2</v>
      </c>
    </row>
    <row r="1434" spans="1:5" x14ac:dyDescent="0.2">
      <c r="A1434" s="50">
        <v>39517</v>
      </c>
      <c r="B1434" s="51">
        <v>7619.8</v>
      </c>
      <c r="C1434" s="53">
        <f>(Table26[[#This Row],[M2 Money Stock, Billions of Dollars, Weekly, Seasonally Adjusted]]-B1433)/B1433</f>
        <v>1.6958287870223806E-3</v>
      </c>
      <c r="D1434" s="54">
        <f>((1+Table26[[#This Row],[Weekly change]])^52)-1</f>
        <v>9.2106510477942383E-2</v>
      </c>
      <c r="E1434" s="57">
        <f>(Table26[[#This Row],[M2 Money Stock, Billions of Dollars, Weekly, Seasonally Adjusted]]-B1382)/B1382</f>
        <v>7.0016289389428804E-2</v>
      </c>
    </row>
    <row r="1435" spans="1:5" x14ac:dyDescent="0.2">
      <c r="A1435" s="50">
        <v>39524</v>
      </c>
      <c r="B1435" s="51">
        <v>7644.7</v>
      </c>
      <c r="C1435" s="53">
        <f>(Table26[[#This Row],[M2 Money Stock, Billions of Dollars, Weekly, Seasonally Adjusted]]-B1434)/B1434</f>
        <v>3.2678023045223806E-3</v>
      </c>
      <c r="D1435" s="54">
        <f>((1+Table26[[#This Row],[Weekly change]])^52)-1</f>
        <v>0.18488850479465957</v>
      </c>
      <c r="E1435" s="57">
        <f>(Table26[[#This Row],[M2 Money Stock, Billions of Dollars, Weekly, Seasonally Adjusted]]-B1383)/B1383</f>
        <v>7.1316460663135128E-2</v>
      </c>
    </row>
    <row r="1436" spans="1:5" x14ac:dyDescent="0.2">
      <c r="A1436" s="50">
        <v>39531</v>
      </c>
      <c r="B1436" s="51">
        <v>7659.7</v>
      </c>
      <c r="C1436" s="53">
        <f>(Table26[[#This Row],[M2 Money Stock, Billions of Dollars, Weekly, Seasonally Adjusted]]-B1435)/B1435</f>
        <v>1.9621437074051305E-3</v>
      </c>
      <c r="D1436" s="54">
        <f>((1+Table26[[#This Row],[Weekly change]])^52)-1</f>
        <v>0.10730762224234502</v>
      </c>
      <c r="E1436" s="57">
        <f>(Table26[[#This Row],[M2 Money Stock, Billions of Dollars, Weekly, Seasonally Adjusted]]-B1384)/B1384</f>
        <v>6.7792120891069813E-2</v>
      </c>
    </row>
    <row r="1437" spans="1:5" x14ac:dyDescent="0.2">
      <c r="A1437" s="50">
        <v>39538</v>
      </c>
      <c r="B1437" s="51">
        <v>7661</v>
      </c>
      <c r="C1437" s="53">
        <f>(Table26[[#This Row],[M2 Money Stock, Billions of Dollars, Weekly, Seasonally Adjusted]]-B1436)/B1436</f>
        <v>1.697194407091899E-4</v>
      </c>
      <c r="D1437" s="54">
        <f>((1+Table26[[#This Row],[Weekly change]])^52)-1</f>
        <v>8.8637141995053792E-3</v>
      </c>
      <c r="E1437" s="57">
        <f>(Table26[[#This Row],[M2 Money Stock, Billions of Dollars, Weekly, Seasonally Adjusted]]-B1385)/B1385</f>
        <v>6.6026577610798026E-2</v>
      </c>
    </row>
    <row r="1438" spans="1:5" x14ac:dyDescent="0.2">
      <c r="A1438" s="50">
        <v>39545</v>
      </c>
      <c r="B1438" s="51">
        <v>7679.9</v>
      </c>
      <c r="C1438" s="53">
        <f>(Table26[[#This Row],[M2 Money Stock, Billions of Dollars, Weekly, Seasonally Adjusted]]-B1437)/B1437</f>
        <v>2.4670408562850327E-3</v>
      </c>
      <c r="D1438" s="54">
        <f>((1+Table26[[#This Row],[Weekly change]])^52)-1</f>
        <v>0.136698650786375</v>
      </c>
      <c r="E1438" s="57">
        <f>(Table26[[#This Row],[M2 Money Stock, Billions of Dollars, Weekly, Seasonally Adjusted]]-B1386)/B1386</f>
        <v>6.6297345329334664E-2</v>
      </c>
    </row>
    <row r="1439" spans="1:5" x14ac:dyDescent="0.2">
      <c r="A1439" s="50">
        <v>39552</v>
      </c>
      <c r="B1439" s="51">
        <v>7681.9</v>
      </c>
      <c r="C1439" s="53">
        <f>(Table26[[#This Row],[M2 Money Stock, Billions of Dollars, Weekly, Seasonally Adjusted]]-B1438)/B1438</f>
        <v>2.6042005755283276E-4</v>
      </c>
      <c r="D1439" s="54">
        <f>((1+Table26[[#This Row],[Weekly change]])^52)-1</f>
        <v>1.3632162028373473E-2</v>
      </c>
      <c r="E1439" s="57">
        <f>(Table26[[#This Row],[M2 Money Stock, Billions of Dollars, Weekly, Seasonally Adjusted]]-B1387)/B1387</f>
        <v>6.3798260676895785E-2</v>
      </c>
    </row>
    <row r="1440" spans="1:5" x14ac:dyDescent="0.2">
      <c r="A1440" s="50">
        <v>39559</v>
      </c>
      <c r="B1440" s="51">
        <v>7706.7</v>
      </c>
      <c r="C1440" s="53">
        <f>(Table26[[#This Row],[M2 Money Stock, Billions of Dollars, Weekly, Seasonally Adjusted]]-B1439)/B1439</f>
        <v>3.2283679818795067E-3</v>
      </c>
      <c r="D1440" s="54">
        <f>((1+Table26[[#This Row],[Weekly change]])^52)-1</f>
        <v>0.18246913020948541</v>
      </c>
      <c r="E1440" s="57">
        <f>(Table26[[#This Row],[M2 Money Stock, Billions of Dollars, Weekly, Seasonally Adjusted]]-B1388)/B1388</f>
        <v>6.5035032683351451E-2</v>
      </c>
    </row>
    <row r="1441" spans="1:5" x14ac:dyDescent="0.2">
      <c r="A1441" s="50">
        <v>39566</v>
      </c>
      <c r="B1441" s="51">
        <v>7675.6</v>
      </c>
      <c r="C1441" s="53">
        <f>(Table26[[#This Row],[M2 Money Stock, Billions of Dollars, Weekly, Seasonally Adjusted]]-B1440)/B1440</f>
        <v>-4.0354496736605102E-3</v>
      </c>
      <c r="D1441" s="54">
        <f>((1+Table26[[#This Row],[Weekly change]])^52)-1</f>
        <v>-0.18963290622101781</v>
      </c>
      <c r="E1441" s="57">
        <f>(Table26[[#This Row],[M2 Money Stock, Billions of Dollars, Weekly, Seasonally Adjusted]]-B1389)/B1389</f>
        <v>6.3323405139571978E-2</v>
      </c>
    </row>
    <row r="1442" spans="1:5" x14ac:dyDescent="0.2">
      <c r="A1442" s="50">
        <v>39573</v>
      </c>
      <c r="B1442" s="51">
        <v>7673.9</v>
      </c>
      <c r="C1442" s="53">
        <f>(Table26[[#This Row],[M2 Money Stock, Billions of Dollars, Weekly, Seasonally Adjusted]]-B1441)/B1441</f>
        <v>-2.214810568555849E-4</v>
      </c>
      <c r="D1442" s="54">
        <f>((1+Table26[[#This Row],[Weekly change]])^52)-1</f>
        <v>-1.1452208995462065E-2</v>
      </c>
      <c r="E1442" s="57">
        <f>(Table26[[#This Row],[M2 Money Stock, Billions of Dollars, Weekly, Seasonally Adjusted]]-B1390)/B1390</f>
        <v>6.2572694544447471E-2</v>
      </c>
    </row>
    <row r="1443" spans="1:5" x14ac:dyDescent="0.2">
      <c r="A1443" s="50">
        <v>39580</v>
      </c>
      <c r="B1443" s="51">
        <v>7687.7</v>
      </c>
      <c r="C1443" s="53">
        <f>(Table26[[#This Row],[M2 Money Stock, Billions of Dollars, Weekly, Seasonally Adjusted]]-B1442)/B1442</f>
        <v>1.7983033398923862E-3</v>
      </c>
      <c r="D1443" s="54">
        <f>((1+Table26[[#This Row],[Weekly change]])^52)-1</f>
        <v>9.7931322232831519E-2</v>
      </c>
      <c r="E1443" s="57">
        <f>(Table26[[#This Row],[M2 Money Stock, Billions of Dollars, Weekly, Seasonally Adjusted]]-B1391)/B1391</f>
        <v>6.4174083968937229E-2</v>
      </c>
    </row>
    <row r="1444" spans="1:5" x14ac:dyDescent="0.2">
      <c r="A1444" s="50">
        <v>39587</v>
      </c>
      <c r="B1444" s="51">
        <v>7694.6</v>
      </c>
      <c r="C1444" s="53">
        <f>(Table26[[#This Row],[M2 Money Stock, Billions of Dollars, Weekly, Seasonally Adjusted]]-B1443)/B1443</f>
        <v>8.9753762503746841E-4</v>
      </c>
      <c r="D1444" s="54">
        <f>((1+Table26[[#This Row],[Weekly change]])^52)-1</f>
        <v>4.7756303581098392E-2</v>
      </c>
      <c r="E1444" s="57">
        <f>(Table26[[#This Row],[M2 Money Stock, Billions of Dollars, Weekly, Seasonally Adjusted]]-B1392)/B1392</f>
        <v>6.3318777292576525E-2</v>
      </c>
    </row>
    <row r="1445" spans="1:5" x14ac:dyDescent="0.2">
      <c r="A1445" s="50">
        <v>39594</v>
      </c>
      <c r="B1445" s="51">
        <v>7715</v>
      </c>
      <c r="C1445" s="53">
        <f>(Table26[[#This Row],[M2 Money Stock, Billions of Dollars, Weekly, Seasonally Adjusted]]-B1444)/B1444</f>
        <v>2.6512099394379999E-3</v>
      </c>
      <c r="D1445" s="54">
        <f>((1+Table26[[#This Row],[Weekly change]])^52)-1</f>
        <v>0.14760881627111289</v>
      </c>
      <c r="E1445" s="57">
        <f>(Table26[[#This Row],[M2 Money Stock, Billions of Dollars, Weekly, Seasonally Adjusted]]-B1393)/B1393</f>
        <v>6.6211528628090544E-2</v>
      </c>
    </row>
    <row r="1446" spans="1:5" x14ac:dyDescent="0.2">
      <c r="A1446" s="50">
        <v>39601</v>
      </c>
      <c r="B1446" s="51">
        <v>7711.9</v>
      </c>
      <c r="C1446" s="53">
        <f>(Table26[[#This Row],[M2 Money Stock, Billions of Dollars, Weekly, Seasonally Adjusted]]-B1445)/B1445</f>
        <v>-4.0181464679201086E-4</v>
      </c>
      <c r="D1446" s="54">
        <f>((1+Table26[[#This Row],[Weekly change]])^52)-1</f>
        <v>-2.068169899661243E-2</v>
      </c>
      <c r="E1446" s="57">
        <f>(Table26[[#This Row],[M2 Money Stock, Billions of Dollars, Weekly, Seasonally Adjusted]]-B1394)/B1394</f>
        <v>6.4591385974599624E-2</v>
      </c>
    </row>
    <row r="1447" spans="1:5" x14ac:dyDescent="0.2">
      <c r="A1447" s="50">
        <v>39608</v>
      </c>
      <c r="B1447" s="51">
        <v>7709.6</v>
      </c>
      <c r="C1447" s="53">
        <f>(Table26[[#This Row],[M2 Money Stock, Billions of Dollars, Weekly, Seasonally Adjusted]]-B1446)/B1446</f>
        <v>-2.9824038174759433E-4</v>
      </c>
      <c r="D1447" s="54">
        <f>((1+Table26[[#This Row],[Weekly change]])^52)-1</f>
        <v>-1.5391139823587752E-2</v>
      </c>
      <c r="E1447" s="57">
        <f>(Table26[[#This Row],[M2 Money Stock, Billions of Dollars, Weekly, Seasonally Adjusted]]-B1395)/B1395</f>
        <v>6.2865335833241429E-2</v>
      </c>
    </row>
    <row r="1448" spans="1:5" x14ac:dyDescent="0.2">
      <c r="A1448" s="50">
        <v>39615</v>
      </c>
      <c r="B1448" s="51">
        <v>7711.9</v>
      </c>
      <c r="C1448" s="53">
        <f>(Table26[[#This Row],[M2 Money Stock, Billions of Dollars, Weekly, Seasonally Adjusted]]-B1447)/B1447</f>
        <v>2.9832935560849752E-4</v>
      </c>
      <c r="D1448" s="54">
        <f>((1+Table26[[#This Row],[Weekly change]])^52)-1</f>
        <v>1.5631729965160046E-2</v>
      </c>
      <c r="E1448" s="57">
        <f>(Table26[[#This Row],[M2 Money Stock, Billions of Dollars, Weekly, Seasonally Adjusted]]-B1396)/B1396</f>
        <v>6.1806416081508969E-2</v>
      </c>
    </row>
    <row r="1449" spans="1:5" x14ac:dyDescent="0.2">
      <c r="A1449" s="50">
        <v>39622</v>
      </c>
      <c r="B1449" s="51">
        <v>7721.2</v>
      </c>
      <c r="C1449" s="53">
        <f>(Table26[[#This Row],[M2 Money Stock, Billions of Dollars, Weekly, Seasonally Adjusted]]-B1448)/B1448</f>
        <v>1.2059285001102429E-3</v>
      </c>
      <c r="D1449" s="54">
        <f>((1+Table26[[#This Row],[Weekly change]])^52)-1</f>
        <v>6.4675972319278241E-2</v>
      </c>
      <c r="E1449" s="57">
        <f>(Table26[[#This Row],[M2 Money Stock, Billions of Dollars, Weekly, Seasonally Adjusted]]-B1397)/B1397</f>
        <v>6.1668981258679721E-2</v>
      </c>
    </row>
    <row r="1450" spans="1:5" x14ac:dyDescent="0.2">
      <c r="A1450" s="50">
        <v>39629</v>
      </c>
      <c r="B1450" s="51">
        <v>7716.6</v>
      </c>
      <c r="C1450" s="53">
        <f>(Table26[[#This Row],[M2 Money Stock, Billions of Dollars, Weekly, Seasonally Adjusted]]-B1449)/B1449</f>
        <v>-5.9576231673826019E-4</v>
      </c>
      <c r="D1450" s="54">
        <f>((1+Table26[[#This Row],[Weekly change]])^52)-1</f>
        <v>-3.0513638916365493E-2</v>
      </c>
      <c r="E1450" s="57">
        <f>(Table26[[#This Row],[M2 Money Stock, Billions of Dollars, Weekly, Seasonally Adjusted]]-B1398)/B1398</f>
        <v>5.9259564304245872E-2</v>
      </c>
    </row>
    <row r="1451" spans="1:5" x14ac:dyDescent="0.2">
      <c r="A1451" s="50">
        <v>39636</v>
      </c>
      <c r="B1451" s="51">
        <v>7738.4</v>
      </c>
      <c r="C1451" s="53">
        <f>(Table26[[#This Row],[M2 Money Stock, Billions of Dollars, Weekly, Seasonally Adjusted]]-B1450)/B1450</f>
        <v>2.8250784024051101E-3</v>
      </c>
      <c r="D1451" s="54">
        <f>((1+Table26[[#This Row],[Weekly change]])^52)-1</f>
        <v>0.15800298764122744</v>
      </c>
      <c r="E1451" s="57">
        <f>(Table26[[#This Row],[M2 Money Stock, Billions of Dollars, Weekly, Seasonally Adjusted]]-B1399)/B1399</f>
        <v>6.3025440958294307E-2</v>
      </c>
    </row>
    <row r="1452" spans="1:5" x14ac:dyDescent="0.2">
      <c r="A1452" s="50">
        <v>39643</v>
      </c>
      <c r="B1452" s="51">
        <v>7749.4</v>
      </c>
      <c r="C1452" s="53">
        <f>(Table26[[#This Row],[M2 Money Stock, Billions of Dollars, Weekly, Seasonally Adjusted]]-B1451)/B1451</f>
        <v>1.421482476997829E-3</v>
      </c>
      <c r="D1452" s="54">
        <f>((1+Table26[[#This Row],[Weekly change]])^52)-1</f>
        <v>7.6661018538862313E-2</v>
      </c>
      <c r="E1452" s="57">
        <f>(Table26[[#This Row],[M2 Money Stock, Billions of Dollars, Weekly, Seasonally Adjusted]]-B1400)/B1400</f>
        <v>6.2872034014538419E-2</v>
      </c>
    </row>
    <row r="1453" spans="1:5" x14ac:dyDescent="0.2">
      <c r="A1453" s="50">
        <v>39650</v>
      </c>
      <c r="B1453" s="51">
        <v>7776</v>
      </c>
      <c r="C1453" s="53">
        <f>(Table26[[#This Row],[M2 Money Stock, Billions of Dollars, Weekly, Seasonally Adjusted]]-B1452)/B1452</f>
        <v>3.4325238082948827E-3</v>
      </c>
      <c r="D1453" s="54">
        <f>((1+Table26[[#This Row],[Weekly change]])^52)-1</f>
        <v>0.19504710082997434</v>
      </c>
      <c r="E1453" s="57">
        <f>(Table26[[#This Row],[M2 Money Stock, Billions of Dollars, Weekly, Seasonally Adjusted]]-B1401)/B1401</f>
        <v>6.5205479452054793E-2</v>
      </c>
    </row>
    <row r="1454" spans="1:5" x14ac:dyDescent="0.2">
      <c r="A1454" s="50">
        <v>39657</v>
      </c>
      <c r="B1454" s="51">
        <v>7773.8</v>
      </c>
      <c r="C1454" s="53">
        <f>(Table26[[#This Row],[M2 Money Stock, Billions of Dollars, Weekly, Seasonally Adjusted]]-B1453)/B1453</f>
        <v>-2.8292181069956509E-4</v>
      </c>
      <c r="D1454" s="54">
        <f>((1+Table26[[#This Row],[Weekly change]])^52)-1</f>
        <v>-1.4606293572283824E-2</v>
      </c>
      <c r="E1454" s="57">
        <f>(Table26[[#This Row],[M2 Money Stock, Billions of Dollars, Weekly, Seasonally Adjusted]]-B1402)/B1402</f>
        <v>6.4029564741308539E-2</v>
      </c>
    </row>
    <row r="1455" spans="1:5" x14ac:dyDescent="0.2">
      <c r="A1455" s="50">
        <v>39664</v>
      </c>
      <c r="B1455" s="51">
        <v>7775.7</v>
      </c>
      <c r="C1455" s="53">
        <f>(Table26[[#This Row],[M2 Money Stock, Billions of Dollars, Weekly, Seasonally Adjusted]]-B1454)/B1454</f>
        <v>2.4441071290741157E-4</v>
      </c>
      <c r="D1455" s="54">
        <f>((1+Table26[[#This Row],[Weekly change]])^52)-1</f>
        <v>1.2788891432435667E-2</v>
      </c>
      <c r="E1455" s="57">
        <f>(Table26[[#This Row],[M2 Money Stock, Billions of Dollars, Weekly, Seasonally Adjusted]]-B1403)/B1403</f>
        <v>6.1818926669397763E-2</v>
      </c>
    </row>
    <row r="1456" spans="1:5" x14ac:dyDescent="0.2">
      <c r="A1456" s="50">
        <v>39671</v>
      </c>
      <c r="B1456" s="51">
        <v>7781.6</v>
      </c>
      <c r="C1456" s="53">
        <f>(Table26[[#This Row],[M2 Money Stock, Billions of Dollars, Weekly, Seasonally Adjusted]]-B1455)/B1455</f>
        <v>7.587741296604223E-4</v>
      </c>
      <c r="D1456" s="54">
        <f>((1+Table26[[#This Row],[Weekly change]])^52)-1</f>
        <v>4.0229428465534456E-2</v>
      </c>
      <c r="E1456" s="57">
        <f>(Table26[[#This Row],[M2 Money Stock, Billions of Dollars, Weekly, Seasonally Adjusted]]-B1404)/B1404</f>
        <v>5.9773652743541281E-2</v>
      </c>
    </row>
    <row r="1457" spans="1:5" x14ac:dyDescent="0.2">
      <c r="A1457" s="50">
        <v>39678</v>
      </c>
      <c r="B1457" s="51">
        <v>7771.7</v>
      </c>
      <c r="C1457" s="53">
        <f>(Table26[[#This Row],[M2 Money Stock, Billions of Dollars, Weekly, Seasonally Adjusted]]-B1456)/B1456</f>
        <v>-1.272231931736474E-3</v>
      </c>
      <c r="D1457" s="54">
        <f>((1+Table26[[#This Row],[Weekly change]])^52)-1</f>
        <v>-6.4054638901796634E-2</v>
      </c>
      <c r="E1457" s="57">
        <f>(Table26[[#This Row],[M2 Money Stock, Billions of Dollars, Weekly, Seasonally Adjusted]]-B1405)/B1405</f>
        <v>5.3118690461671884E-2</v>
      </c>
    </row>
    <row r="1458" spans="1:5" x14ac:dyDescent="0.2">
      <c r="A1458" s="50">
        <v>39685</v>
      </c>
      <c r="B1458" s="51">
        <v>7778.6</v>
      </c>
      <c r="C1458" s="53">
        <f>(Table26[[#This Row],[M2 Money Stock, Billions of Dollars, Weekly, Seasonally Adjusted]]-B1457)/B1457</f>
        <v>8.8783663805866745E-4</v>
      </c>
      <c r="D1458" s="54">
        <f>((1+Table26[[#This Row],[Weekly change]])^52)-1</f>
        <v>4.7228365981372367E-2</v>
      </c>
      <c r="E1458" s="57">
        <f>(Table26[[#This Row],[M2 Money Stock, Billions of Dollars, Weekly, Seasonally Adjusted]]-B1406)/B1406</f>
        <v>4.8767005082986252E-2</v>
      </c>
    </row>
    <row r="1459" spans="1:5" x14ac:dyDescent="0.2">
      <c r="A1459" s="50">
        <v>39692</v>
      </c>
      <c r="B1459" s="51">
        <v>7771.6</v>
      </c>
      <c r="C1459" s="53">
        <f>(Table26[[#This Row],[M2 Money Stock, Billions of Dollars, Weekly, Seasonally Adjusted]]-B1458)/B1458</f>
        <v>-8.9990486719975318E-4</v>
      </c>
      <c r="D1459" s="54">
        <f>((1+Table26[[#This Row],[Weekly change]])^52)-1</f>
        <v>-4.5737149912490893E-2</v>
      </c>
      <c r="E1459" s="57">
        <f>(Table26[[#This Row],[M2 Money Stock, Billions of Dollars, Weekly, Seasonally Adjusted]]-B1407)/B1407</f>
        <v>5.0798415338228035E-2</v>
      </c>
    </row>
    <row r="1460" spans="1:5" x14ac:dyDescent="0.2">
      <c r="A1460" s="50">
        <v>39699</v>
      </c>
      <c r="B1460" s="51">
        <v>7752.5</v>
      </c>
      <c r="C1460" s="53">
        <f>(Table26[[#This Row],[M2 Money Stock, Billions of Dollars, Weekly, Seasonally Adjusted]]-B1459)/B1459</f>
        <v>-2.4576663750064806E-3</v>
      </c>
      <c r="D1460" s="54">
        <f>((1+Table26[[#This Row],[Weekly change]])^52)-1</f>
        <v>-0.12010786466571866</v>
      </c>
      <c r="E1460" s="57">
        <f>(Table26[[#This Row],[M2 Money Stock, Billions of Dollars, Weekly, Seasonally Adjusted]]-B1408)/B1408</f>
        <v>4.9905200433369448E-2</v>
      </c>
    </row>
    <row r="1461" spans="1:5" x14ac:dyDescent="0.2">
      <c r="A1461" s="50">
        <v>39706</v>
      </c>
      <c r="B1461" s="51">
        <v>7768.3</v>
      </c>
      <c r="C1461" s="53">
        <f>(Table26[[#This Row],[M2 Money Stock, Billions of Dollars, Weekly, Seasonally Adjusted]]-B1460)/B1460</f>
        <v>2.0380522412125355E-3</v>
      </c>
      <c r="D1461" s="54">
        <f>((1+Table26[[#This Row],[Weekly change]])^52)-1</f>
        <v>0.11167831396210137</v>
      </c>
      <c r="E1461" s="57">
        <f>(Table26[[#This Row],[M2 Money Stock, Billions of Dollars, Weekly, Seasonally Adjusted]]-B1409)/B1409</f>
        <v>5.1404209244095576E-2</v>
      </c>
    </row>
    <row r="1462" spans="1:5" x14ac:dyDescent="0.2">
      <c r="A1462" s="50">
        <v>39713</v>
      </c>
      <c r="B1462" s="51">
        <v>7929</v>
      </c>
      <c r="C1462" s="53">
        <f>(Table26[[#This Row],[M2 Money Stock, Billions of Dollars, Weekly, Seasonally Adjusted]]-B1461)/B1461</f>
        <v>2.068663671588376E-2</v>
      </c>
      <c r="D1462" s="54">
        <f>((1+Table26[[#This Row],[Weekly change]])^52)-1</f>
        <v>1.9000554326409262</v>
      </c>
      <c r="E1462" s="57">
        <f>(Table26[[#This Row],[M2 Money Stock, Billions of Dollars, Weekly, Seasonally Adjusted]]-B1410)/B1410</f>
        <v>7.3473863774826342E-2</v>
      </c>
    </row>
    <row r="1463" spans="1:5" x14ac:dyDescent="0.2">
      <c r="A1463" s="50">
        <v>39720</v>
      </c>
      <c r="B1463" s="51">
        <v>7936.1</v>
      </c>
      <c r="C1463" s="53">
        <f>(Table26[[#This Row],[M2 Money Stock, Billions of Dollars, Weekly, Seasonally Adjusted]]-B1462)/B1462</f>
        <v>8.9544709294997655E-4</v>
      </c>
      <c r="D1463" s="54">
        <f>((1+Table26[[#This Row],[Weekly change]])^52)-1</f>
        <v>4.7642512633929046E-2</v>
      </c>
      <c r="E1463" s="57">
        <f>(Table26[[#This Row],[M2 Money Stock, Billions of Dollars, Weekly, Seasonally Adjusted]]-B1411)/B1411</f>
        <v>7.2996944376842232E-2</v>
      </c>
    </row>
    <row r="1464" spans="1:5" x14ac:dyDescent="0.2">
      <c r="A1464" s="50">
        <v>39727</v>
      </c>
      <c r="B1464" s="51">
        <v>7905</v>
      </c>
      <c r="C1464" s="53">
        <f>(Table26[[#This Row],[M2 Money Stock, Billions of Dollars, Weekly, Seasonally Adjusted]]-B1463)/B1463</f>
        <v>-3.918801426393362E-3</v>
      </c>
      <c r="D1464" s="54">
        <f>((1+Table26[[#This Row],[Weekly change]])^52)-1</f>
        <v>-0.18468277024043589</v>
      </c>
      <c r="E1464" s="57">
        <f>(Table26[[#This Row],[M2 Money Stock, Billions of Dollars, Weekly, Seasonally Adjusted]]-B1412)/B1412</f>
        <v>6.7868046362088943E-2</v>
      </c>
    </row>
    <row r="1465" spans="1:5" x14ac:dyDescent="0.2">
      <c r="A1465" s="50">
        <v>39734</v>
      </c>
      <c r="B1465" s="51">
        <v>7947.6</v>
      </c>
      <c r="C1465" s="53">
        <f>(Table26[[#This Row],[M2 Money Stock, Billions of Dollars, Weekly, Seasonally Adjusted]]-B1464)/B1464</f>
        <v>5.3889943074004257E-3</v>
      </c>
      <c r="D1465" s="54">
        <f>((1+Table26[[#This Row],[Weekly change]])^52)-1</f>
        <v>0.32243579192024097</v>
      </c>
      <c r="E1465" s="57">
        <f>(Table26[[#This Row],[M2 Money Stock, Billions of Dollars, Weekly, Seasonally Adjusted]]-B1413)/B1413</f>
        <v>7.5191428339511368E-2</v>
      </c>
    </row>
    <row r="1466" spans="1:5" x14ac:dyDescent="0.2">
      <c r="A1466" s="50">
        <v>39741</v>
      </c>
      <c r="B1466" s="51">
        <v>7991.2</v>
      </c>
      <c r="C1466" s="53">
        <f>(Table26[[#This Row],[M2 Money Stock, Billions of Dollars, Weekly, Seasonally Adjusted]]-B1465)/B1465</f>
        <v>5.4859328602344676E-3</v>
      </c>
      <c r="D1466" s="54">
        <f>((1+Table26[[#This Row],[Weekly change]])^52)-1</f>
        <v>0.32908252960458073</v>
      </c>
      <c r="E1466" s="57">
        <f>(Table26[[#This Row],[M2 Money Stock, Billions of Dollars, Weekly, Seasonally Adjusted]]-B1414)/B1414</f>
        <v>8.0928999445413874E-2</v>
      </c>
    </row>
    <row r="1467" spans="1:5" x14ac:dyDescent="0.2">
      <c r="A1467" s="50">
        <v>39748</v>
      </c>
      <c r="B1467" s="51">
        <v>7963.6</v>
      </c>
      <c r="C1467" s="53">
        <f>(Table26[[#This Row],[M2 Money Stock, Billions of Dollars, Weekly, Seasonally Adjusted]]-B1466)/B1466</f>
        <v>-3.4537991790969387E-3</v>
      </c>
      <c r="D1467" s="54">
        <f>((1+Table26[[#This Row],[Weekly change]])^52)-1</f>
        <v>-0.16465329124007932</v>
      </c>
      <c r="E1467" s="57">
        <f>(Table26[[#This Row],[M2 Money Stock, Billions of Dollars, Weekly, Seasonally Adjusted]]-B1415)/B1415</f>
        <v>7.2813245140170541E-2</v>
      </c>
    </row>
    <row r="1468" spans="1:5" x14ac:dyDescent="0.2">
      <c r="A1468" s="50">
        <v>39755</v>
      </c>
      <c r="B1468" s="51">
        <v>7956.5</v>
      </c>
      <c r="C1468" s="53">
        <f>(Table26[[#This Row],[M2 Money Stock, Billions of Dollars, Weekly, Seasonally Adjusted]]-B1467)/B1467</f>
        <v>-8.9155658245019382E-4</v>
      </c>
      <c r="D1468" s="54">
        <f>((1+Table26[[#This Row],[Weekly change]])^52)-1</f>
        <v>-4.5322432611431096E-2</v>
      </c>
      <c r="E1468" s="57">
        <f>(Table26[[#This Row],[M2 Money Stock, Billions of Dollars, Weekly, Seasonally Adjusted]]-B1416)/B1416</f>
        <v>7.3867624034983564E-2</v>
      </c>
    </row>
    <row r="1469" spans="1:5" x14ac:dyDescent="0.2">
      <c r="A1469" s="50">
        <v>39762</v>
      </c>
      <c r="B1469" s="51">
        <v>7970.2</v>
      </c>
      <c r="C1469" s="53">
        <f>(Table26[[#This Row],[M2 Money Stock, Billions of Dollars, Weekly, Seasonally Adjusted]]-B1468)/B1468</f>
        <v>1.7218626280399445E-3</v>
      </c>
      <c r="D1469" s="54">
        <f>((1+Table26[[#This Row],[Weekly change]])^52)-1</f>
        <v>9.3583435934174952E-2</v>
      </c>
      <c r="E1469" s="57">
        <f>(Table26[[#This Row],[M2 Money Stock, Billions of Dollars, Weekly, Seasonally Adjusted]]-B1417)/B1417</f>
        <v>7.5818316798272237E-2</v>
      </c>
    </row>
    <row r="1470" spans="1:5" x14ac:dyDescent="0.2">
      <c r="A1470" s="50">
        <v>39769</v>
      </c>
      <c r="B1470" s="51">
        <v>7988.3</v>
      </c>
      <c r="C1470" s="53">
        <f>(Table26[[#This Row],[M2 Money Stock, Billions of Dollars, Weekly, Seasonally Adjusted]]-B1469)/B1469</f>
        <v>2.2709593234800087E-3</v>
      </c>
      <c r="D1470" s="54">
        <f>((1+Table26[[#This Row],[Weekly change]])^52)-1</f>
        <v>0.12519460038787611</v>
      </c>
      <c r="E1470" s="57">
        <f>(Table26[[#This Row],[M2 Money Stock, Billions of Dollars, Weekly, Seasonally Adjusted]]-B1418)/B1418</f>
        <v>7.5517677787651213E-2</v>
      </c>
    </row>
    <row r="1471" spans="1:5" x14ac:dyDescent="0.2">
      <c r="A1471" s="50">
        <v>39776</v>
      </c>
      <c r="B1471" s="51">
        <v>8017.1</v>
      </c>
      <c r="C1471" s="53">
        <f>(Table26[[#This Row],[M2 Money Stock, Billions of Dollars, Weekly, Seasonally Adjusted]]-B1470)/B1470</f>
        <v>3.6052727113403578E-3</v>
      </c>
      <c r="D1471" s="54">
        <f>((1+Table26[[#This Row],[Weekly change]])^52)-1</f>
        <v>0.20579251949889765</v>
      </c>
      <c r="E1471" s="57">
        <f>(Table26[[#This Row],[M2 Money Stock, Billions of Dollars, Weekly, Seasonally Adjusted]]-B1419)/B1419</f>
        <v>7.5716509231429821E-2</v>
      </c>
    </row>
    <row r="1472" spans="1:5" x14ac:dyDescent="0.2">
      <c r="A1472" s="50">
        <v>39783</v>
      </c>
      <c r="B1472" s="51">
        <v>8073.5</v>
      </c>
      <c r="C1472" s="53">
        <f>(Table26[[#This Row],[M2 Money Stock, Billions of Dollars, Weekly, Seasonally Adjusted]]-B1471)/B1471</f>
        <v>7.034962767085309E-3</v>
      </c>
      <c r="D1472" s="54">
        <f>((1+Table26[[#This Row],[Weekly change]])^52)-1</f>
        <v>0.43984764925164033</v>
      </c>
      <c r="E1472" s="57">
        <f>(Table26[[#This Row],[M2 Money Stock, Billions of Dollars, Weekly, Seasonally Adjusted]]-B1420)/B1420</f>
        <v>8.4943693391028627E-2</v>
      </c>
    </row>
    <row r="1473" spans="1:5" x14ac:dyDescent="0.2">
      <c r="A1473" s="50">
        <v>39790</v>
      </c>
      <c r="B1473" s="51">
        <v>8130.8</v>
      </c>
      <c r="C1473" s="53">
        <f>(Table26[[#This Row],[M2 Money Stock, Billions of Dollars, Weekly, Seasonally Adjusted]]-B1472)/B1472</f>
        <v>7.0972936149130096E-3</v>
      </c>
      <c r="D1473" s="54">
        <f>((1+Table26[[#This Row],[Weekly change]])^52)-1</f>
        <v>0.44448920956558946</v>
      </c>
      <c r="E1473" s="57">
        <f>(Table26[[#This Row],[M2 Money Stock, Billions of Dollars, Weekly, Seasonally Adjusted]]-B1421)/B1421</f>
        <v>9.0884696916843394E-2</v>
      </c>
    </row>
    <row r="1474" spans="1:5" x14ac:dyDescent="0.2">
      <c r="A1474" s="50">
        <v>39797</v>
      </c>
      <c r="B1474" s="51">
        <v>8171.7</v>
      </c>
      <c r="C1474" s="53">
        <f>(Table26[[#This Row],[M2 Money Stock, Billions of Dollars, Weekly, Seasonally Adjusted]]-B1473)/B1473</f>
        <v>5.030255325429187E-3</v>
      </c>
      <c r="D1474" s="54">
        <f>((1+Table26[[#This Row],[Weekly change]])^52)-1</f>
        <v>0.29812067600012337</v>
      </c>
      <c r="E1474" s="57">
        <f>(Table26[[#This Row],[M2 Money Stock, Billions of Dollars, Weekly, Seasonally Adjusted]]-B1422)/B1422</f>
        <v>9.5901617359118022E-2</v>
      </c>
    </row>
    <row r="1475" spans="1:5" x14ac:dyDescent="0.2">
      <c r="A1475" s="50">
        <v>39804</v>
      </c>
      <c r="B1475" s="51">
        <v>8201.1</v>
      </c>
      <c r="C1475" s="53">
        <f>(Table26[[#This Row],[M2 Money Stock, Billions of Dollars, Weekly, Seasonally Adjusted]]-B1474)/B1474</f>
        <v>3.597782591137774E-3</v>
      </c>
      <c r="D1475" s="54">
        <f>((1+Table26[[#This Row],[Weekly change]])^52)-1</f>
        <v>0.20532465603385663</v>
      </c>
      <c r="E1475" s="57">
        <f>(Table26[[#This Row],[M2 Money Stock, Billions of Dollars, Weekly, Seasonally Adjusted]]-B1423)/B1423</f>
        <v>9.9210551005910919E-2</v>
      </c>
    </row>
    <row r="1476" spans="1:5" x14ac:dyDescent="0.2">
      <c r="A1476" s="50">
        <v>39811</v>
      </c>
      <c r="B1476" s="51">
        <v>8216.5</v>
      </c>
      <c r="C1476" s="53">
        <f>(Table26[[#This Row],[M2 Money Stock, Billions of Dollars, Weekly, Seasonally Adjusted]]-B1475)/B1475</f>
        <v>1.8777968809061754E-3</v>
      </c>
      <c r="D1476" s="54">
        <f>((1+Table26[[#This Row],[Weekly change]])^52)-1</f>
        <v>0.10247083366834331</v>
      </c>
      <c r="E1476" s="57">
        <f>(Table26[[#This Row],[M2 Money Stock, Billions of Dollars, Weekly, Seasonally Adjusted]]-B1424)/B1424</f>
        <v>0.10019817358935221</v>
      </c>
    </row>
    <row r="1477" spans="1:5" x14ac:dyDescent="0.2">
      <c r="A1477" s="50">
        <v>39818</v>
      </c>
      <c r="B1477" s="51">
        <v>8248.5</v>
      </c>
      <c r="C1477" s="53">
        <f>(Table26[[#This Row],[M2 Money Stock, Billions of Dollars, Weekly, Seasonally Adjusted]]-B1476)/B1476</f>
        <v>3.8946023245907623E-3</v>
      </c>
      <c r="D1477" s="54">
        <f>((1+Table26[[#This Row],[Weekly change]])^52)-1</f>
        <v>0.22400219295813106</v>
      </c>
      <c r="E1477" s="57">
        <f>(Table26[[#This Row],[M2 Money Stock, Billions of Dollars, Weekly, Seasonally Adjusted]]-B1425)/B1425</f>
        <v>0.10504528160334392</v>
      </c>
    </row>
    <row r="1478" spans="1:5" x14ac:dyDescent="0.2">
      <c r="A1478" s="50">
        <v>39825</v>
      </c>
      <c r="B1478" s="51">
        <v>8243.9</v>
      </c>
      <c r="C1478" s="53">
        <f>(Table26[[#This Row],[M2 Money Stock, Billions of Dollars, Weekly, Seasonally Adjusted]]-B1477)/B1477</f>
        <v>-5.5767715342187841E-4</v>
      </c>
      <c r="D1478" s="54">
        <f>((1+Table26[[#This Row],[Weekly change]])^52)-1</f>
        <v>-2.8590627901174837E-2</v>
      </c>
      <c r="E1478" s="57">
        <f>(Table26[[#This Row],[M2 Money Stock, Billions of Dollars, Weekly, Seasonally Adjusted]]-B1426)/B1426</f>
        <v>0.10513968577403604</v>
      </c>
    </row>
    <row r="1479" spans="1:5" x14ac:dyDescent="0.2">
      <c r="A1479" s="50">
        <v>39832</v>
      </c>
      <c r="B1479" s="51">
        <v>8257.5</v>
      </c>
      <c r="C1479" s="53">
        <f>(Table26[[#This Row],[M2 Money Stock, Billions of Dollars, Weekly, Seasonally Adjusted]]-B1478)/B1478</f>
        <v>1.6497046300901715E-3</v>
      </c>
      <c r="D1479" s="54">
        <f>((1+Table26[[#This Row],[Weekly change]])^52)-1</f>
        <v>8.9494643408134955E-2</v>
      </c>
      <c r="E1479" s="57">
        <f>(Table26[[#This Row],[M2 Money Stock, Billions of Dollars, Weekly, Seasonally Adjusted]]-B1427)/B1427</f>
        <v>0.10229335753951306</v>
      </c>
    </row>
    <row r="1480" spans="1:5" x14ac:dyDescent="0.2">
      <c r="A1480" s="50">
        <v>39839</v>
      </c>
      <c r="B1480" s="51">
        <v>8283</v>
      </c>
      <c r="C1480" s="53">
        <f>(Table26[[#This Row],[M2 Money Stock, Billions of Dollars, Weekly, Seasonally Adjusted]]-B1479)/B1479</f>
        <v>3.0881017257039056E-3</v>
      </c>
      <c r="D1480" s="54">
        <f>((1+Table26[[#This Row],[Weekly change]])^52)-1</f>
        <v>0.17390271691283465</v>
      </c>
      <c r="E1480" s="57">
        <f>(Table26[[#This Row],[M2 Money Stock, Billions of Dollars, Weekly, Seasonally Adjusted]]-B1428)/B1428</f>
        <v>0.10065776360374726</v>
      </c>
    </row>
    <row r="1481" spans="1:5" x14ac:dyDescent="0.2">
      <c r="A1481" s="50">
        <v>39846</v>
      </c>
      <c r="B1481" s="51">
        <v>8280.1</v>
      </c>
      <c r="C1481" s="53">
        <f>(Table26[[#This Row],[M2 Money Stock, Billions of Dollars, Weekly, Seasonally Adjusted]]-B1480)/B1480</f>
        <v>-3.5011469274413089E-4</v>
      </c>
      <c r="D1481" s="54">
        <f>((1+Table26[[#This Row],[Weekly change]])^52)-1</f>
        <v>-1.8044366962501446E-2</v>
      </c>
      <c r="E1481" s="57">
        <f>(Table26[[#This Row],[M2 Money Stock, Billions of Dollars, Weekly, Seasonally Adjusted]]-B1429)/B1429</f>
        <v>9.6121260259465227E-2</v>
      </c>
    </row>
    <row r="1482" spans="1:5" x14ac:dyDescent="0.2">
      <c r="A1482" s="50">
        <v>39853</v>
      </c>
      <c r="B1482" s="51">
        <v>8283.6</v>
      </c>
      <c r="C1482" s="53">
        <f>(Table26[[#This Row],[M2 Money Stock, Billions of Dollars, Weekly, Seasonally Adjusted]]-B1481)/B1481</f>
        <v>4.2270020893467466E-4</v>
      </c>
      <c r="D1482" s="54">
        <f>((1+Table26[[#This Row],[Weekly change]])^52)-1</f>
        <v>2.2219012339498745E-2</v>
      </c>
      <c r="E1482" s="57">
        <f>(Table26[[#This Row],[M2 Money Stock, Billions of Dollars, Weekly, Seasonally Adjusted]]-B1430)/B1430</f>
        <v>9.5279650932169821E-2</v>
      </c>
    </row>
    <row r="1483" spans="1:5" x14ac:dyDescent="0.2">
      <c r="A1483" s="50">
        <v>39860</v>
      </c>
      <c r="B1483" s="51">
        <v>8288.2000000000007</v>
      </c>
      <c r="C1483" s="53">
        <f>(Table26[[#This Row],[M2 Money Stock, Billions of Dollars, Weekly, Seasonally Adjusted]]-B1482)/B1482</f>
        <v>5.5531411463619247E-4</v>
      </c>
      <c r="D1483" s="54">
        <f>((1+Table26[[#This Row],[Weekly change]])^52)-1</f>
        <v>2.9289047956083891E-2</v>
      </c>
      <c r="E1483" s="57">
        <f>(Table26[[#This Row],[M2 Money Stock, Billions of Dollars, Weekly, Seasonally Adjusted]]-B1431)/B1431</f>
        <v>9.5554703713005507E-2</v>
      </c>
    </row>
    <row r="1484" spans="1:5" x14ac:dyDescent="0.2">
      <c r="A1484" s="50">
        <v>39867</v>
      </c>
      <c r="B1484" s="51">
        <v>8291</v>
      </c>
      <c r="C1484" s="53">
        <f>(Table26[[#This Row],[M2 Money Stock, Billions of Dollars, Weekly, Seasonally Adjusted]]-B1483)/B1483</f>
        <v>3.3782968557699767E-4</v>
      </c>
      <c r="D1484" s="54">
        <f>((1+Table26[[#This Row],[Weekly change]])^52)-1</f>
        <v>1.771933419492977E-2</v>
      </c>
      <c r="E1484" s="57">
        <f>(Table26[[#This Row],[M2 Money Stock, Billions of Dollars, Weekly, Seasonally Adjusted]]-B1432)/B1432</f>
        <v>9.1366215166712797E-2</v>
      </c>
    </row>
    <row r="1485" spans="1:5" x14ac:dyDescent="0.2">
      <c r="A1485" s="50">
        <v>39874</v>
      </c>
      <c r="B1485" s="51">
        <v>8313.2000000000007</v>
      </c>
      <c r="C1485" s="53">
        <f>(Table26[[#This Row],[M2 Money Stock, Billions of Dollars, Weekly, Seasonally Adjusted]]-B1484)/B1484</f>
        <v>2.6776022192739994E-3</v>
      </c>
      <c r="D1485" s="54">
        <f>((1+Table26[[#This Row],[Weekly change]])^52)-1</f>
        <v>0.14918068322435696</v>
      </c>
      <c r="E1485" s="57">
        <f>(Table26[[#This Row],[M2 Money Stock, Billions of Dollars, Weekly, Seasonally Adjusted]]-B1433)/B1433</f>
        <v>9.2849912579368879E-2</v>
      </c>
    </row>
    <row r="1486" spans="1:5" x14ac:dyDescent="0.2">
      <c r="A1486" s="50">
        <v>39881</v>
      </c>
      <c r="B1486" s="51">
        <v>8350</v>
      </c>
      <c r="C1486" s="53">
        <f>(Table26[[#This Row],[M2 Money Stock, Billions of Dollars, Weekly, Seasonally Adjusted]]-B1485)/B1485</f>
        <v>4.4266948948659081E-3</v>
      </c>
      <c r="D1486" s="54">
        <f>((1+Table26[[#This Row],[Weekly change]])^52)-1</f>
        <v>0.25819750706201994</v>
      </c>
      <c r="E1486" s="57">
        <f>(Table26[[#This Row],[M2 Money Stock, Billions of Dollars, Weekly, Seasonally Adjusted]]-B1434)/B1434</f>
        <v>9.582928685792276E-2</v>
      </c>
    </row>
    <row r="1487" spans="1:5" x14ac:dyDescent="0.2">
      <c r="A1487" s="50">
        <v>39888</v>
      </c>
      <c r="B1487" s="51">
        <v>8384.2000000000007</v>
      </c>
      <c r="C1487" s="53">
        <f>(Table26[[#This Row],[M2 Money Stock, Billions of Dollars, Weekly, Seasonally Adjusted]]-B1486)/B1486</f>
        <v>4.0958083832336204E-3</v>
      </c>
      <c r="D1487" s="54">
        <f>((1+Table26[[#This Row],[Weekly change]])^52)-1</f>
        <v>0.23682431275481153</v>
      </c>
      <c r="E1487" s="57">
        <f>(Table26[[#This Row],[M2 Money Stock, Billions of Dollars, Weekly, Seasonally Adjusted]]-B1435)/B1435</f>
        <v>9.6733684775073048E-2</v>
      </c>
    </row>
    <row r="1488" spans="1:5" x14ac:dyDescent="0.2">
      <c r="A1488" s="50">
        <v>39895</v>
      </c>
      <c r="B1488" s="51">
        <v>8372.1</v>
      </c>
      <c r="C1488" s="53">
        <f>(Table26[[#This Row],[M2 Money Stock, Billions of Dollars, Weekly, Seasonally Adjusted]]-B1487)/B1487</f>
        <v>-1.4431907635791563E-3</v>
      </c>
      <c r="D1488" s="54">
        <f>((1+Table26[[#This Row],[Weekly change]])^52)-1</f>
        <v>-7.2349399016444882E-2</v>
      </c>
      <c r="E1488" s="57">
        <f>(Table26[[#This Row],[M2 Money Stock, Billions of Dollars, Weekly, Seasonally Adjusted]]-B1436)/B1436</f>
        <v>9.3006253508623127E-2</v>
      </c>
    </row>
    <row r="1489" spans="1:5" x14ac:dyDescent="0.2">
      <c r="A1489" s="50">
        <v>39902</v>
      </c>
      <c r="B1489" s="51">
        <v>8339.6</v>
      </c>
      <c r="C1489" s="53">
        <f>(Table26[[#This Row],[M2 Money Stock, Billions of Dollars, Weekly, Seasonally Adjusted]]-B1488)/B1488</f>
        <v>-3.8819412094934364E-3</v>
      </c>
      <c r="D1489" s="54">
        <f>((1+Table26[[#This Row],[Weekly change]])^52)-1</f>
        <v>-0.18311239665432055</v>
      </c>
      <c r="E1489" s="57">
        <f>(Table26[[#This Row],[M2 Money Stock, Billions of Dollars, Weekly, Seasonally Adjusted]]-B1437)/B1437</f>
        <v>8.8578514554235793E-2</v>
      </c>
    </row>
    <row r="1490" spans="1:5" x14ac:dyDescent="0.2">
      <c r="A1490" s="50">
        <v>39909</v>
      </c>
      <c r="B1490" s="51">
        <v>8340.7999999999993</v>
      </c>
      <c r="C1490" s="53">
        <f>(Table26[[#This Row],[M2 Money Stock, Billions of Dollars, Weekly, Seasonally Adjusted]]-B1489)/B1489</f>
        <v>1.4389179337125383E-4</v>
      </c>
      <c r="D1490" s="54">
        <f>((1+Table26[[#This Row],[Weekly change]])^52)-1</f>
        <v>7.509893841828319E-3</v>
      </c>
      <c r="E1490" s="57">
        <f>(Table26[[#This Row],[M2 Money Stock, Billions of Dollars, Weekly, Seasonally Adjusted]]-B1438)/B1438</f>
        <v>8.6055808018333527E-2</v>
      </c>
    </row>
    <row r="1491" spans="1:5" x14ac:dyDescent="0.2">
      <c r="A1491" s="50">
        <v>39916</v>
      </c>
      <c r="B1491" s="51">
        <v>8350.2000000000007</v>
      </c>
      <c r="C1491" s="53">
        <f>(Table26[[#This Row],[M2 Money Stock, Billions of Dollars, Weekly, Seasonally Adjusted]]-B1490)/B1490</f>
        <v>1.1269902167659524E-3</v>
      </c>
      <c r="D1491" s="54">
        <f>((1+Table26[[#This Row],[Weekly change]])^52)-1</f>
        <v>6.0319728476818657E-2</v>
      </c>
      <c r="E1491" s="57">
        <f>(Table26[[#This Row],[M2 Money Stock, Billions of Dollars, Weekly, Seasonally Adjusted]]-B1439)/B1439</f>
        <v>8.6996706543954111E-2</v>
      </c>
    </row>
    <row r="1492" spans="1:5" x14ac:dyDescent="0.2">
      <c r="A1492" s="50">
        <v>39923</v>
      </c>
      <c r="B1492" s="51">
        <v>8362.5</v>
      </c>
      <c r="C1492" s="53">
        <f>(Table26[[#This Row],[M2 Money Stock, Billions of Dollars, Weekly, Seasonally Adjusted]]-B1491)/B1491</f>
        <v>1.4730186103325993E-3</v>
      </c>
      <c r="D1492" s="54">
        <f>((1+Table26[[#This Row],[Weekly change]])^52)-1</f>
        <v>7.9546028403866265E-2</v>
      </c>
      <c r="E1492" s="57">
        <f>(Table26[[#This Row],[M2 Money Stock, Billions of Dollars, Weekly, Seasonally Adjusted]]-B1440)/B1440</f>
        <v>8.5094787652302564E-2</v>
      </c>
    </row>
    <row r="1493" spans="1:5" x14ac:dyDescent="0.2">
      <c r="A1493" s="50">
        <v>39930</v>
      </c>
      <c r="B1493" s="51">
        <v>8370.2000000000007</v>
      </c>
      <c r="C1493" s="53">
        <f>(Table26[[#This Row],[M2 Money Stock, Billions of Dollars, Weekly, Seasonally Adjusted]]-B1492)/B1492</f>
        <v>9.2077727952176111E-4</v>
      </c>
      <c r="D1493" s="54">
        <f>((1+Table26[[#This Row],[Weekly change]])^52)-1</f>
        <v>4.9022091168049009E-2</v>
      </c>
      <c r="E1493" s="57">
        <f>(Table26[[#This Row],[M2 Money Stock, Billions of Dollars, Weekly, Seasonally Adjusted]]-B1441)/B1441</f>
        <v>9.0494554171660885E-2</v>
      </c>
    </row>
    <row r="1494" spans="1:5" x14ac:dyDescent="0.2">
      <c r="A1494" s="50">
        <v>39937</v>
      </c>
      <c r="B1494" s="51">
        <v>8398.7999999999993</v>
      </c>
      <c r="C1494" s="53">
        <f>(Table26[[#This Row],[M2 Money Stock, Billions of Dollars, Weekly, Seasonally Adjusted]]-B1493)/B1493</f>
        <v>3.4168837064823473E-3</v>
      </c>
      <c r="D1494" s="54">
        <f>((1+Table26[[#This Row],[Weekly change]])^52)-1</f>
        <v>0.19407889617750862</v>
      </c>
      <c r="E1494" s="57">
        <f>(Table26[[#This Row],[M2 Money Stock, Billions of Dollars, Weekly, Seasonally Adjusted]]-B1442)/B1442</f>
        <v>9.4463050078838623E-2</v>
      </c>
    </row>
    <row r="1495" spans="1:5" x14ac:dyDescent="0.2">
      <c r="A1495" s="50">
        <v>39944</v>
      </c>
      <c r="B1495" s="51">
        <v>8413.5</v>
      </c>
      <c r="C1495" s="53">
        <f>(Table26[[#This Row],[M2 Money Stock, Billions of Dollars, Weekly, Seasonally Adjusted]]-B1494)/B1494</f>
        <v>1.7502500357194752E-3</v>
      </c>
      <c r="D1495" s="54">
        <f>((1+Table26[[#This Row],[Weekly change]])^52)-1</f>
        <v>9.5196114154345146E-2</v>
      </c>
      <c r="E1495" s="57">
        <f>(Table26[[#This Row],[M2 Money Stock, Billions of Dollars, Weekly, Seasonally Adjusted]]-B1443)/B1443</f>
        <v>9.4410551920600466E-2</v>
      </c>
    </row>
    <row r="1496" spans="1:5" x14ac:dyDescent="0.2">
      <c r="A1496" s="50">
        <v>39951</v>
      </c>
      <c r="B1496" s="51">
        <v>8414.7000000000007</v>
      </c>
      <c r="C1496" s="53">
        <f>(Table26[[#This Row],[M2 Money Stock, Billions of Dollars, Weekly, Seasonally Adjusted]]-B1495)/B1495</f>
        <v>1.4262791941531202E-4</v>
      </c>
      <c r="D1496" s="54">
        <f>((1+Table26[[#This Row],[Weekly change]])^52)-1</f>
        <v>7.4436904948365079E-3</v>
      </c>
      <c r="E1496" s="57">
        <f>(Table26[[#This Row],[M2 Money Stock, Billions of Dollars, Weekly, Seasonally Adjusted]]-B1444)/B1444</f>
        <v>9.358511163673229E-2</v>
      </c>
    </row>
    <row r="1497" spans="1:5" x14ac:dyDescent="0.2">
      <c r="A1497" s="50">
        <v>39958</v>
      </c>
      <c r="B1497" s="51">
        <v>8428.2000000000007</v>
      </c>
      <c r="C1497" s="53">
        <f>(Table26[[#This Row],[M2 Money Stock, Billions of Dollars, Weekly, Seasonally Adjusted]]-B1496)/B1496</f>
        <v>1.6043352704196226E-3</v>
      </c>
      <c r="D1497" s="54">
        <f>((1+Table26[[#This Row],[Weekly change]])^52)-1</f>
        <v>8.6931495320290209E-2</v>
      </c>
      <c r="E1497" s="57">
        <f>(Table26[[#This Row],[M2 Money Stock, Billions of Dollars, Weekly, Seasonally Adjusted]]-B1445)/B1445</f>
        <v>9.2443292287751222E-2</v>
      </c>
    </row>
    <row r="1498" spans="1:5" x14ac:dyDescent="0.2">
      <c r="A1498" s="50">
        <v>39965</v>
      </c>
      <c r="B1498" s="51">
        <v>8429.1</v>
      </c>
      <c r="C1498" s="53">
        <f>(Table26[[#This Row],[M2 Money Stock, Billions of Dollars, Weekly, Seasonally Adjusted]]-B1497)/B1497</f>
        <v>1.0678436676866188E-4</v>
      </c>
      <c r="D1498" s="54">
        <f>((1+Table26[[#This Row],[Weekly change]])^52)-1</f>
        <v>5.5679342640120311E-3</v>
      </c>
      <c r="E1498" s="57">
        <f>(Table26[[#This Row],[M2 Money Stock, Billions of Dollars, Weekly, Seasonally Adjusted]]-B1446)/B1446</f>
        <v>9.2999131212801095E-2</v>
      </c>
    </row>
    <row r="1499" spans="1:5" x14ac:dyDescent="0.2">
      <c r="A1499" s="50">
        <v>39972</v>
      </c>
      <c r="B1499" s="51">
        <v>8439.2999999999993</v>
      </c>
      <c r="C1499" s="53">
        <f>(Table26[[#This Row],[M2 Money Stock, Billions of Dollars, Weekly, Seasonally Adjusted]]-B1498)/B1498</f>
        <v>1.2100936042992619E-3</v>
      </c>
      <c r="D1499" s="54">
        <f>((1+Table26[[#This Row],[Weekly change]])^52)-1</f>
        <v>6.4906312299597646E-2</v>
      </c>
      <c r="E1499" s="57">
        <f>(Table26[[#This Row],[M2 Money Stock, Billions of Dollars, Weekly, Seasonally Adjusted]]-B1447)/B1447</f>
        <v>9.4648230777212683E-2</v>
      </c>
    </row>
    <row r="1500" spans="1:5" x14ac:dyDescent="0.2">
      <c r="A1500" s="50">
        <v>39979</v>
      </c>
      <c r="B1500" s="51">
        <v>8439</v>
      </c>
      <c r="C1500" s="53">
        <f>(Table26[[#This Row],[M2 Money Stock, Billions of Dollars, Weekly, Seasonally Adjusted]]-B1499)/B1499</f>
        <v>-3.5547971988111861E-5</v>
      </c>
      <c r="D1500" s="54">
        <f>((1+Table26[[#This Row],[Weekly change]])^52)-1</f>
        <v>-1.8468199247723138E-3</v>
      </c>
      <c r="E1500" s="57">
        <f>(Table26[[#This Row],[M2 Money Stock, Billions of Dollars, Weekly, Seasonally Adjusted]]-B1448)/B1448</f>
        <v>9.4282861551628058E-2</v>
      </c>
    </row>
    <row r="1501" spans="1:5" x14ac:dyDescent="0.2">
      <c r="A1501" s="50">
        <v>39986</v>
      </c>
      <c r="B1501" s="51">
        <v>8430.4</v>
      </c>
      <c r="C1501" s="53">
        <f>(Table26[[#This Row],[M2 Money Stock, Billions of Dollars, Weekly, Seasonally Adjusted]]-B1500)/B1500</f>
        <v>-1.019078089821112E-3</v>
      </c>
      <c r="D1501" s="54">
        <f>((1+Table26[[#This Row],[Weekly change]])^52)-1</f>
        <v>-5.1638082960303922E-2</v>
      </c>
      <c r="E1501" s="57">
        <f>(Table26[[#This Row],[M2 Money Stock, Billions of Dollars, Weekly, Seasonally Adjusted]]-B1449)/B1449</f>
        <v>9.1851007615396552E-2</v>
      </c>
    </row>
    <row r="1502" spans="1:5" x14ac:dyDescent="0.2">
      <c r="A1502" s="50">
        <v>39993</v>
      </c>
      <c r="B1502" s="51">
        <v>8403.4</v>
      </c>
      <c r="C1502" s="53">
        <f>(Table26[[#This Row],[M2 Money Stock, Billions of Dollars, Weekly, Seasonally Adjusted]]-B1501)/B1501</f>
        <v>-3.20269500854052E-3</v>
      </c>
      <c r="D1502" s="54">
        <f>((1+Table26[[#This Row],[Weekly change]])^52)-1</f>
        <v>-0.15363739481061278</v>
      </c>
      <c r="E1502" s="57">
        <f>(Table26[[#This Row],[M2 Money Stock, Billions of Dollars, Weekly, Seasonally Adjusted]]-B1450)/B1450</f>
        <v>8.9002928751004226E-2</v>
      </c>
    </row>
    <row r="1503" spans="1:5" x14ac:dyDescent="0.2">
      <c r="A1503" s="50">
        <v>40000</v>
      </c>
      <c r="B1503" s="51">
        <v>8419.2999999999993</v>
      </c>
      <c r="C1503" s="53">
        <f>(Table26[[#This Row],[M2 Money Stock, Billions of Dollars, Weekly, Seasonally Adjusted]]-B1502)/B1502</f>
        <v>1.8920912963799935E-3</v>
      </c>
      <c r="D1503" s="54">
        <f>((1+Table26[[#This Row],[Weekly change]])^52)-1</f>
        <v>0.1032890725581006</v>
      </c>
      <c r="E1503" s="57">
        <f>(Table26[[#This Row],[M2 Money Stock, Billions of Dollars, Weekly, Seasonally Adjusted]]-B1451)/B1451</f>
        <v>8.7989765326165578E-2</v>
      </c>
    </row>
    <row r="1504" spans="1:5" x14ac:dyDescent="0.2">
      <c r="A1504" s="50">
        <v>40007</v>
      </c>
      <c r="B1504" s="51">
        <v>8422.5</v>
      </c>
      <c r="C1504" s="53">
        <f>(Table26[[#This Row],[M2 Money Stock, Billions of Dollars, Weekly, Seasonally Adjusted]]-B1503)/B1503</f>
        <v>3.8007910396359887E-4</v>
      </c>
      <c r="D1504" s="54">
        <f>((1+Table26[[#This Row],[Weekly change]])^52)-1</f>
        <v>1.9956886631255388E-2</v>
      </c>
      <c r="E1504" s="57">
        <f>(Table26[[#This Row],[M2 Money Stock, Billions of Dollars, Weekly, Seasonally Adjusted]]-B1452)/B1452</f>
        <v>8.685833741967125E-2</v>
      </c>
    </row>
    <row r="1505" spans="1:5" x14ac:dyDescent="0.2">
      <c r="A1505" s="50">
        <v>40014</v>
      </c>
      <c r="B1505" s="51">
        <v>8434.7000000000007</v>
      </c>
      <c r="C1505" s="53">
        <f>(Table26[[#This Row],[M2 Money Stock, Billions of Dollars, Weekly, Seasonally Adjusted]]-B1504)/B1504</f>
        <v>1.4485010388840282E-3</v>
      </c>
      <c r="D1505" s="54">
        <f>((1+Table26[[#This Row],[Weekly change]])^52)-1</f>
        <v>7.8172582339069097E-2</v>
      </c>
      <c r="E1505" s="57">
        <f>(Table26[[#This Row],[M2 Money Stock, Billions of Dollars, Weekly, Seasonally Adjusted]]-B1453)/B1453</f>
        <v>8.4709362139917796E-2</v>
      </c>
    </row>
    <row r="1506" spans="1:5" x14ac:dyDescent="0.2">
      <c r="A1506" s="50">
        <v>40021</v>
      </c>
      <c r="B1506" s="51">
        <v>8450.5</v>
      </c>
      <c r="C1506" s="53">
        <f>(Table26[[#This Row],[M2 Money Stock, Billions of Dollars, Weekly, Seasonally Adjusted]]-B1505)/B1505</f>
        <v>1.8732142222010588E-3</v>
      </c>
      <c r="D1506" s="54">
        <f>((1+Table26[[#This Row],[Weekly change]])^52)-1</f>
        <v>0.10220863978255634</v>
      </c>
      <c r="E1506" s="57">
        <f>(Table26[[#This Row],[M2 Money Stock, Billions of Dollars, Weekly, Seasonally Adjusted]]-B1454)/B1454</f>
        <v>8.704880496025108E-2</v>
      </c>
    </row>
    <row r="1507" spans="1:5" x14ac:dyDescent="0.2">
      <c r="A1507" s="50">
        <v>40028</v>
      </c>
      <c r="B1507" s="51">
        <v>8434.7000000000007</v>
      </c>
      <c r="C1507" s="53">
        <f>(Table26[[#This Row],[M2 Money Stock, Billions of Dollars, Weekly, Seasonally Adjusted]]-B1506)/B1506</f>
        <v>-1.8697118513696554E-3</v>
      </c>
      <c r="D1507" s="54">
        <f>((1+Table26[[#This Row],[Weekly change]])^52)-1</f>
        <v>-9.2730755406453591E-2</v>
      </c>
      <c r="E1507" s="57">
        <f>(Table26[[#This Row],[M2 Money Stock, Billions of Dollars, Weekly, Seasonally Adjusted]]-B1455)/B1455</f>
        <v>8.4751212109520802E-2</v>
      </c>
    </row>
    <row r="1508" spans="1:5" x14ac:dyDescent="0.2">
      <c r="A1508" s="50">
        <v>40035</v>
      </c>
      <c r="B1508" s="51">
        <v>8442.9</v>
      </c>
      <c r="C1508" s="53">
        <f>(Table26[[#This Row],[M2 Money Stock, Billions of Dollars, Weekly, Seasonally Adjusted]]-B1507)/B1507</f>
        <v>9.7217446974983204E-4</v>
      </c>
      <c r="D1508" s="54">
        <f>((1+Table26[[#This Row],[Weekly change]])^52)-1</f>
        <v>5.1826855915843018E-2</v>
      </c>
      <c r="E1508" s="57">
        <f>(Table26[[#This Row],[M2 Money Stock, Billions of Dollars, Weekly, Seasonally Adjusted]]-B1456)/B1456</f>
        <v>8.4982522874473013E-2</v>
      </c>
    </row>
    <row r="1509" spans="1:5" x14ac:dyDescent="0.2">
      <c r="A1509" s="50">
        <v>40042</v>
      </c>
      <c r="B1509" s="51">
        <v>8444.2999999999993</v>
      </c>
      <c r="C1509" s="53">
        <f>(Table26[[#This Row],[M2 Money Stock, Billions of Dollars, Weekly, Seasonally Adjusted]]-B1508)/B1508</f>
        <v>1.6581980125308086E-4</v>
      </c>
      <c r="D1509" s="54">
        <f>((1+Table26[[#This Row],[Weekly change]])^52)-1</f>
        <v>8.6591906030504262E-3</v>
      </c>
      <c r="E1509" s="57">
        <f>(Table26[[#This Row],[M2 Money Stock, Billions of Dollars, Weekly, Seasonally Adjusted]]-B1457)/B1457</f>
        <v>8.6544771414233626E-2</v>
      </c>
    </row>
    <row r="1510" spans="1:5" x14ac:dyDescent="0.2">
      <c r="A1510" s="50">
        <v>40049</v>
      </c>
      <c r="B1510" s="51">
        <v>8417.9</v>
      </c>
      <c r="C1510" s="53">
        <f>(Table26[[#This Row],[M2 Money Stock, Billions of Dollars, Weekly, Seasonally Adjusted]]-B1509)/B1509</f>
        <v>-3.1263692668426794E-3</v>
      </c>
      <c r="D1510" s="54">
        <f>((1+Table26[[#This Row],[Weekly change]])^52)-1</f>
        <v>-0.15026085224649299</v>
      </c>
      <c r="E1510" s="57">
        <f>(Table26[[#This Row],[M2 Money Stock, Billions of Dollars, Weekly, Seasonally Adjusted]]-B1458)/B1458</f>
        <v>8.2187025942971642E-2</v>
      </c>
    </row>
    <row r="1511" spans="1:5" x14ac:dyDescent="0.2">
      <c r="A1511" s="50">
        <v>40056</v>
      </c>
      <c r="B1511" s="51">
        <v>8422.5</v>
      </c>
      <c r="C1511" s="53">
        <f>(Table26[[#This Row],[M2 Money Stock, Billions of Dollars, Weekly, Seasonally Adjusted]]-B1510)/B1510</f>
        <v>5.4645457893303133E-4</v>
      </c>
      <c r="D1511" s="54">
        <f>((1+Table26[[#This Row],[Weekly change]])^52)-1</f>
        <v>2.8815228927584036E-2</v>
      </c>
      <c r="E1511" s="57">
        <f>(Table26[[#This Row],[M2 Money Stock, Billions of Dollars, Weekly, Seasonally Adjusted]]-B1459)/B1459</f>
        <v>8.3753667198517623E-2</v>
      </c>
    </row>
    <row r="1512" spans="1:5" x14ac:dyDescent="0.2">
      <c r="A1512" s="50">
        <v>40063</v>
      </c>
      <c r="B1512" s="51">
        <v>8423.7999999999993</v>
      </c>
      <c r="C1512" s="53">
        <f>(Table26[[#This Row],[M2 Money Stock, Billions of Dollars, Weekly, Seasonally Adjusted]]-B1511)/B1511</f>
        <v>1.543484713563992E-4</v>
      </c>
      <c r="D1512" s="54">
        <f>((1+Table26[[#This Row],[Weekly change]])^52)-1</f>
        <v>8.0577918241226953E-3</v>
      </c>
      <c r="E1512" s="57">
        <f>(Table26[[#This Row],[M2 Money Stock, Billions of Dollars, Weekly, Seasonally Adjusted]]-B1460)/B1460</f>
        <v>8.6591422121896064E-2</v>
      </c>
    </row>
    <row r="1513" spans="1:5" x14ac:dyDescent="0.2">
      <c r="A1513" s="50">
        <v>40070</v>
      </c>
      <c r="B1513" s="51">
        <v>8436</v>
      </c>
      <c r="C1513" s="53">
        <f>(Table26[[#This Row],[M2 Money Stock, Billions of Dollars, Weekly, Seasonally Adjusted]]-B1512)/B1512</f>
        <v>1.4482774994658857E-3</v>
      </c>
      <c r="D1513" s="54">
        <f>((1+Table26[[#This Row],[Weekly change]])^52)-1</f>
        <v>7.8160067805991273E-2</v>
      </c>
      <c r="E1513" s="57">
        <f>(Table26[[#This Row],[M2 Money Stock, Billions of Dollars, Weekly, Seasonally Adjusted]]-B1461)/B1461</f>
        <v>8.5951881364004973E-2</v>
      </c>
    </row>
    <row r="1514" spans="1:5" x14ac:dyDescent="0.2">
      <c r="A1514" s="50">
        <v>40077</v>
      </c>
      <c r="B1514" s="51">
        <v>8434</v>
      </c>
      <c r="C1514" s="53">
        <f>(Table26[[#This Row],[M2 Money Stock, Billions of Dollars, Weekly, Seasonally Adjusted]]-B1513)/B1513</f>
        <v>-2.370791844476055E-4</v>
      </c>
      <c r="D1514" s="54">
        <f>((1+Table26[[#This Row],[Weekly change]])^52)-1</f>
        <v>-1.2253881357665364E-2</v>
      </c>
      <c r="E1514" s="57">
        <f>(Table26[[#This Row],[M2 Money Stock, Billions of Dollars, Weekly, Seasonally Adjusted]]-B1462)/B1462</f>
        <v>6.3690250977424645E-2</v>
      </c>
    </row>
    <row r="1515" spans="1:5" x14ac:dyDescent="0.2">
      <c r="A1515" s="50">
        <v>40084</v>
      </c>
      <c r="B1515" s="51">
        <v>8431.1</v>
      </c>
      <c r="C1515" s="53">
        <f>(Table26[[#This Row],[M2 Money Stock, Billions of Dollars, Weekly, Seasonally Adjusted]]-B1514)/B1514</f>
        <v>-3.438463362579602E-4</v>
      </c>
      <c r="D1515" s="54">
        <f>((1+Table26[[#This Row],[Weekly change]])^52)-1</f>
        <v>-1.7724130764393053E-2</v>
      </c>
      <c r="E1515" s="57">
        <f>(Table26[[#This Row],[M2 Money Stock, Billions of Dollars, Weekly, Seasonally Adjusted]]-B1463)/B1463</f>
        <v>6.2373205982787512E-2</v>
      </c>
    </row>
    <row r="1516" spans="1:5" x14ac:dyDescent="0.2">
      <c r="A1516" s="50">
        <v>40091</v>
      </c>
      <c r="B1516" s="51">
        <v>8435.1</v>
      </c>
      <c r="C1516" s="53">
        <f>(Table26[[#This Row],[M2 Money Stock, Billions of Dollars, Weekly, Seasonally Adjusted]]-B1515)/B1515</f>
        <v>4.7443394100413943E-4</v>
      </c>
      <c r="D1516" s="54">
        <f>((1+Table26[[#This Row],[Weekly change]])^52)-1</f>
        <v>2.4971404862286439E-2</v>
      </c>
      <c r="E1516" s="57">
        <f>(Table26[[#This Row],[M2 Money Stock, Billions of Dollars, Weekly, Seasonally Adjusted]]-B1464)/B1464</f>
        <v>6.705882352941181E-2</v>
      </c>
    </row>
    <row r="1517" spans="1:5" x14ac:dyDescent="0.2">
      <c r="A1517" s="50">
        <v>40098</v>
      </c>
      <c r="B1517" s="51">
        <v>8448.7999999999993</v>
      </c>
      <c r="C1517" s="53">
        <f>(Table26[[#This Row],[M2 Money Stock, Billions of Dollars, Weekly, Seasonally Adjusted]]-B1516)/B1516</f>
        <v>1.6241656886105569E-3</v>
      </c>
      <c r="D1517" s="54">
        <f>((1+Table26[[#This Row],[Weekly change]])^52)-1</f>
        <v>8.8051089085877887E-2</v>
      </c>
      <c r="E1517" s="57">
        <f>(Table26[[#This Row],[M2 Money Stock, Billions of Dollars, Weekly, Seasonally Adjusted]]-B1465)/B1465</f>
        <v>6.3063063063062919E-2</v>
      </c>
    </row>
    <row r="1518" spans="1:5" x14ac:dyDescent="0.2">
      <c r="A1518" s="50">
        <v>40105</v>
      </c>
      <c r="B1518" s="51">
        <v>8464.1</v>
      </c>
      <c r="C1518" s="53">
        <f>(Table26[[#This Row],[M2 Money Stock, Billions of Dollars, Weekly, Seasonally Adjusted]]-B1517)/B1517</f>
        <v>1.8109080579491873E-3</v>
      </c>
      <c r="D1518" s="54">
        <f>((1+Table26[[#This Row],[Weekly change]])^52)-1</f>
        <v>9.8649894926992721E-2</v>
      </c>
      <c r="E1518" s="57">
        <f>(Table26[[#This Row],[M2 Money Stock, Billions of Dollars, Weekly, Seasonally Adjusted]]-B1466)/B1466</f>
        <v>5.917759535489045E-2</v>
      </c>
    </row>
    <row r="1519" spans="1:5" x14ac:dyDescent="0.2">
      <c r="A1519" s="50">
        <v>40112</v>
      </c>
      <c r="B1519" s="51">
        <v>8470.7000000000007</v>
      </c>
      <c r="C1519" s="53">
        <f>(Table26[[#This Row],[M2 Money Stock, Billions of Dollars, Weekly, Seasonally Adjusted]]-B1518)/B1518</f>
        <v>7.7976394418784796E-4</v>
      </c>
      <c r="D1519" s="54">
        <f>((1+Table26[[#This Row],[Weekly change]])^52)-1</f>
        <v>4.1364554197946157E-2</v>
      </c>
      <c r="E1519" s="57">
        <f>(Table26[[#This Row],[M2 Money Stock, Billions of Dollars, Weekly, Seasonally Adjusted]]-B1467)/B1467</f>
        <v>6.3677231402883158E-2</v>
      </c>
    </row>
    <row r="1520" spans="1:5" x14ac:dyDescent="0.2">
      <c r="A1520" s="50">
        <v>40119</v>
      </c>
      <c r="B1520" s="51">
        <v>8469.2999999999993</v>
      </c>
      <c r="C1520" s="53">
        <f>(Table26[[#This Row],[M2 Money Stock, Billions of Dollars, Weekly, Seasonally Adjusted]]-B1519)/B1519</f>
        <v>-1.6527559705826616E-4</v>
      </c>
      <c r="D1520" s="54">
        <f>((1+Table26[[#This Row],[Weekly change]])^52)-1</f>
        <v>-8.5582095731195906E-3</v>
      </c>
      <c r="E1520" s="57">
        <f>(Table26[[#This Row],[M2 Money Stock, Billions of Dollars, Weekly, Seasonally Adjusted]]-B1468)/B1468</f>
        <v>6.4450449318167444E-2</v>
      </c>
    </row>
    <row r="1521" spans="1:5" x14ac:dyDescent="0.2">
      <c r="A1521" s="50">
        <v>40126</v>
      </c>
      <c r="B1521" s="51">
        <v>8484.7000000000007</v>
      </c>
      <c r="C1521" s="53">
        <f>(Table26[[#This Row],[M2 Money Stock, Billions of Dollars, Weekly, Seasonally Adjusted]]-B1520)/B1520</f>
        <v>1.8183320935616233E-3</v>
      </c>
      <c r="D1521" s="54">
        <f>((1+Table26[[#This Row],[Weekly change]])^52)-1</f>
        <v>9.9073341891378064E-2</v>
      </c>
      <c r="E1521" s="57">
        <f>(Table26[[#This Row],[M2 Money Stock, Billions of Dollars, Weekly, Seasonally Adjusted]]-B1469)/B1469</f>
        <v>6.4552959775162594E-2</v>
      </c>
    </row>
    <row r="1522" spans="1:5" x14ac:dyDescent="0.2">
      <c r="A1522" s="50">
        <v>40133</v>
      </c>
      <c r="B1522" s="51">
        <v>8490.7999999999993</v>
      </c>
      <c r="C1522" s="53">
        <f>(Table26[[#This Row],[M2 Money Stock, Billions of Dollars, Weekly, Seasonally Adjusted]]-B1521)/B1521</f>
        <v>7.189411528985756E-4</v>
      </c>
      <c r="D1522" s="54">
        <f>((1+Table26[[#This Row],[Weekly change]])^52)-1</f>
        <v>3.8078603303397962E-2</v>
      </c>
      <c r="E1522" s="57">
        <f>(Table26[[#This Row],[M2 Money Stock, Billions of Dollars, Weekly, Seasonally Adjusted]]-B1470)/B1470</f>
        <v>6.2904497828073447E-2</v>
      </c>
    </row>
    <row r="1523" spans="1:5" x14ac:dyDescent="0.2">
      <c r="A1523" s="50">
        <v>40140</v>
      </c>
      <c r="B1523" s="51">
        <v>8491.7999999999993</v>
      </c>
      <c r="C1523" s="53">
        <f>(Table26[[#This Row],[M2 Money Stock, Billions of Dollars, Weekly, Seasonally Adjusted]]-B1522)/B1522</f>
        <v>1.1777453243510625E-4</v>
      </c>
      <c r="D1523" s="54">
        <f>((1+Table26[[#This Row],[Weekly change]])^52)-1</f>
        <v>6.1427045765183319E-3</v>
      </c>
      <c r="E1523" s="57">
        <f>(Table26[[#This Row],[M2 Money Stock, Billions of Dollars, Weekly, Seasonally Adjusted]]-B1471)/B1471</f>
        <v>5.9210936622968266E-2</v>
      </c>
    </row>
    <row r="1524" spans="1:5" x14ac:dyDescent="0.2">
      <c r="A1524" s="50">
        <v>40147</v>
      </c>
      <c r="B1524" s="51">
        <v>8491.7999999999993</v>
      </c>
      <c r="C1524" s="53">
        <f>(Table26[[#This Row],[M2 Money Stock, Billions of Dollars, Weekly, Seasonally Adjusted]]-B1523)/B1523</f>
        <v>0</v>
      </c>
      <c r="D1524" s="54">
        <f>((1+Table26[[#This Row],[Weekly change]])^52)-1</f>
        <v>0</v>
      </c>
      <c r="E1524" s="57">
        <f>(Table26[[#This Row],[M2 Money Stock, Billions of Dollars, Weekly, Seasonally Adjusted]]-B1472)/B1472</f>
        <v>5.1811482009041836E-2</v>
      </c>
    </row>
    <row r="1525" spans="1:5" x14ac:dyDescent="0.2">
      <c r="A1525" s="50">
        <v>40154</v>
      </c>
      <c r="B1525" s="51">
        <v>8505.5</v>
      </c>
      <c r="C1525" s="53">
        <f>(Table26[[#This Row],[M2 Money Stock, Billions of Dollars, Weekly, Seasonally Adjusted]]-B1524)/B1524</f>
        <v>1.6133210862244434E-3</v>
      </c>
      <c r="D1525" s="54">
        <f>((1+Table26[[#This Row],[Weekly change]])^52)-1</f>
        <v>8.7438680075035524E-2</v>
      </c>
      <c r="E1525" s="57">
        <f>(Table26[[#This Row],[M2 Money Stock, Billions of Dollars, Weekly, Seasonally Adjusted]]-B1473)/B1473</f>
        <v>4.6084026172086366E-2</v>
      </c>
    </row>
    <row r="1526" spans="1:5" x14ac:dyDescent="0.2">
      <c r="A1526" s="50">
        <v>40161</v>
      </c>
      <c r="B1526" s="51">
        <v>8495.6</v>
      </c>
      <c r="C1526" s="53">
        <f>(Table26[[#This Row],[M2 Money Stock, Billions of Dollars, Weekly, Seasonally Adjusted]]-B1525)/B1525</f>
        <v>-1.1639527364645979E-3</v>
      </c>
      <c r="D1526" s="54">
        <f>((1+Table26[[#This Row],[Weekly change]])^52)-1</f>
        <v>-5.876345433874719E-2</v>
      </c>
      <c r="E1526" s="57">
        <f>(Table26[[#This Row],[M2 Money Stock, Billions of Dollars, Weekly, Seasonally Adjusted]]-B1474)/B1474</f>
        <v>3.9636795281275693E-2</v>
      </c>
    </row>
    <row r="1527" spans="1:5" x14ac:dyDescent="0.2">
      <c r="A1527" s="50">
        <v>40168</v>
      </c>
      <c r="B1527" s="51">
        <v>8482.4</v>
      </c>
      <c r="C1527" s="53">
        <f>(Table26[[#This Row],[M2 Money Stock, Billions of Dollars, Weekly, Seasonally Adjusted]]-B1526)/B1526</f>
        <v>-1.5537454682424698E-3</v>
      </c>
      <c r="D1527" s="54">
        <f>((1+Table26[[#This Row],[Weekly change]])^52)-1</f>
        <v>-7.7674975770537391E-2</v>
      </c>
      <c r="E1527" s="57">
        <f>(Table26[[#This Row],[M2 Money Stock, Billions of Dollars, Weekly, Seasonally Adjusted]]-B1475)/B1475</f>
        <v>3.4300276792137548E-2</v>
      </c>
    </row>
    <row r="1528" spans="1:5" x14ac:dyDescent="0.2">
      <c r="A1528" s="50">
        <v>40175</v>
      </c>
      <c r="B1528" s="51">
        <v>8469.2999999999993</v>
      </c>
      <c r="C1528" s="53">
        <f>(Table26[[#This Row],[M2 Money Stock, Billions of Dollars, Weekly, Seasonally Adjusted]]-B1527)/B1527</f>
        <v>-1.5443742337074842E-3</v>
      </c>
      <c r="D1528" s="54">
        <f>((1+Table26[[#This Row],[Weekly change]])^52)-1</f>
        <v>-7.7224715738699157E-2</v>
      </c>
      <c r="E1528" s="57">
        <f>(Table26[[#This Row],[M2 Money Stock, Billions of Dollars, Weekly, Seasonally Adjusted]]-B1476)/B1476</f>
        <v>3.0767358364266934E-2</v>
      </c>
    </row>
    <row r="1529" spans="1:5" x14ac:dyDescent="0.2">
      <c r="A1529" s="50">
        <v>40182</v>
      </c>
      <c r="B1529" s="51">
        <v>8438.7000000000007</v>
      </c>
      <c r="C1529" s="53">
        <f>(Table26[[#This Row],[M2 Money Stock, Billions of Dollars, Weekly, Seasonally Adjusted]]-B1528)/B1528</f>
        <v>-3.613049484608946E-3</v>
      </c>
      <c r="D1529" s="54">
        <f>((1+Table26[[#This Row],[Weekly change]])^52)-1</f>
        <v>-0.17156657403343301</v>
      </c>
      <c r="E1529" s="57">
        <f>(Table26[[#This Row],[M2 Money Stock, Billions of Dollars, Weekly, Seasonally Adjusted]]-B1477)/B1477</f>
        <v>2.3058737952355062E-2</v>
      </c>
    </row>
    <row r="1530" spans="1:5" x14ac:dyDescent="0.2">
      <c r="A1530" s="50">
        <v>40189</v>
      </c>
      <c r="B1530" s="51">
        <v>8432</v>
      </c>
      <c r="C1530" s="53">
        <f>(Table26[[#This Row],[M2 Money Stock, Billions of Dollars, Weekly, Seasonally Adjusted]]-B1529)/B1529</f>
        <v>-7.9396115515431608E-4</v>
      </c>
      <c r="D1530" s="54">
        <f>((1+Table26[[#This Row],[Weekly change]])^52)-1</f>
        <v>-4.0461057850679216E-2</v>
      </c>
      <c r="E1530" s="57">
        <f>(Table26[[#This Row],[M2 Money Stock, Billions of Dollars, Weekly, Seasonally Adjusted]]-B1478)/B1478</f>
        <v>2.2816870655878937E-2</v>
      </c>
    </row>
    <row r="1531" spans="1:5" x14ac:dyDescent="0.2">
      <c r="A1531" s="50">
        <v>40196</v>
      </c>
      <c r="B1531" s="51">
        <v>8435.6</v>
      </c>
      <c r="C1531" s="53">
        <f>(Table26[[#This Row],[M2 Money Stock, Billions of Dollars, Weekly, Seasonally Adjusted]]-B1530)/B1530</f>
        <v>4.2694497153704505E-4</v>
      </c>
      <c r="D1531" s="54">
        <f>((1+Table26[[#This Row],[Weekly change]])^52)-1</f>
        <v>2.2444573414744706E-2</v>
      </c>
      <c r="E1531" s="57">
        <f>(Table26[[#This Row],[M2 Money Stock, Billions of Dollars, Weekly, Seasonally Adjusted]]-B1479)/B1479</f>
        <v>2.1568271268543791E-2</v>
      </c>
    </row>
    <row r="1532" spans="1:5" x14ac:dyDescent="0.2">
      <c r="A1532" s="50">
        <v>40203</v>
      </c>
      <c r="B1532" s="51">
        <v>8454</v>
      </c>
      <c r="C1532" s="53">
        <f>(Table26[[#This Row],[M2 Money Stock, Billions of Dollars, Weekly, Seasonally Adjusted]]-B1531)/B1531</f>
        <v>2.1812319218549522E-3</v>
      </c>
      <c r="D1532" s="54">
        <f>((1+Table26[[#This Row],[Weekly change]])^52)-1</f>
        <v>0.11996847482653394</v>
      </c>
      <c r="E1532" s="57">
        <f>(Table26[[#This Row],[M2 Money Stock, Billions of Dollars, Weekly, Seasonally Adjusted]]-B1480)/B1480</f>
        <v>2.0644693951466859E-2</v>
      </c>
    </row>
    <row r="1533" spans="1:5" x14ac:dyDescent="0.2">
      <c r="A1533" s="50">
        <v>40210</v>
      </c>
      <c r="B1533" s="51">
        <v>8468.4</v>
      </c>
      <c r="C1533" s="53">
        <f>(Table26[[#This Row],[M2 Money Stock, Billions of Dollars, Weekly, Seasonally Adjusted]]-B1532)/B1532</f>
        <v>1.7033356990773167E-3</v>
      </c>
      <c r="D1533" s="54">
        <f>((1+Table26[[#This Row],[Weekly change]])^52)-1</f>
        <v>9.2532184159481945E-2</v>
      </c>
      <c r="E1533" s="57">
        <f>(Table26[[#This Row],[M2 Money Stock, Billions of Dollars, Weekly, Seasonally Adjusted]]-B1481)/B1481</f>
        <v>2.274127124068541E-2</v>
      </c>
    </row>
    <row r="1534" spans="1:5" x14ac:dyDescent="0.2">
      <c r="A1534" s="50">
        <v>40217</v>
      </c>
      <c r="B1534" s="51">
        <v>8474</v>
      </c>
      <c r="C1534" s="53">
        <f>(Table26[[#This Row],[M2 Money Stock, Billions of Dollars, Weekly, Seasonally Adjusted]]-B1533)/B1533</f>
        <v>6.6128194227957631E-4</v>
      </c>
      <c r="D1534" s="54">
        <f>((1+Table26[[#This Row],[Weekly change]])^52)-1</f>
        <v>3.4972955443255627E-2</v>
      </c>
      <c r="E1534" s="57">
        <f>(Table26[[#This Row],[M2 Money Stock, Billions of Dollars, Weekly, Seasonally Adjusted]]-B1482)/B1482</f>
        <v>2.2985175527548363E-2</v>
      </c>
    </row>
    <row r="1535" spans="1:5" x14ac:dyDescent="0.2">
      <c r="A1535" s="50">
        <v>40224</v>
      </c>
      <c r="B1535" s="51">
        <v>8508.5</v>
      </c>
      <c r="C1535" s="53">
        <f>(Table26[[#This Row],[M2 Money Stock, Billions of Dollars, Weekly, Seasonally Adjusted]]-B1534)/B1534</f>
        <v>4.071276846825584E-3</v>
      </c>
      <c r="D1535" s="54">
        <f>((1+Table26[[#This Row],[Weekly change]])^52)-1</f>
        <v>0.23525398462102531</v>
      </c>
      <c r="E1535" s="57">
        <f>(Table26[[#This Row],[M2 Money Stock, Billions of Dollars, Weekly, Seasonally Adjusted]]-B1483)/B1483</f>
        <v>2.6579957047368458E-2</v>
      </c>
    </row>
    <row r="1536" spans="1:5" x14ac:dyDescent="0.2">
      <c r="A1536" s="50">
        <v>40231</v>
      </c>
      <c r="B1536" s="51">
        <v>8507.7000000000007</v>
      </c>
      <c r="C1536" s="53">
        <f>(Table26[[#This Row],[M2 Money Stock, Billions of Dollars, Weekly, Seasonally Adjusted]]-B1535)/B1535</f>
        <v>-9.4023623435302627E-5</v>
      </c>
      <c r="D1536" s="54">
        <f>((1+Table26[[#This Row],[Weekly change]])^52)-1</f>
        <v>-4.8775243414713731E-3</v>
      </c>
      <c r="E1536" s="57">
        <f>(Table26[[#This Row],[M2 Money Stock, Billions of Dollars, Weekly, Seasonally Adjusted]]-B1484)/B1484</f>
        <v>2.6136774816065703E-2</v>
      </c>
    </row>
    <row r="1537" spans="1:5" x14ac:dyDescent="0.2">
      <c r="A1537" s="50">
        <v>40238</v>
      </c>
      <c r="B1537" s="51">
        <v>8495.1</v>
      </c>
      <c r="C1537" s="53">
        <f>(Table26[[#This Row],[M2 Money Stock, Billions of Dollars, Weekly, Seasonally Adjusted]]-B1536)/B1536</f>
        <v>-1.4810113191579819E-3</v>
      </c>
      <c r="D1537" s="54">
        <f>((1+Table26[[#This Row],[Weekly change]])^52)-1</f>
        <v>-7.4174653876388108E-2</v>
      </c>
      <c r="E1537" s="57">
        <f>(Table26[[#This Row],[M2 Money Stock, Billions of Dollars, Weekly, Seasonally Adjusted]]-B1485)/B1485</f>
        <v>2.1880864167829431E-2</v>
      </c>
    </row>
    <row r="1538" spans="1:5" x14ac:dyDescent="0.2">
      <c r="A1538" s="50">
        <v>40245</v>
      </c>
      <c r="B1538" s="51">
        <v>8486.1</v>
      </c>
      <c r="C1538" s="53">
        <f>(Table26[[#This Row],[M2 Money Stock, Billions of Dollars, Weekly, Seasonally Adjusted]]-B1537)/B1537</f>
        <v>-1.0594342621040363E-3</v>
      </c>
      <c r="D1538" s="54">
        <f>((1+Table26[[#This Row],[Weekly change]])^52)-1</f>
        <v>-5.3628219678890754E-2</v>
      </c>
      <c r="E1538" s="57">
        <f>(Table26[[#This Row],[M2 Money Stock, Billions of Dollars, Weekly, Seasonally Adjusted]]-B1486)/B1486</f>
        <v>1.6299401197604833E-2</v>
      </c>
    </row>
    <row r="1539" spans="1:5" x14ac:dyDescent="0.2">
      <c r="A1539" s="50">
        <v>40252</v>
      </c>
      <c r="B1539" s="51">
        <v>8491</v>
      </c>
      <c r="C1539" s="53">
        <f>(Table26[[#This Row],[M2 Money Stock, Billions of Dollars, Weekly, Seasonally Adjusted]]-B1538)/B1538</f>
        <v>5.7741483131233857E-4</v>
      </c>
      <c r="D1539" s="54">
        <f>((1+Table26[[#This Row],[Weekly change]])^52)-1</f>
        <v>3.0471954922511202E-2</v>
      </c>
      <c r="E1539" s="57">
        <f>(Table26[[#This Row],[M2 Money Stock, Billions of Dollars, Weekly, Seasonally Adjusted]]-B1487)/B1487</f>
        <v>1.2738245747954399E-2</v>
      </c>
    </row>
    <row r="1540" spans="1:5" x14ac:dyDescent="0.2">
      <c r="A1540" s="50">
        <v>40259</v>
      </c>
      <c r="B1540" s="51">
        <v>8490.1</v>
      </c>
      <c r="C1540" s="53">
        <f>(Table26[[#This Row],[M2 Money Stock, Billions of Dollars, Weekly, Seasonally Adjusted]]-B1539)/B1539</f>
        <v>-1.0599458249907387E-4</v>
      </c>
      <c r="D1540" s="54">
        <f>((1+Table26[[#This Row],[Weekly change]])^52)-1</f>
        <v>-5.4968471601181124E-3</v>
      </c>
      <c r="E1540" s="57">
        <f>(Table26[[#This Row],[M2 Money Stock, Billions of Dollars, Weekly, Seasonally Adjusted]]-B1488)/B1488</f>
        <v>1.4094432699083861E-2</v>
      </c>
    </row>
    <row r="1541" spans="1:5" x14ac:dyDescent="0.2">
      <c r="A1541" s="50">
        <v>40266</v>
      </c>
      <c r="B1541" s="51">
        <v>8497.6</v>
      </c>
      <c r="C1541" s="53">
        <f>(Table26[[#This Row],[M2 Money Stock, Billions of Dollars, Weekly, Seasonally Adjusted]]-B1540)/B1540</f>
        <v>8.8338182117996249E-4</v>
      </c>
      <c r="D1541" s="54">
        <f>((1+Table26[[#This Row],[Weekly change]])^52)-1</f>
        <v>4.6986017727117524E-2</v>
      </c>
      <c r="E1541" s="57">
        <f>(Table26[[#This Row],[M2 Money Stock, Billions of Dollars, Weekly, Seasonally Adjusted]]-B1489)/B1489</f>
        <v>1.8945752793898988E-2</v>
      </c>
    </row>
    <row r="1542" spans="1:5" x14ac:dyDescent="0.2">
      <c r="A1542" s="50">
        <v>40273</v>
      </c>
      <c r="B1542" s="51">
        <v>8507.9</v>
      </c>
      <c r="C1542" s="53">
        <f>(Table26[[#This Row],[M2 Money Stock, Billions of Dollars, Weekly, Seasonally Adjusted]]-B1541)/B1541</f>
        <v>1.2121069478440115E-3</v>
      </c>
      <c r="D1542" s="54">
        <f>((1+Table26[[#This Row],[Weekly change]])^52)-1</f>
        <v>6.5017672417559069E-2</v>
      </c>
      <c r="E1542" s="57">
        <f>(Table26[[#This Row],[M2 Money Stock, Billions of Dollars, Weekly, Seasonally Adjusted]]-B1490)/B1490</f>
        <v>2.0034049491655524E-2</v>
      </c>
    </row>
    <row r="1543" spans="1:5" x14ac:dyDescent="0.2">
      <c r="A1543" s="50">
        <v>40280</v>
      </c>
      <c r="B1543" s="51">
        <v>8515.1</v>
      </c>
      <c r="C1543" s="53">
        <f>(Table26[[#This Row],[M2 Money Stock, Billions of Dollars, Weekly, Seasonally Adjusted]]-B1542)/B1542</f>
        <v>8.4627228810878457E-4</v>
      </c>
      <c r="D1543" s="54">
        <f>((1+Table26[[#This Row],[Weekly change]])^52)-1</f>
        <v>4.4969343772892634E-2</v>
      </c>
      <c r="E1543" s="57">
        <f>(Table26[[#This Row],[M2 Money Stock, Billions of Dollars, Weekly, Seasonally Adjusted]]-B1491)/B1491</f>
        <v>1.9748029987305647E-2</v>
      </c>
    </row>
    <row r="1544" spans="1:5" x14ac:dyDescent="0.2">
      <c r="A1544" s="50">
        <v>40287</v>
      </c>
      <c r="B1544" s="51">
        <v>8509.2999999999993</v>
      </c>
      <c r="C1544" s="53">
        <f>(Table26[[#This Row],[M2 Money Stock, Billions of Dollars, Weekly, Seasonally Adjusted]]-B1543)/B1543</f>
        <v>-6.8114291082912602E-4</v>
      </c>
      <c r="D1544" s="54">
        <f>((1+Table26[[#This Row],[Weekly change]])^52)-1</f>
        <v>-3.4811152299999648E-2</v>
      </c>
      <c r="E1544" s="57">
        <f>(Table26[[#This Row],[M2 Money Stock, Billions of Dollars, Weekly, Seasonally Adjusted]]-B1492)/B1492</f>
        <v>1.7554559043348194E-2</v>
      </c>
    </row>
    <row r="1545" spans="1:5" x14ac:dyDescent="0.2">
      <c r="A1545" s="50">
        <v>40294</v>
      </c>
      <c r="B1545" s="51">
        <v>8537</v>
      </c>
      <c r="C1545" s="53">
        <f>(Table26[[#This Row],[M2 Money Stock, Billions of Dollars, Weekly, Seasonally Adjusted]]-B1544)/B1544</f>
        <v>3.2552618899322778E-3</v>
      </c>
      <c r="D1545" s="54">
        <f>((1+Table26[[#This Row],[Weekly change]])^52)-1</f>
        <v>0.18411859928083429</v>
      </c>
      <c r="E1545" s="57">
        <f>(Table26[[#This Row],[M2 Money Stock, Billions of Dollars, Weekly, Seasonally Adjusted]]-B1493)/B1493</f>
        <v>1.9927839239205665E-2</v>
      </c>
    </row>
    <row r="1546" spans="1:5" x14ac:dyDescent="0.2">
      <c r="A1546" s="50">
        <v>40301</v>
      </c>
      <c r="B1546" s="51">
        <v>8553.2999999999993</v>
      </c>
      <c r="C1546" s="53">
        <f>(Table26[[#This Row],[M2 Money Stock, Billions of Dollars, Weekly, Seasonally Adjusted]]-B1545)/B1545</f>
        <v>1.9093358322594908E-3</v>
      </c>
      <c r="D1546" s="54">
        <f>((1+Table26[[#This Row],[Weekly change]])^52)-1</f>
        <v>0.10427697452292417</v>
      </c>
      <c r="E1546" s="57">
        <f>(Table26[[#This Row],[M2 Money Stock, Billions of Dollars, Weekly, Seasonally Adjusted]]-B1494)/B1494</f>
        <v>1.8395485069295614E-2</v>
      </c>
    </row>
    <row r="1547" spans="1:5" x14ac:dyDescent="0.2">
      <c r="A1547" s="50">
        <v>40308</v>
      </c>
      <c r="B1547" s="51">
        <v>8563.7000000000007</v>
      </c>
      <c r="C1547" s="53">
        <f>(Table26[[#This Row],[M2 Money Stock, Billions of Dollars, Weekly, Seasonally Adjusted]]-B1546)/B1546</f>
        <v>1.2159049723500235E-3</v>
      </c>
      <c r="D1547" s="54">
        <f>((1+Table26[[#This Row],[Weekly change]])^52)-1</f>
        <v>6.5227776184509256E-2</v>
      </c>
      <c r="E1547" s="57">
        <f>(Table26[[#This Row],[M2 Money Stock, Billions of Dollars, Weekly, Seasonally Adjusted]]-B1495)/B1495</f>
        <v>1.7852261246805817E-2</v>
      </c>
    </row>
    <row r="1548" spans="1:5" x14ac:dyDescent="0.2">
      <c r="A1548" s="50">
        <v>40315</v>
      </c>
      <c r="B1548" s="51">
        <v>8586.9</v>
      </c>
      <c r="C1548" s="53">
        <f>(Table26[[#This Row],[M2 Money Stock, Billions of Dollars, Weekly, Seasonally Adjusted]]-B1547)/B1547</f>
        <v>2.7091093802911015E-3</v>
      </c>
      <c r="D1548" s="54">
        <f>((1+Table26[[#This Row],[Weekly change]])^52)-1</f>
        <v>0.15105994662975109</v>
      </c>
      <c r="E1548" s="57">
        <f>(Table26[[#This Row],[M2 Money Stock, Billions of Dollars, Weekly, Seasonally Adjusted]]-B1496)/B1496</f>
        <v>2.0464187671574614E-2</v>
      </c>
    </row>
    <row r="1549" spans="1:5" x14ac:dyDescent="0.2">
      <c r="A1549" s="50">
        <v>40322</v>
      </c>
      <c r="B1549" s="51">
        <v>8572.9</v>
      </c>
      <c r="C1549" s="53">
        <f>(Table26[[#This Row],[M2 Money Stock, Billions of Dollars, Weekly, Seasonally Adjusted]]-B1548)/B1548</f>
        <v>-1.6303904785196055E-3</v>
      </c>
      <c r="D1549" s="54">
        <f>((1+Table26[[#This Row],[Weekly change]])^52)-1</f>
        <v>-8.1349462295416064E-2</v>
      </c>
      <c r="E1549" s="57">
        <f>(Table26[[#This Row],[M2 Money Stock, Billions of Dollars, Weekly, Seasonally Adjusted]]-B1497)/B1497</f>
        <v>1.7168553190479448E-2</v>
      </c>
    </row>
    <row r="1550" spans="1:5" x14ac:dyDescent="0.2">
      <c r="A1550" s="50">
        <v>40329</v>
      </c>
      <c r="B1550" s="51">
        <v>8596.6</v>
      </c>
      <c r="C1550" s="53">
        <f>(Table26[[#This Row],[M2 Money Stock, Billions of Dollars, Weekly, Seasonally Adjusted]]-B1549)/B1549</f>
        <v>2.7645254231357802E-3</v>
      </c>
      <c r="D1550" s="54">
        <f>((1+Table26[[#This Row],[Weekly change]])^52)-1</f>
        <v>0.15437258490500128</v>
      </c>
      <c r="E1550" s="57">
        <f>(Table26[[#This Row],[M2 Money Stock, Billions of Dollars, Weekly, Seasonally Adjusted]]-B1498)/B1498</f>
        <v>1.9871635168641967E-2</v>
      </c>
    </row>
    <row r="1551" spans="1:5" x14ac:dyDescent="0.2">
      <c r="A1551" s="50">
        <v>40336</v>
      </c>
      <c r="B1551" s="51">
        <v>8596.2999999999993</v>
      </c>
      <c r="C1551" s="53">
        <f>(Table26[[#This Row],[M2 Money Stock, Billions of Dollars, Weekly, Seasonally Adjusted]]-B1550)/B1550</f>
        <v>-3.4897517623373358E-5</v>
      </c>
      <c r="D1551" s="54">
        <f>((1+Table26[[#This Row],[Weekly change]])^52)-1</f>
        <v>-1.8130570037434568E-3</v>
      </c>
      <c r="E1551" s="57">
        <f>(Table26[[#This Row],[M2 Money Stock, Billions of Dollars, Weekly, Seasonally Adjusted]]-B1499)/B1499</f>
        <v>1.860343867382366E-2</v>
      </c>
    </row>
    <row r="1552" spans="1:5" x14ac:dyDescent="0.2">
      <c r="A1552" s="50">
        <v>40343</v>
      </c>
      <c r="B1552" s="51">
        <v>8584.5</v>
      </c>
      <c r="C1552" s="53">
        <f>(Table26[[#This Row],[M2 Money Stock, Billions of Dollars, Weekly, Seasonally Adjusted]]-B1551)/B1551</f>
        <v>-1.372683596430938E-3</v>
      </c>
      <c r="D1552" s="54">
        <f>((1+Table26[[#This Row],[Weekly change]])^52)-1</f>
        <v>-6.8937230752971534E-2</v>
      </c>
      <c r="E1552" s="57">
        <f>(Table26[[#This Row],[M2 Money Stock, Billions of Dollars, Weekly, Seasonally Adjusted]]-B1500)/B1500</f>
        <v>1.7241379310344827E-2</v>
      </c>
    </row>
    <row r="1553" spans="1:5" x14ac:dyDescent="0.2">
      <c r="A1553" s="50">
        <v>40350</v>
      </c>
      <c r="B1553" s="51">
        <v>8606.2999999999993</v>
      </c>
      <c r="C1553" s="53">
        <f>(Table26[[#This Row],[M2 Money Stock, Billions of Dollars, Weekly, Seasonally Adjusted]]-B1552)/B1552</f>
        <v>2.539460655833103E-3</v>
      </c>
      <c r="D1553" s="54">
        <f>((1+Table26[[#This Row],[Weekly change]])^52)-1</f>
        <v>0.14097660537482248</v>
      </c>
      <c r="E1553" s="57">
        <f>(Table26[[#This Row],[M2 Money Stock, Billions of Dollars, Weekly, Seasonally Adjusted]]-B1501)/B1501</f>
        <v>2.0864964888973197E-2</v>
      </c>
    </row>
    <row r="1554" spans="1:5" x14ac:dyDescent="0.2">
      <c r="A1554" s="50">
        <v>40357</v>
      </c>
      <c r="B1554" s="51">
        <v>8605.7999999999993</v>
      </c>
      <c r="C1554" s="53">
        <f>(Table26[[#This Row],[M2 Money Stock, Billions of Dollars, Weekly, Seasonally Adjusted]]-B1553)/B1553</f>
        <v>-5.8096975471456961E-5</v>
      </c>
      <c r="D1554" s="54">
        <f>((1+Table26[[#This Row],[Weekly change]])^52)-1</f>
        <v>-3.0165714622237827E-3</v>
      </c>
      <c r="E1554" s="57">
        <f>(Table26[[#This Row],[M2 Money Stock, Billions of Dollars, Weekly, Seasonally Adjusted]]-B1502)/B1502</f>
        <v>2.4085489206749605E-2</v>
      </c>
    </row>
    <row r="1555" spans="1:5" x14ac:dyDescent="0.2">
      <c r="A1555" s="50">
        <v>40364</v>
      </c>
      <c r="B1555" s="51">
        <v>8573.5</v>
      </c>
      <c r="C1555" s="53">
        <f>(Table26[[#This Row],[M2 Money Stock, Billions of Dollars, Weekly, Seasonally Adjusted]]-B1554)/B1554</f>
        <v>-3.7532826698272416E-3</v>
      </c>
      <c r="D1555" s="54">
        <f>((1+Table26[[#This Row],[Weekly change]])^52)-1</f>
        <v>-0.17760781194313457</v>
      </c>
      <c r="E1555" s="57">
        <f>(Table26[[#This Row],[M2 Money Stock, Billions of Dollars, Weekly, Seasonally Adjusted]]-B1503)/B1503</f>
        <v>1.8315061822241841E-2</v>
      </c>
    </row>
    <row r="1556" spans="1:5" x14ac:dyDescent="0.2">
      <c r="A1556" s="50">
        <v>40371</v>
      </c>
      <c r="B1556" s="51">
        <v>8595.5</v>
      </c>
      <c r="C1556" s="53">
        <f>(Table26[[#This Row],[M2 Money Stock, Billions of Dollars, Weekly, Seasonally Adjusted]]-B1555)/B1555</f>
        <v>2.5660465387531348E-3</v>
      </c>
      <c r="D1556" s="54">
        <f>((1+Table26[[#This Row],[Weekly change]])^52)-1</f>
        <v>0.14255103555366366</v>
      </c>
      <c r="E1556" s="57">
        <f>(Table26[[#This Row],[M2 Money Stock, Billions of Dollars, Weekly, Seasonally Adjusted]]-B1504)/B1504</f>
        <v>2.0540219649747699E-2</v>
      </c>
    </row>
    <row r="1557" spans="1:5" x14ac:dyDescent="0.2">
      <c r="A1557" s="50">
        <v>40378</v>
      </c>
      <c r="B1557" s="51">
        <v>8602.1</v>
      </c>
      <c r="C1557" s="53">
        <f>(Table26[[#This Row],[M2 Money Stock, Billions of Dollars, Weekly, Seasonally Adjusted]]-B1556)/B1556</f>
        <v>7.6784363911353189E-4</v>
      </c>
      <c r="D1557" s="54">
        <f>((1+Table26[[#This Row],[Weekly change]])^52)-1</f>
        <v>4.0719757080332597E-2</v>
      </c>
      <c r="E1557" s="57">
        <f>(Table26[[#This Row],[M2 Money Stock, Billions of Dollars, Weekly, Seasonally Adjusted]]-B1505)/B1505</f>
        <v>1.9846586126358926E-2</v>
      </c>
    </row>
    <row r="1558" spans="1:5" x14ac:dyDescent="0.2">
      <c r="A1558" s="50">
        <v>40385</v>
      </c>
      <c r="B1558" s="51">
        <v>8623.6</v>
      </c>
      <c r="C1558" s="53">
        <f>(Table26[[#This Row],[M2 Money Stock, Billions of Dollars, Weekly, Seasonally Adjusted]]-B1557)/B1557</f>
        <v>2.4993896839143929E-3</v>
      </c>
      <c r="D1558" s="54">
        <f>((1+Table26[[#This Row],[Weekly change]])^52)-1</f>
        <v>0.13860760073696188</v>
      </c>
      <c r="E1558" s="57">
        <f>(Table26[[#This Row],[M2 Money Stock, Billions of Dollars, Weekly, Seasonally Adjusted]]-B1506)/B1506</f>
        <v>2.0483995029879933E-2</v>
      </c>
    </row>
    <row r="1559" spans="1:5" x14ac:dyDescent="0.2">
      <c r="A1559" s="50">
        <v>40392</v>
      </c>
      <c r="B1559" s="51">
        <v>8635.4</v>
      </c>
      <c r="C1559" s="53">
        <f>(Table26[[#This Row],[M2 Money Stock, Billions of Dollars, Weekly, Seasonally Adjusted]]-B1558)/B1558</f>
        <v>1.368338049074548E-3</v>
      </c>
      <c r="D1559" s="54">
        <f>((1+Table26[[#This Row],[Weekly change]])^52)-1</f>
        <v>7.3693895369391083E-2</v>
      </c>
      <c r="E1559" s="57">
        <f>(Table26[[#This Row],[M2 Money Stock, Billions of Dollars, Weekly, Seasonally Adjusted]]-B1507)/B1507</f>
        <v>2.3794562936440999E-2</v>
      </c>
    </row>
    <row r="1560" spans="1:5" x14ac:dyDescent="0.2">
      <c r="A1560" s="50">
        <v>40399</v>
      </c>
      <c r="B1560" s="51">
        <v>8648.5</v>
      </c>
      <c r="C1560" s="53">
        <f>(Table26[[#This Row],[M2 Money Stock, Billions of Dollars, Weekly, Seasonally Adjusted]]-B1559)/B1559</f>
        <v>1.5170113717952109E-3</v>
      </c>
      <c r="D1560" s="54">
        <f>((1+Table26[[#This Row],[Weekly change]])^52)-1</f>
        <v>8.2014755272102891E-2</v>
      </c>
      <c r="E1560" s="57">
        <f>(Table26[[#This Row],[M2 Money Stock, Billions of Dollars, Weekly, Seasonally Adjusted]]-B1508)/B1508</f>
        <v>2.4351822241173101E-2</v>
      </c>
    </row>
    <row r="1561" spans="1:5" x14ac:dyDescent="0.2">
      <c r="A1561" s="50">
        <v>40406</v>
      </c>
      <c r="B1561" s="51">
        <v>8656.2000000000007</v>
      </c>
      <c r="C1561" s="53">
        <f>(Table26[[#This Row],[M2 Money Stock, Billions of Dollars, Weekly, Seasonally Adjusted]]-B1560)/B1560</f>
        <v>8.9032780250918975E-4</v>
      </c>
      <c r="D1561" s="54">
        <f>((1+Table26[[#This Row],[Weekly change]])^52)-1</f>
        <v>4.7363912788329632E-2</v>
      </c>
      <c r="E1561" s="57">
        <f>(Table26[[#This Row],[M2 Money Stock, Billions of Dollars, Weekly, Seasonally Adjusted]]-B1509)/B1509</f>
        <v>2.5093850289544601E-2</v>
      </c>
    </row>
    <row r="1562" spans="1:5" x14ac:dyDescent="0.2">
      <c r="A1562" s="50">
        <v>40413</v>
      </c>
      <c r="B1562" s="51">
        <v>8656.7999999999993</v>
      </c>
      <c r="C1562" s="53">
        <f>(Table26[[#This Row],[M2 Money Stock, Billions of Dollars, Weekly, Seasonally Adjusted]]-B1561)/B1561</f>
        <v>6.9314479794661027E-5</v>
      </c>
      <c r="D1562" s="54">
        <f>((1+Table26[[#This Row],[Weekly change]])^52)-1</f>
        <v>3.6107310785138402E-3</v>
      </c>
      <c r="E1562" s="57">
        <f>(Table26[[#This Row],[M2 Money Stock, Billions of Dollars, Weekly, Seasonally Adjusted]]-B1510)/B1510</f>
        <v>2.8379999762411012E-2</v>
      </c>
    </row>
    <row r="1563" spans="1:5" x14ac:dyDescent="0.2">
      <c r="A1563" s="50">
        <v>40420</v>
      </c>
      <c r="B1563" s="51">
        <v>8668.2999999999993</v>
      </c>
      <c r="C1563" s="53">
        <f>(Table26[[#This Row],[M2 Money Stock, Billions of Dollars, Weekly, Seasonally Adjusted]]-B1562)/B1562</f>
        <v>1.3284354495887627E-3</v>
      </c>
      <c r="D1563" s="54">
        <f>((1+Table26[[#This Row],[Weekly change]])^52)-1</f>
        <v>7.1471353597539755E-2</v>
      </c>
      <c r="E1563" s="57">
        <f>(Table26[[#This Row],[M2 Money Stock, Billions of Dollars, Weekly, Seasonally Adjusted]]-B1511)/B1511</f>
        <v>2.9183734045710806E-2</v>
      </c>
    </row>
    <row r="1564" spans="1:5" x14ac:dyDescent="0.2">
      <c r="A1564" s="50">
        <v>40427</v>
      </c>
      <c r="B1564" s="51">
        <v>8673.5</v>
      </c>
      <c r="C1564" s="53">
        <f>(Table26[[#This Row],[M2 Money Stock, Billions of Dollars, Weekly, Seasonally Adjusted]]-B1563)/B1563</f>
        <v>5.9988694438364246E-4</v>
      </c>
      <c r="D1564" s="54">
        <f>((1+Table26[[#This Row],[Weekly change]])^52)-1</f>
        <v>3.1676107395284037E-2</v>
      </c>
      <c r="E1564" s="57">
        <f>(Table26[[#This Row],[M2 Money Stock, Billions of Dollars, Weekly, Seasonally Adjusted]]-B1512)/B1512</f>
        <v>2.9642204230869766E-2</v>
      </c>
    </row>
    <row r="1565" spans="1:5" x14ac:dyDescent="0.2">
      <c r="A1565" s="50">
        <v>40434</v>
      </c>
      <c r="B1565" s="51">
        <v>8683.7000000000007</v>
      </c>
      <c r="C1565" s="53">
        <f>(Table26[[#This Row],[M2 Money Stock, Billions of Dollars, Weekly, Seasonally Adjusted]]-B1564)/B1564</f>
        <v>1.1759958494264977E-3</v>
      </c>
      <c r="D1565" s="54">
        <f>((1+Table26[[#This Row],[Weekly change]])^52)-1</f>
        <v>6.3022063701377418E-2</v>
      </c>
      <c r="E1565" s="57">
        <f>(Table26[[#This Row],[M2 Money Stock, Billions of Dollars, Weekly, Seasonally Adjusted]]-B1513)/B1513</f>
        <v>2.9362256993836027E-2</v>
      </c>
    </row>
    <row r="1566" spans="1:5" x14ac:dyDescent="0.2">
      <c r="A1566" s="50">
        <v>40441</v>
      </c>
      <c r="B1566" s="51">
        <v>8683.2000000000007</v>
      </c>
      <c r="C1566" s="53">
        <f>(Table26[[#This Row],[M2 Money Stock, Billions of Dollars, Weekly, Seasonally Adjusted]]-B1565)/B1565</f>
        <v>-5.7579142531409417E-5</v>
      </c>
      <c r="D1566" s="54">
        <f>((1+Table26[[#This Row],[Weekly change]])^52)-1</f>
        <v>-2.9897234632016989E-3</v>
      </c>
      <c r="E1566" s="57">
        <f>(Table26[[#This Row],[M2 Money Stock, Billions of Dollars, Weekly, Seasonally Adjusted]]-B1514)/B1514</f>
        <v>2.9547071377756785E-2</v>
      </c>
    </row>
    <row r="1567" spans="1:5" x14ac:dyDescent="0.2">
      <c r="A1567" s="50">
        <v>40448</v>
      </c>
      <c r="B1567" s="51">
        <v>8697.1</v>
      </c>
      <c r="C1567" s="53">
        <f>(Table26[[#This Row],[M2 Money Stock, Billions of Dollars, Weekly, Seasonally Adjusted]]-B1566)/B1566</f>
        <v>1.6007923346231384E-3</v>
      </c>
      <c r="D1567" s="54">
        <f>((1+Table26[[#This Row],[Weekly change]])^52)-1</f>
        <v>8.6731585821353319E-2</v>
      </c>
      <c r="E1567" s="57">
        <f>(Table26[[#This Row],[M2 Money Stock, Billions of Dollars, Weekly, Seasonally Adjusted]]-B1515)/B1515</f>
        <v>3.1549857076775274E-2</v>
      </c>
    </row>
    <row r="1568" spans="1:5" x14ac:dyDescent="0.2">
      <c r="A1568" s="50">
        <v>40455</v>
      </c>
      <c r="B1568" s="51">
        <v>8713.7000000000007</v>
      </c>
      <c r="C1568" s="53">
        <f>(Table26[[#This Row],[M2 Money Stock, Billions of Dollars, Weekly, Seasonally Adjusted]]-B1567)/B1567</f>
        <v>1.908682204413007E-3</v>
      </c>
      <c r="D1568" s="54">
        <f>((1+Table26[[#This Row],[Weekly change]])^52)-1</f>
        <v>0.10423951379102081</v>
      </c>
      <c r="E1568" s="57">
        <f>(Table26[[#This Row],[M2 Money Stock, Billions of Dollars, Weekly, Seasonally Adjusted]]-B1516)/B1516</f>
        <v>3.3028654076418813E-2</v>
      </c>
    </row>
    <row r="1569" spans="1:5" x14ac:dyDescent="0.2">
      <c r="A1569" s="50">
        <v>40462</v>
      </c>
      <c r="B1569" s="51">
        <v>8733.6</v>
      </c>
      <c r="C1569" s="53">
        <f>(Table26[[#This Row],[M2 Money Stock, Billions of Dollars, Weekly, Seasonally Adjusted]]-B1568)/B1568</f>
        <v>2.2837600560037222E-3</v>
      </c>
      <c r="D1569" s="54">
        <f>((1+Table26[[#This Row],[Weekly change]])^52)-1</f>
        <v>0.12594211916577236</v>
      </c>
      <c r="E1569" s="57">
        <f>(Table26[[#This Row],[M2 Money Stock, Billions of Dollars, Weekly, Seasonally Adjusted]]-B1517)/B1517</f>
        <v>3.3708929078685862E-2</v>
      </c>
    </row>
    <row r="1570" spans="1:5" x14ac:dyDescent="0.2">
      <c r="A1570" s="50">
        <v>40469</v>
      </c>
      <c r="B1570" s="51">
        <v>8740</v>
      </c>
      <c r="C1570" s="53">
        <f>(Table26[[#This Row],[M2 Money Stock, Billions of Dollars, Weekly, Seasonally Adjusted]]-B1569)/B1569</f>
        <v>7.3280205184570347E-4</v>
      </c>
      <c r="D1570" s="54">
        <f>((1+Table26[[#This Row],[Weekly change]])^52)-1</f>
        <v>3.8826542444328593E-2</v>
      </c>
      <c r="E1570" s="57">
        <f>(Table26[[#This Row],[M2 Money Stock, Billions of Dollars, Weekly, Seasonally Adjusted]]-B1518)/B1518</f>
        <v>3.2596495788093198E-2</v>
      </c>
    </row>
    <row r="1571" spans="1:5" x14ac:dyDescent="0.2">
      <c r="A1571" s="50">
        <v>40476</v>
      </c>
      <c r="B1571" s="51">
        <v>8741.2999999999993</v>
      </c>
      <c r="C1571" s="53">
        <f>(Table26[[#This Row],[M2 Money Stock, Billions of Dollars, Weekly, Seasonally Adjusted]]-B1570)/B1570</f>
        <v>1.4874141876421881E-4</v>
      </c>
      <c r="D1571" s="54">
        <f>((1+Table26[[#This Row],[Weekly change]])^52)-1</f>
        <v>7.7639630709669394E-3</v>
      </c>
      <c r="E1571" s="57">
        <f>(Table26[[#This Row],[M2 Money Stock, Billions of Dollars, Weekly, Seasonally Adjusted]]-B1519)/B1519</f>
        <v>3.1945411831371492E-2</v>
      </c>
    </row>
    <row r="1572" spans="1:5" x14ac:dyDescent="0.2">
      <c r="A1572" s="50">
        <v>40483</v>
      </c>
      <c r="B1572" s="51">
        <v>8746.4</v>
      </c>
      <c r="C1572" s="53">
        <f>(Table26[[#This Row],[M2 Money Stock, Billions of Dollars, Weekly, Seasonally Adjusted]]-B1571)/B1571</f>
        <v>5.8343724617623968E-4</v>
      </c>
      <c r="D1572" s="54">
        <f>((1+Table26[[#This Row],[Weekly change]])^52)-1</f>
        <v>3.0794526540215195E-2</v>
      </c>
      <c r="E1572" s="57">
        <f>(Table26[[#This Row],[M2 Money Stock, Billions of Dollars, Weekly, Seasonally Adjusted]]-B1520)/B1520</f>
        <v>3.2718170332849281E-2</v>
      </c>
    </row>
    <row r="1573" spans="1:5" x14ac:dyDescent="0.2">
      <c r="A1573" s="50">
        <v>40490</v>
      </c>
      <c r="B1573" s="51">
        <v>8744.4</v>
      </c>
      <c r="C1573" s="53">
        <f>(Table26[[#This Row],[M2 Money Stock, Billions of Dollars, Weekly, Seasonally Adjusted]]-B1572)/B1572</f>
        <v>-2.28665508094759E-4</v>
      </c>
      <c r="D1573" s="54">
        <f>((1+Table26[[#This Row],[Weekly change]])^52)-1</f>
        <v>-1.1821536145011469E-2</v>
      </c>
      <c r="E1573" s="57">
        <f>(Table26[[#This Row],[M2 Money Stock, Billions of Dollars, Weekly, Seasonally Adjusted]]-B1521)/B1521</f>
        <v>3.0608035640623581E-2</v>
      </c>
    </row>
    <row r="1574" spans="1:5" x14ac:dyDescent="0.2">
      <c r="A1574" s="50">
        <v>40497</v>
      </c>
      <c r="B1574" s="51">
        <v>8749.7000000000007</v>
      </c>
      <c r="C1574" s="53">
        <f>(Table26[[#This Row],[M2 Money Stock, Billions of Dollars, Weekly, Seasonally Adjusted]]-B1573)/B1573</f>
        <v>6.0610219111672517E-4</v>
      </c>
      <c r="D1574" s="54">
        <f>((1+Table26[[#This Row],[Weekly change]])^52)-1</f>
        <v>3.2009390602708576E-2</v>
      </c>
      <c r="E1574" s="57">
        <f>(Table26[[#This Row],[M2 Money Stock, Billions of Dollars, Weekly, Seasonally Adjusted]]-B1522)/B1522</f>
        <v>3.0491826447449178E-2</v>
      </c>
    </row>
    <row r="1575" spans="1:5" x14ac:dyDescent="0.2">
      <c r="A1575" s="50">
        <v>40504</v>
      </c>
      <c r="B1575" s="51">
        <v>8761.1</v>
      </c>
      <c r="C1575" s="53">
        <f>(Table26[[#This Row],[M2 Money Stock, Billions of Dollars, Weekly, Seasonally Adjusted]]-B1574)/B1574</f>
        <v>1.3029018137764305E-3</v>
      </c>
      <c r="D1575" s="54">
        <f>((1+Table26[[#This Row],[Weekly change]])^52)-1</f>
        <v>7.0051519344001667E-2</v>
      </c>
      <c r="E1575" s="57">
        <f>(Table26[[#This Row],[M2 Money Stock, Billions of Dollars, Weekly, Seasonally Adjusted]]-B1523)/B1523</f>
        <v>3.1712946607315426E-2</v>
      </c>
    </row>
    <row r="1576" spans="1:5" x14ac:dyDescent="0.2">
      <c r="A1576" s="50">
        <v>40511</v>
      </c>
      <c r="B1576" s="51">
        <v>8774</v>
      </c>
      <c r="C1576" s="53">
        <f>(Table26[[#This Row],[M2 Money Stock, Billions of Dollars, Weekly, Seasonally Adjusted]]-B1575)/B1575</f>
        <v>1.4724178470739561E-3</v>
      </c>
      <c r="D1576" s="54">
        <f>((1+Table26[[#This Row],[Weekly change]])^52)-1</f>
        <v>7.951235384032751E-2</v>
      </c>
      <c r="E1576" s="57">
        <f>(Table26[[#This Row],[M2 Money Stock, Billions of Dollars, Weekly, Seasonally Adjusted]]-B1524)/B1524</f>
        <v>3.3232059162957295E-2</v>
      </c>
    </row>
    <row r="1577" spans="1:5" x14ac:dyDescent="0.2">
      <c r="A1577" s="50">
        <v>40518</v>
      </c>
      <c r="B1577" s="51">
        <v>8771</v>
      </c>
      <c r="C1577" s="53">
        <f>(Table26[[#This Row],[M2 Money Stock, Billions of Dollars, Weekly, Seasonally Adjusted]]-B1576)/B1576</f>
        <v>-3.4191930704353772E-4</v>
      </c>
      <c r="D1577" s="54">
        <f>((1+Table26[[#This Row],[Weekly change]])^52)-1</f>
        <v>-1.762566260448406E-2</v>
      </c>
      <c r="E1577" s="57">
        <f>(Table26[[#This Row],[M2 Money Stock, Billions of Dollars, Weekly, Seasonally Adjusted]]-B1525)/B1525</f>
        <v>3.1215096114278997E-2</v>
      </c>
    </row>
    <row r="1578" spans="1:5" x14ac:dyDescent="0.2">
      <c r="A1578" s="50">
        <v>40525</v>
      </c>
      <c r="B1578" s="51">
        <v>8783.7000000000007</v>
      </c>
      <c r="C1578" s="53">
        <f>(Table26[[#This Row],[M2 Money Stock, Billions of Dollars, Weekly, Seasonally Adjusted]]-B1577)/B1577</f>
        <v>1.4479534830692882E-3</v>
      </c>
      <c r="D1578" s="54">
        <f>((1+Table26[[#This Row],[Weekly change]])^52)-1</f>
        <v>7.8141928466575639E-2</v>
      </c>
      <c r="E1578" s="57">
        <f>(Table26[[#This Row],[M2 Money Stock, Billions of Dollars, Weekly, Seasonally Adjusted]]-B1526)/B1526</f>
        <v>3.391167192429026E-2</v>
      </c>
    </row>
    <row r="1579" spans="1:5" x14ac:dyDescent="0.2">
      <c r="A1579" s="50">
        <v>40532</v>
      </c>
      <c r="B1579" s="51">
        <v>8790.4</v>
      </c>
      <c r="C1579" s="53">
        <f>(Table26[[#This Row],[M2 Money Stock, Billions of Dollars, Weekly, Seasonally Adjusted]]-B1578)/B1578</f>
        <v>7.6277650648347598E-4</v>
      </c>
      <c r="D1579" s="54">
        <f>((1+Table26[[#This Row],[Weekly change]])^52)-1</f>
        <v>4.0445782670094799E-2</v>
      </c>
      <c r="E1579" s="57">
        <f>(Table26[[#This Row],[M2 Money Stock, Billions of Dollars, Weekly, Seasonally Adjusted]]-B1527)/B1527</f>
        <v>3.6310478166556637E-2</v>
      </c>
    </row>
    <row r="1580" spans="1:5" x14ac:dyDescent="0.2">
      <c r="A1580" s="50">
        <v>40539</v>
      </c>
      <c r="B1580" s="51">
        <v>8810.7000000000007</v>
      </c>
      <c r="C1580" s="53">
        <f>(Table26[[#This Row],[M2 Money Stock, Billions of Dollars, Weekly, Seasonally Adjusted]]-B1579)/B1579</f>
        <v>2.3093374590463563E-3</v>
      </c>
      <c r="D1580" s="54">
        <f>((1+Table26[[#This Row],[Weekly change]])^52)-1</f>
        <v>0.12743721076977099</v>
      </c>
      <c r="E1580" s="57">
        <f>(Table26[[#This Row],[M2 Money Stock, Billions of Dollars, Weekly, Seasonally Adjusted]]-B1528)/B1528</f>
        <v>4.0310297191031311E-2</v>
      </c>
    </row>
    <row r="1581" spans="1:5" x14ac:dyDescent="0.2">
      <c r="A1581" s="50">
        <v>40546</v>
      </c>
      <c r="B1581" s="51">
        <v>8787.2999999999993</v>
      </c>
      <c r="C1581" s="53">
        <f>(Table26[[#This Row],[M2 Money Stock, Billions of Dollars, Weekly, Seasonally Adjusted]]-B1580)/B1580</f>
        <v>-2.6558616227997157E-3</v>
      </c>
      <c r="D1581" s="54">
        <f>((1+Table26[[#This Row],[Weekly change]])^52)-1</f>
        <v>-0.12915260433087306</v>
      </c>
      <c r="E1581" s="57">
        <f>(Table26[[#This Row],[M2 Money Stock, Billions of Dollars, Weekly, Seasonally Adjusted]]-B1529)/B1529</f>
        <v>4.1309680401009456E-2</v>
      </c>
    </row>
    <row r="1582" spans="1:5" x14ac:dyDescent="0.2">
      <c r="A1582" s="50">
        <v>40553</v>
      </c>
      <c r="B1582" s="51">
        <v>8809</v>
      </c>
      <c r="C1582" s="53">
        <f>(Table26[[#This Row],[M2 Money Stock, Billions of Dollars, Weekly, Seasonally Adjusted]]-B1581)/B1581</f>
        <v>2.4694729894280073E-3</v>
      </c>
      <c r="D1582" s="54">
        <f>((1+Table26[[#This Row],[Weekly change]])^52)-1</f>
        <v>0.13684206519946596</v>
      </c>
      <c r="E1582" s="57">
        <f>(Table26[[#This Row],[M2 Money Stock, Billions of Dollars, Weekly, Seasonally Adjusted]]-B1530)/B1530</f>
        <v>4.4710626185958252E-2</v>
      </c>
    </row>
    <row r="1583" spans="1:5" x14ac:dyDescent="0.2">
      <c r="A1583" s="50">
        <v>40560</v>
      </c>
      <c r="B1583" s="51">
        <v>8853.2000000000007</v>
      </c>
      <c r="C1583" s="53">
        <f>(Table26[[#This Row],[M2 Money Stock, Billions of Dollars, Weekly, Seasonally Adjusted]]-B1582)/B1582</f>
        <v>5.017595640821969E-3</v>
      </c>
      <c r="D1583" s="54">
        <f>((1+Table26[[#This Row],[Weekly change]])^52)-1</f>
        <v>0.29727066867188889</v>
      </c>
      <c r="E1583" s="57">
        <f>(Table26[[#This Row],[M2 Money Stock, Billions of Dollars, Weekly, Seasonally Adjusted]]-B1531)/B1531</f>
        <v>4.9504481009056897E-2</v>
      </c>
    </row>
    <row r="1584" spans="1:5" x14ac:dyDescent="0.2">
      <c r="A1584" s="50">
        <v>40567</v>
      </c>
      <c r="B1584" s="51">
        <v>8820.7000000000007</v>
      </c>
      <c r="C1584" s="53">
        <f>(Table26[[#This Row],[M2 Money Stock, Billions of Dollars, Weekly, Seasonally Adjusted]]-B1583)/B1583</f>
        <v>-3.6709890209189896E-3</v>
      </c>
      <c r="D1584" s="54">
        <f>((1+Table26[[#This Row],[Weekly change]])^52)-1</f>
        <v>-0.17406786439443789</v>
      </c>
      <c r="E1584" s="57">
        <f>(Table26[[#This Row],[M2 Money Stock, Billions of Dollars, Weekly, Seasonally Adjusted]]-B1532)/B1532</f>
        <v>4.3375916725810357E-2</v>
      </c>
    </row>
    <row r="1585" spans="1:5" x14ac:dyDescent="0.2">
      <c r="A1585" s="50">
        <v>40574</v>
      </c>
      <c r="B1585" s="51">
        <v>8837.2000000000007</v>
      </c>
      <c r="C1585" s="53">
        <f>(Table26[[#This Row],[M2 Money Stock, Billions of Dollars, Weekly, Seasonally Adjusted]]-B1584)/B1584</f>
        <v>1.870599839015044E-3</v>
      </c>
      <c r="D1585" s="54">
        <f>((1+Table26[[#This Row],[Weekly change]])^52)-1</f>
        <v>0.1020590869192981</v>
      </c>
      <c r="E1585" s="57">
        <f>(Table26[[#This Row],[M2 Money Stock, Billions of Dollars, Weekly, Seasonally Adjusted]]-B1533)/B1533</f>
        <v>4.3550139341552253E-2</v>
      </c>
    </row>
    <row r="1586" spans="1:5" x14ac:dyDescent="0.2">
      <c r="A1586" s="50">
        <v>40581</v>
      </c>
      <c r="B1586" s="51">
        <v>8856.5</v>
      </c>
      <c r="C1586" s="53">
        <f>(Table26[[#This Row],[M2 Money Stock, Billions of Dollars, Weekly, Seasonally Adjusted]]-B1585)/B1585</f>
        <v>2.1839496673153568E-3</v>
      </c>
      <c r="D1586" s="54">
        <f>((1+Table26[[#This Row],[Weekly change]])^52)-1</f>
        <v>0.12012641830117987</v>
      </c>
      <c r="E1586" s="57">
        <f>(Table26[[#This Row],[M2 Money Stock, Billions of Dollars, Weekly, Seasonally Adjusted]]-B1534)/B1534</f>
        <v>4.5138069388718435E-2</v>
      </c>
    </row>
    <row r="1587" spans="1:5" x14ac:dyDescent="0.2">
      <c r="A1587" s="50">
        <v>40588</v>
      </c>
      <c r="B1587" s="51">
        <v>8864.5</v>
      </c>
      <c r="C1587" s="53">
        <f>(Table26[[#This Row],[M2 Money Stock, Billions of Dollars, Weekly, Seasonally Adjusted]]-B1586)/B1586</f>
        <v>9.0329136792186525E-4</v>
      </c>
      <c r="D1587" s="54">
        <f>((1+Table26[[#This Row],[Weekly change]])^52)-1</f>
        <v>4.8069551446451753E-2</v>
      </c>
      <c r="E1587" s="57">
        <f>(Table26[[#This Row],[M2 Money Stock, Billions of Dollars, Weekly, Seasonally Adjusted]]-B1535)/B1535</f>
        <v>4.1840512428747721E-2</v>
      </c>
    </row>
    <row r="1588" spans="1:5" x14ac:dyDescent="0.2">
      <c r="A1588" s="50">
        <v>40595</v>
      </c>
      <c r="B1588" s="51">
        <v>8878.6</v>
      </c>
      <c r="C1588" s="53">
        <f>(Table26[[#This Row],[M2 Money Stock, Billions of Dollars, Weekly, Seasonally Adjusted]]-B1587)/B1587</f>
        <v>1.5906142478425589E-3</v>
      </c>
      <c r="D1588" s="54">
        <f>((1+Table26[[#This Row],[Weekly change]])^52)-1</f>
        <v>8.6157489728792225E-2</v>
      </c>
      <c r="E1588" s="57">
        <f>(Table26[[#This Row],[M2 Money Stock, Billions of Dollars, Weekly, Seasonally Adjusted]]-B1536)/B1536</f>
        <v>4.3595801450450722E-2</v>
      </c>
    </row>
    <row r="1589" spans="1:5" x14ac:dyDescent="0.2">
      <c r="A1589" s="50">
        <v>40602</v>
      </c>
      <c r="B1589" s="51">
        <v>8885.9</v>
      </c>
      <c r="C1589" s="53">
        <f>(Table26[[#This Row],[M2 Money Stock, Billions of Dollars, Weekly, Seasonally Adjusted]]-B1588)/B1588</f>
        <v>8.2220169846589238E-4</v>
      </c>
      <c r="D1589" s="54">
        <f>((1+Table26[[#This Row],[Weekly change]])^52)-1</f>
        <v>4.3663293401501768E-2</v>
      </c>
      <c r="E1589" s="57">
        <f>(Table26[[#This Row],[M2 Money Stock, Billions of Dollars, Weekly, Seasonally Adjusted]]-B1537)/B1537</f>
        <v>4.6002989958917405E-2</v>
      </c>
    </row>
    <row r="1590" spans="1:5" x14ac:dyDescent="0.2">
      <c r="A1590" s="50">
        <v>40609</v>
      </c>
      <c r="B1590" s="51">
        <v>8898.6</v>
      </c>
      <c r="C1590" s="53">
        <f>(Table26[[#This Row],[M2 Money Stock, Billions of Dollars, Weekly, Seasonally Adjusted]]-B1589)/B1589</f>
        <v>1.4292305787821974E-3</v>
      </c>
      <c r="D1590" s="54">
        <f>((1+Table26[[#This Row],[Weekly change]])^52)-1</f>
        <v>7.7094276382450921E-2</v>
      </c>
      <c r="E1590" s="57">
        <f>(Table26[[#This Row],[M2 Money Stock, Billions of Dollars, Weekly, Seasonally Adjusted]]-B1538)/B1538</f>
        <v>4.8608901615583129E-2</v>
      </c>
    </row>
    <row r="1591" spans="1:5" x14ac:dyDescent="0.2">
      <c r="A1591" s="50">
        <v>40616</v>
      </c>
      <c r="B1591" s="51">
        <v>8901.4</v>
      </c>
      <c r="C1591" s="53">
        <f>(Table26[[#This Row],[M2 Money Stock, Billions of Dollars, Weekly, Seasonally Adjusted]]-B1590)/B1590</f>
        <v>3.1465623805983776E-4</v>
      </c>
      <c r="D1591" s="54">
        <f>((1+Table26[[#This Row],[Weekly change]])^52)-1</f>
        <v>1.6494100871656592E-2</v>
      </c>
      <c r="E1591" s="57">
        <f>(Table26[[#This Row],[M2 Money Stock, Billions of Dollars, Weekly, Seasonally Adjusted]]-B1539)/B1539</f>
        <v>4.8333529619597179E-2</v>
      </c>
    </row>
    <row r="1592" spans="1:5" x14ac:dyDescent="0.2">
      <c r="A1592" s="50">
        <v>40623</v>
      </c>
      <c r="B1592" s="51">
        <v>8920.6</v>
      </c>
      <c r="C1592" s="53">
        <f>(Table26[[#This Row],[M2 Money Stock, Billions of Dollars, Weekly, Seasonally Adjusted]]-B1591)/B1591</f>
        <v>2.1569640730672397E-3</v>
      </c>
      <c r="D1592" s="54">
        <f>((1+Table26[[#This Row],[Weekly change]])^52)-1</f>
        <v>0.11855910161465677</v>
      </c>
      <c r="E1592" s="57">
        <f>(Table26[[#This Row],[M2 Money Stock, Billions of Dollars, Weekly, Seasonally Adjusted]]-B1540)/B1540</f>
        <v>5.0706116535729845E-2</v>
      </c>
    </row>
    <row r="1593" spans="1:5" x14ac:dyDescent="0.2">
      <c r="A1593" s="50">
        <v>40630</v>
      </c>
      <c r="B1593" s="51">
        <v>8931.5</v>
      </c>
      <c r="C1593" s="53">
        <f>(Table26[[#This Row],[M2 Money Stock, Billions of Dollars, Weekly, Seasonally Adjusted]]-B1592)/B1592</f>
        <v>1.2218909041992283E-3</v>
      </c>
      <c r="D1593" s="54">
        <f>((1+Table26[[#This Row],[Weekly change]])^52)-1</f>
        <v>6.5558995813380427E-2</v>
      </c>
      <c r="E1593" s="57">
        <f>(Table26[[#This Row],[M2 Money Stock, Billions of Dollars, Weekly, Seasonally Adjusted]]-B1541)/B1541</f>
        <v>5.1061476181510031E-2</v>
      </c>
    </row>
    <row r="1594" spans="1:5" x14ac:dyDescent="0.2">
      <c r="A1594" s="50">
        <v>40637</v>
      </c>
      <c r="B1594" s="51">
        <v>8940.6</v>
      </c>
      <c r="C1594" s="53">
        <f>(Table26[[#This Row],[M2 Money Stock, Billions of Dollars, Weekly, Seasonally Adjusted]]-B1593)/B1593</f>
        <v>1.0188658120137003E-3</v>
      </c>
      <c r="D1594" s="54">
        <f>((1+Table26[[#This Row],[Weekly change]])^52)-1</f>
        <v>5.4381195472431365E-2</v>
      </c>
      <c r="E1594" s="57">
        <f>(Table26[[#This Row],[M2 Money Stock, Billions of Dollars, Weekly, Seasonally Adjusted]]-B1542)/B1542</f>
        <v>5.0858613758977038E-2</v>
      </c>
    </row>
    <row r="1595" spans="1:5" x14ac:dyDescent="0.2">
      <c r="A1595" s="50">
        <v>40644</v>
      </c>
      <c r="B1595" s="51">
        <v>8950.7000000000007</v>
      </c>
      <c r="C1595" s="53">
        <f>(Table26[[#This Row],[M2 Money Stock, Billions of Dollars, Weekly, Seasonally Adjusted]]-B1594)/B1594</f>
        <v>1.1296780976668638E-3</v>
      </c>
      <c r="D1595" s="54">
        <f>((1+Table26[[#This Row],[Weekly change]])^52)-1</f>
        <v>6.0467772463175917E-2</v>
      </c>
      <c r="E1595" s="57">
        <f>(Table26[[#This Row],[M2 Money Stock, Billions of Dollars, Weekly, Seasonally Adjusted]]-B1543)/B1543</f>
        <v>5.1156181371915813E-2</v>
      </c>
    </row>
    <row r="1596" spans="1:5" x14ac:dyDescent="0.2">
      <c r="A1596" s="50">
        <v>40651</v>
      </c>
      <c r="B1596" s="51">
        <v>8970.4</v>
      </c>
      <c r="C1596" s="53">
        <f>(Table26[[#This Row],[M2 Money Stock, Billions of Dollars, Weekly, Seasonally Adjusted]]-B1595)/B1595</f>
        <v>2.2009451774720307E-3</v>
      </c>
      <c r="D1596" s="54">
        <f>((1+Table26[[#This Row],[Weekly change]])^52)-1</f>
        <v>0.12111461856485906</v>
      </c>
      <c r="E1596" s="57">
        <f>(Table26[[#This Row],[M2 Money Stock, Billions of Dollars, Weekly, Seasonally Adjusted]]-B1544)/B1544</f>
        <v>5.4187771026994042E-2</v>
      </c>
    </row>
    <row r="1597" spans="1:5" x14ac:dyDescent="0.2">
      <c r="A1597" s="50">
        <v>40658</v>
      </c>
      <c r="B1597" s="51">
        <v>9005.2000000000007</v>
      </c>
      <c r="C1597" s="53">
        <f>(Table26[[#This Row],[M2 Money Stock, Billions of Dollars, Weekly, Seasonally Adjusted]]-B1596)/B1596</f>
        <v>3.8794256666370612E-3</v>
      </c>
      <c r="D1597" s="54">
        <f>((1+Table26[[#This Row],[Weekly change]])^52)-1</f>
        <v>0.22304034560421271</v>
      </c>
      <c r="E1597" s="57">
        <f>(Table26[[#This Row],[M2 Money Stock, Billions of Dollars, Weekly, Seasonally Adjusted]]-B1545)/B1545</f>
        <v>5.4843621881222999E-2</v>
      </c>
    </row>
    <row r="1598" spans="1:5" x14ac:dyDescent="0.2">
      <c r="A1598" s="50">
        <v>40665</v>
      </c>
      <c r="B1598" s="51">
        <v>9018.4</v>
      </c>
      <c r="C1598" s="53">
        <f>(Table26[[#This Row],[M2 Money Stock, Billions of Dollars, Weekly, Seasonally Adjusted]]-B1597)/B1597</f>
        <v>1.4658197485895824E-3</v>
      </c>
      <c r="D1598" s="54">
        <f>((1+Table26[[#This Row],[Weekly change]])^52)-1</f>
        <v>7.9142578623875748E-2</v>
      </c>
      <c r="E1598" s="57">
        <f>(Table26[[#This Row],[M2 Money Stock, Billions of Dollars, Weekly, Seasonally Adjusted]]-B1546)/B1546</f>
        <v>5.4376673330761273E-2</v>
      </c>
    </row>
    <row r="1599" spans="1:5" x14ac:dyDescent="0.2">
      <c r="A1599" s="50">
        <v>40672</v>
      </c>
      <c r="B1599" s="51">
        <v>9017</v>
      </c>
      <c r="C1599" s="53">
        <f>(Table26[[#This Row],[M2 Money Stock, Billions of Dollars, Weekly, Seasonally Adjusted]]-B1598)/B1598</f>
        <v>-1.5523817972141801E-4</v>
      </c>
      <c r="D1599" s="54">
        <f>((1+Table26[[#This Row],[Weekly change]])^52)-1</f>
        <v>-8.0405127347500382E-3</v>
      </c>
      <c r="E1599" s="57">
        <f>(Table26[[#This Row],[M2 Money Stock, Billions of Dollars, Weekly, Seasonally Adjusted]]-B1547)/B1547</f>
        <v>5.2932727676121213E-2</v>
      </c>
    </row>
    <row r="1600" spans="1:5" x14ac:dyDescent="0.2">
      <c r="A1600" s="50">
        <v>40679</v>
      </c>
      <c r="B1600" s="51">
        <v>9026.9</v>
      </c>
      <c r="C1600" s="53">
        <f>(Table26[[#This Row],[M2 Money Stock, Billions of Dollars, Weekly, Seasonally Adjusted]]-B1599)/B1599</f>
        <v>1.0979261395142105E-3</v>
      </c>
      <c r="D1600" s="54">
        <f>((1+Table26[[#This Row],[Weekly change]])^52)-1</f>
        <v>5.8720221704126274E-2</v>
      </c>
      <c r="E1600" s="57">
        <f>(Table26[[#This Row],[M2 Money Stock, Billions of Dollars, Weekly, Seasonally Adjusted]]-B1548)/B1548</f>
        <v>5.124084361061617E-2</v>
      </c>
    </row>
    <row r="1601" spans="1:5" x14ac:dyDescent="0.2">
      <c r="A1601" s="50">
        <v>40686</v>
      </c>
      <c r="B1601" s="51">
        <v>9029.2999999999993</v>
      </c>
      <c r="C1601" s="53">
        <f>(Table26[[#This Row],[M2 Money Stock, Billions of Dollars, Weekly, Seasonally Adjusted]]-B1600)/B1600</f>
        <v>2.6587200478565582E-4</v>
      </c>
      <c r="D1601" s="54">
        <f>((1+Table26[[#This Row],[Weekly change]])^52)-1</f>
        <v>1.3919493136938632E-2</v>
      </c>
      <c r="E1601" s="57">
        <f>(Table26[[#This Row],[M2 Money Stock, Billions of Dollars, Weekly, Seasonally Adjusted]]-B1549)/B1549</f>
        <v>5.3237527557769213E-2</v>
      </c>
    </row>
    <row r="1602" spans="1:5" x14ac:dyDescent="0.2">
      <c r="A1602" s="50">
        <v>40693</v>
      </c>
      <c r="B1602" s="51">
        <v>9044.4</v>
      </c>
      <c r="C1602" s="53">
        <f>(Table26[[#This Row],[M2 Money Stock, Billions of Dollars, Weekly, Seasonally Adjusted]]-B1601)/B1601</f>
        <v>1.6723334034753929E-3</v>
      </c>
      <c r="D1602" s="54">
        <f>((1+Table26[[#This Row],[Weekly change]])^52)-1</f>
        <v>9.077527379000383E-2</v>
      </c>
      <c r="E1602" s="57">
        <f>(Table26[[#This Row],[M2 Money Stock, Billions of Dollars, Weekly, Seasonally Adjusted]]-B1550)/B1550</f>
        <v>5.2090361305632375E-2</v>
      </c>
    </row>
    <row r="1603" spans="1:5" x14ac:dyDescent="0.2">
      <c r="A1603" s="50">
        <v>40700</v>
      </c>
      <c r="B1603" s="51">
        <v>9046</v>
      </c>
      <c r="C1603" s="53">
        <f>(Table26[[#This Row],[M2 Money Stock, Billions of Dollars, Weekly, Seasonally Adjusted]]-B1602)/B1602</f>
        <v>1.7690504621648356E-4</v>
      </c>
      <c r="D1603" s="54">
        <f>((1+Table26[[#This Row],[Weekly change]])^52)-1</f>
        <v>9.2406827156596982E-3</v>
      </c>
      <c r="E1603" s="57">
        <f>(Table26[[#This Row],[M2 Money Stock, Billions of Dollars, Weekly, Seasonally Adjusted]]-B1551)/B1551</f>
        <v>5.2313204518223043E-2</v>
      </c>
    </row>
    <row r="1604" spans="1:5" x14ac:dyDescent="0.2">
      <c r="A1604" s="50">
        <v>40707</v>
      </c>
      <c r="B1604" s="51">
        <v>9061</v>
      </c>
      <c r="C1604" s="53">
        <f>(Table26[[#This Row],[M2 Money Stock, Billions of Dollars, Weekly, Seasonally Adjusted]]-B1603)/B1603</f>
        <v>1.6581914658412558E-3</v>
      </c>
      <c r="D1604" s="54">
        <f>((1+Table26[[#This Row],[Weekly change]])^52)-1</f>
        <v>8.997476607389765E-2</v>
      </c>
      <c r="E1604" s="57">
        <f>(Table26[[#This Row],[M2 Money Stock, Billions of Dollars, Weekly, Seasonally Adjusted]]-B1552)/B1552</f>
        <v>5.5507018463509812E-2</v>
      </c>
    </row>
    <row r="1605" spans="1:5" x14ac:dyDescent="0.2">
      <c r="A1605" s="50">
        <v>40714</v>
      </c>
      <c r="B1605" s="51">
        <v>9103.9</v>
      </c>
      <c r="C1605" s="53">
        <f>(Table26[[#This Row],[M2 Money Stock, Billions of Dollars, Weekly, Seasonally Adjusted]]-B1604)/B1604</f>
        <v>4.7345767575322408E-3</v>
      </c>
      <c r="D1605" s="54">
        <f>((1+Table26[[#This Row],[Weekly change]])^52)-1</f>
        <v>0.27840985243591909</v>
      </c>
      <c r="E1605" s="57">
        <f>(Table26[[#This Row],[M2 Money Stock, Billions of Dollars, Weekly, Seasonally Adjusted]]-B1553)/B1553</f>
        <v>5.7818109989194011E-2</v>
      </c>
    </row>
    <row r="1606" spans="1:5" x14ac:dyDescent="0.2">
      <c r="A1606" s="50">
        <v>40721</v>
      </c>
      <c r="B1606" s="51">
        <v>9183</v>
      </c>
      <c r="C1606" s="53">
        <f>(Table26[[#This Row],[M2 Money Stock, Billions of Dollars, Weekly, Seasonally Adjusted]]-B1605)/B1605</f>
        <v>8.6885840134448278E-3</v>
      </c>
      <c r="D1606" s="54">
        <f>((1+Table26[[#This Row],[Weekly change]])^52)-1</f>
        <v>0.5680846171741607</v>
      </c>
      <c r="E1606" s="57">
        <f>(Table26[[#This Row],[M2 Money Stock, Billions of Dollars, Weekly, Seasonally Adjusted]]-B1554)/B1554</f>
        <v>6.7071045109112548E-2</v>
      </c>
    </row>
    <row r="1607" spans="1:5" x14ac:dyDescent="0.2">
      <c r="A1607" s="50">
        <v>40728</v>
      </c>
      <c r="B1607" s="51">
        <v>9229.6</v>
      </c>
      <c r="C1607" s="53">
        <f>(Table26[[#This Row],[M2 Money Stock, Billions of Dollars, Weekly, Seasonally Adjusted]]-B1606)/B1606</f>
        <v>5.0745943591419323E-3</v>
      </c>
      <c r="D1607" s="54">
        <f>((1+Table26[[#This Row],[Weekly change]])^52)-1</f>
        <v>0.30110203420600978</v>
      </c>
      <c r="E1607" s="57">
        <f>(Table26[[#This Row],[M2 Money Stock, Billions of Dollars, Weekly, Seasonally Adjusted]]-B1555)/B1555</f>
        <v>7.6526506094360569E-2</v>
      </c>
    </row>
    <row r="1608" spans="1:5" x14ac:dyDescent="0.2">
      <c r="A1608" s="50">
        <v>40735</v>
      </c>
      <c r="B1608" s="51">
        <v>9240.5</v>
      </c>
      <c r="C1608" s="53">
        <f>(Table26[[#This Row],[M2 Money Stock, Billions of Dollars, Weekly, Seasonally Adjusted]]-B1607)/B1607</f>
        <v>1.1809829245037311E-3</v>
      </c>
      <c r="D1608" s="54">
        <f>((1+Table26[[#This Row],[Weekly change]])^52)-1</f>
        <v>6.3297446155421211E-2</v>
      </c>
      <c r="E1608" s="57">
        <f>(Table26[[#This Row],[M2 Money Stock, Billions of Dollars, Weekly, Seasonally Adjusted]]-B1556)/B1556</f>
        <v>7.5039264731545582E-2</v>
      </c>
    </row>
    <row r="1609" spans="1:5" x14ac:dyDescent="0.2">
      <c r="A1609" s="50">
        <v>40742</v>
      </c>
      <c r="B1609" s="51">
        <v>9266.9</v>
      </c>
      <c r="C1609" s="53">
        <f>(Table26[[#This Row],[M2 Money Stock, Billions of Dollars, Weekly, Seasonally Adjusted]]-B1608)/B1608</f>
        <v>2.8569882582110966E-3</v>
      </c>
      <c r="D1609" s="54">
        <f>((1+Table26[[#This Row],[Weekly change]])^52)-1</f>
        <v>0.1599206189576079</v>
      </c>
      <c r="E1609" s="57">
        <f>(Table26[[#This Row],[M2 Money Stock, Billions of Dollars, Weekly, Seasonally Adjusted]]-B1557)/B1557</f>
        <v>7.7283454040292396E-2</v>
      </c>
    </row>
    <row r="1610" spans="1:5" x14ac:dyDescent="0.2">
      <c r="A1610" s="50">
        <v>40749</v>
      </c>
      <c r="B1610" s="51">
        <v>9307.4</v>
      </c>
      <c r="C1610" s="53">
        <f>(Table26[[#This Row],[M2 Money Stock, Billions of Dollars, Weekly, Seasonally Adjusted]]-B1609)/B1609</f>
        <v>4.3703935512415153E-3</v>
      </c>
      <c r="D1610" s="54">
        <f>((1+Table26[[#This Row],[Weekly change]])^52)-1</f>
        <v>0.25453539144559989</v>
      </c>
      <c r="E1610" s="57">
        <f>(Table26[[#This Row],[M2 Money Stock, Billions of Dollars, Weekly, Seasonally Adjusted]]-B1558)/B1558</f>
        <v>7.9294030335358701E-2</v>
      </c>
    </row>
    <row r="1611" spans="1:5" x14ac:dyDescent="0.2">
      <c r="A1611" s="50">
        <v>40756</v>
      </c>
      <c r="B1611" s="51">
        <v>9453.9</v>
      </c>
      <c r="C1611" s="53">
        <f>(Table26[[#This Row],[M2 Money Stock, Billions of Dollars, Weekly, Seasonally Adjusted]]-B1610)/B1610</f>
        <v>1.574016374067946E-2</v>
      </c>
      <c r="D1611" s="54">
        <f>((1+Table26[[#This Row],[Weekly change]])^52)-1</f>
        <v>1.2526645254921012</v>
      </c>
      <c r="E1611" s="57">
        <f>(Table26[[#This Row],[M2 Money Stock, Billions of Dollars, Weekly, Seasonally Adjusted]]-B1559)/B1559</f>
        <v>9.4784260138499665E-2</v>
      </c>
    </row>
    <row r="1612" spans="1:5" x14ac:dyDescent="0.2">
      <c r="A1612" s="50">
        <v>40763</v>
      </c>
      <c r="B1612" s="51">
        <v>9480</v>
      </c>
      <c r="C1612" s="53">
        <f>(Table26[[#This Row],[M2 Money Stock, Billions of Dollars, Weekly, Seasonally Adjusted]]-B1611)/B1611</f>
        <v>2.7607653984070453E-3</v>
      </c>
      <c r="D1612" s="54">
        <f>((1+Table26[[#This Row],[Weekly change]])^52)-1</f>
        <v>0.15414752425834699</v>
      </c>
      <c r="E1612" s="57">
        <f>(Table26[[#This Row],[M2 Money Stock, Billions of Dollars, Weekly, Seasonally Adjusted]]-B1560)/B1560</f>
        <v>9.6143839972249526E-2</v>
      </c>
    </row>
    <row r="1613" spans="1:5" x14ac:dyDescent="0.2">
      <c r="A1613" s="50">
        <v>40770</v>
      </c>
      <c r="B1613" s="51">
        <v>9509</v>
      </c>
      <c r="C1613" s="53">
        <f>(Table26[[#This Row],[M2 Money Stock, Billions of Dollars, Weekly, Seasonally Adjusted]]-B1612)/B1612</f>
        <v>3.059071729957806E-3</v>
      </c>
      <c r="D1613" s="54">
        <f>((1+Table26[[#This Row],[Weekly change]])^52)-1</f>
        <v>0.17213739920463178</v>
      </c>
      <c r="E1613" s="57">
        <f>(Table26[[#This Row],[M2 Money Stock, Billions of Dollars, Weekly, Seasonally Adjusted]]-B1561)/B1561</f>
        <v>9.8518980615050392E-2</v>
      </c>
    </row>
    <row r="1614" spans="1:5" x14ac:dyDescent="0.2">
      <c r="A1614" s="50">
        <v>40777</v>
      </c>
      <c r="B1614" s="51">
        <v>9537.2999999999993</v>
      </c>
      <c r="C1614" s="53">
        <f>(Table26[[#This Row],[M2 Money Stock, Billions of Dollars, Weekly, Seasonally Adjusted]]-B1613)/B1613</f>
        <v>2.9761278788515378E-3</v>
      </c>
      <c r="D1614" s="54">
        <f>((1+Table26[[#This Row],[Weekly change]])^52)-1</f>
        <v>0.16710790759290006</v>
      </c>
      <c r="E1614" s="57">
        <f>(Table26[[#This Row],[M2 Money Stock, Billions of Dollars, Weekly, Seasonally Adjusted]]-B1562)/B1562</f>
        <v>0.10171194898807874</v>
      </c>
    </row>
    <row r="1615" spans="1:5" x14ac:dyDescent="0.2">
      <c r="A1615" s="50">
        <v>40784</v>
      </c>
      <c r="B1615" s="51">
        <v>9537</v>
      </c>
      <c r="C1615" s="53">
        <f>(Table26[[#This Row],[M2 Money Stock, Billions of Dollars, Weekly, Seasonally Adjusted]]-B1614)/B1614</f>
        <v>-3.1455443364397932E-5</v>
      </c>
      <c r="D1615" s="54">
        <f>((1+Table26[[#This Row],[Weekly change]])^52)-1</f>
        <v>-1.6343717385474132E-3</v>
      </c>
      <c r="E1615" s="57">
        <f>(Table26[[#This Row],[M2 Money Stock, Billions of Dollars, Weekly, Seasonally Adjusted]]-B1563)/B1563</f>
        <v>0.10021572857423033</v>
      </c>
    </row>
    <row r="1616" spans="1:5" x14ac:dyDescent="0.2">
      <c r="A1616" s="50">
        <v>40791</v>
      </c>
      <c r="B1616" s="51">
        <v>9535.1</v>
      </c>
      <c r="C1616" s="53">
        <f>(Table26[[#This Row],[M2 Money Stock, Billions of Dollars, Weekly, Seasonally Adjusted]]-B1615)/B1615</f>
        <v>-1.9922407465656247E-4</v>
      </c>
      <c r="D1616" s="54">
        <f>((1+Table26[[#This Row],[Weekly change]])^52)-1</f>
        <v>-1.0307196959168707E-2</v>
      </c>
      <c r="E1616" s="57">
        <f>(Table26[[#This Row],[M2 Money Stock, Billions of Dollars, Weekly, Seasonally Adjusted]]-B1564)/B1564</f>
        <v>9.9337061163313589E-2</v>
      </c>
    </row>
    <row r="1617" spans="1:5" x14ac:dyDescent="0.2">
      <c r="A1617" s="50">
        <v>40798</v>
      </c>
      <c r="B1617" s="51">
        <v>9529.7999999999993</v>
      </c>
      <c r="C1617" s="53">
        <f>(Table26[[#This Row],[M2 Money Stock, Billions of Dollars, Weekly, Seasonally Adjusted]]-B1616)/B1616</f>
        <v>-5.5584105043482413E-4</v>
      </c>
      <c r="D1617" s="54">
        <f>((1+Table26[[#This Row],[Weekly change]])^52)-1</f>
        <v>-2.8497824203827515E-2</v>
      </c>
      <c r="E1617" s="57">
        <f>(Table26[[#This Row],[M2 Money Stock, Billions of Dollars, Weekly, Seasonally Adjusted]]-B1565)/B1565</f>
        <v>9.7435424991650851E-2</v>
      </c>
    </row>
    <row r="1618" spans="1:5" x14ac:dyDescent="0.2">
      <c r="A1618" s="50">
        <v>40805</v>
      </c>
      <c r="B1618" s="51">
        <v>9526</v>
      </c>
      <c r="C1618" s="53">
        <f>(Table26[[#This Row],[M2 Money Stock, Billions of Dollars, Weekly, Seasonally Adjusted]]-B1617)/B1617</f>
        <v>-3.9874918676145071E-4</v>
      </c>
      <c r="D1618" s="54">
        <f>((1+Table26[[#This Row],[Weekly change]])^52)-1</f>
        <v>-2.0525516854365988E-2</v>
      </c>
      <c r="E1618" s="57">
        <f>(Table26[[#This Row],[M2 Money Stock, Billions of Dollars, Weekly, Seasonally Adjusted]]-B1566)/B1566</f>
        <v>9.706099133959821E-2</v>
      </c>
    </row>
    <row r="1619" spans="1:5" x14ac:dyDescent="0.2">
      <c r="A1619" s="50">
        <v>40812</v>
      </c>
      <c r="B1619" s="51">
        <v>9553.4</v>
      </c>
      <c r="C1619" s="53">
        <f>(Table26[[#This Row],[M2 Money Stock, Billions of Dollars, Weekly, Seasonally Adjusted]]-B1618)/B1618</f>
        <v>2.8763384421582653E-3</v>
      </c>
      <c r="D1619" s="54">
        <f>((1+Table26[[#This Row],[Weekly change]])^52)-1</f>
        <v>0.16108499002221421</v>
      </c>
      <c r="E1619" s="57">
        <f>(Table26[[#This Row],[M2 Money Stock, Billions of Dollars, Weekly, Seasonally Adjusted]]-B1567)/B1567</f>
        <v>9.8458106725230157E-2</v>
      </c>
    </row>
    <row r="1620" spans="1:5" x14ac:dyDescent="0.2">
      <c r="A1620" s="50">
        <v>40819</v>
      </c>
      <c r="B1620" s="51">
        <v>9563</v>
      </c>
      <c r="C1620" s="53">
        <f>(Table26[[#This Row],[M2 Money Stock, Billions of Dollars, Weekly, Seasonally Adjusted]]-B1619)/B1619</f>
        <v>1.0048778445370615E-3</v>
      </c>
      <c r="D1620" s="54">
        <f>((1+Table26[[#This Row],[Weekly change]])^52)-1</f>
        <v>5.3615319220863933E-2</v>
      </c>
      <c r="E1620" s="57">
        <f>(Table26[[#This Row],[M2 Money Stock, Billions of Dollars, Weekly, Seasonally Adjusted]]-B1568)/B1568</f>
        <v>9.7467206812261065E-2</v>
      </c>
    </row>
    <row r="1621" spans="1:5" x14ac:dyDescent="0.2">
      <c r="A1621" s="50">
        <v>40826</v>
      </c>
      <c r="B1621" s="51">
        <v>9570.7000000000007</v>
      </c>
      <c r="C1621" s="53">
        <f>(Table26[[#This Row],[M2 Money Stock, Billions of Dollars, Weekly, Seasonally Adjusted]]-B1620)/B1620</f>
        <v>8.0518665690690447E-4</v>
      </c>
      <c r="D1621" s="54">
        <f>((1+Table26[[#This Row],[Weekly change]])^52)-1</f>
        <v>4.2741037229818479E-2</v>
      </c>
      <c r="E1621" s="57">
        <f>(Table26[[#This Row],[M2 Money Stock, Billions of Dollars, Weekly, Seasonally Adjusted]]-B1569)/B1569</f>
        <v>9.5848218375011493E-2</v>
      </c>
    </row>
    <row r="1622" spans="1:5" x14ac:dyDescent="0.2">
      <c r="A1622" s="50">
        <v>40833</v>
      </c>
      <c r="B1622" s="51">
        <v>9579.6</v>
      </c>
      <c r="C1622" s="53">
        <f>(Table26[[#This Row],[M2 Money Stock, Billions of Dollars, Weekly, Seasonally Adjusted]]-B1621)/B1621</f>
        <v>9.2992153134040722E-4</v>
      </c>
      <c r="D1622" s="54">
        <f>((1+Table26[[#This Row],[Weekly change]])^52)-1</f>
        <v>4.9520559564943945E-2</v>
      </c>
      <c r="E1622" s="57">
        <f>(Table26[[#This Row],[M2 Money Stock, Billions of Dollars, Weekly, Seasonally Adjusted]]-B1570)/B1570</f>
        <v>9.6064073226544658E-2</v>
      </c>
    </row>
    <row r="1623" spans="1:5" x14ac:dyDescent="0.2">
      <c r="A1623" s="50">
        <v>40840</v>
      </c>
      <c r="B1623" s="51">
        <v>9560</v>
      </c>
      <c r="C1623" s="53">
        <f>(Table26[[#This Row],[M2 Money Stock, Billions of Dollars, Weekly, Seasonally Adjusted]]-B1622)/B1622</f>
        <v>-2.0460144473673602E-3</v>
      </c>
      <c r="D1623" s="54">
        <f>((1+Table26[[#This Row],[Weekly change]])^52)-1</f>
        <v>-0.1010265165070221</v>
      </c>
      <c r="E1623" s="57">
        <f>(Table26[[#This Row],[M2 Money Stock, Billions of Dollars, Weekly, Seasonally Adjusted]]-B1571)/B1571</f>
        <v>9.3658837930285066E-2</v>
      </c>
    </row>
    <row r="1624" spans="1:5" x14ac:dyDescent="0.2">
      <c r="A1624" s="50">
        <v>40847</v>
      </c>
      <c r="B1624" s="51">
        <v>9578.7000000000007</v>
      </c>
      <c r="C1624" s="53">
        <f>(Table26[[#This Row],[M2 Money Stock, Billions of Dollars, Weekly, Seasonally Adjusted]]-B1623)/B1623</f>
        <v>1.9560669456067706E-3</v>
      </c>
      <c r="D1624" s="54">
        <f>((1+Table26[[#This Row],[Weekly change]])^52)-1</f>
        <v>0.10695846153156707</v>
      </c>
      <c r="E1624" s="57">
        <f>(Table26[[#This Row],[M2 Money Stock, Billions of Dollars, Weekly, Seasonally Adjusted]]-B1572)/B1572</f>
        <v>9.5159151193634078E-2</v>
      </c>
    </row>
    <row r="1625" spans="1:5" x14ac:dyDescent="0.2">
      <c r="A1625" s="50">
        <v>40854</v>
      </c>
      <c r="B1625" s="51">
        <v>9602.4</v>
      </c>
      <c r="C1625" s="53">
        <f>(Table26[[#This Row],[M2 Money Stock, Billions of Dollars, Weekly, Seasonally Adjusted]]-B1624)/B1624</f>
        <v>2.4742397193772544E-3</v>
      </c>
      <c r="D1625" s="54">
        <f>((1+Table26[[#This Row],[Weekly change]])^52)-1</f>
        <v>0.13712319412365992</v>
      </c>
      <c r="E1625" s="57">
        <f>(Table26[[#This Row],[M2 Money Stock, Billions of Dollars, Weekly, Seasonally Adjusted]]-B1573)/B1573</f>
        <v>9.81199396184987E-2</v>
      </c>
    </row>
    <row r="1626" spans="1:5" x14ac:dyDescent="0.2">
      <c r="A1626" s="50">
        <v>40861</v>
      </c>
      <c r="B1626" s="51">
        <v>9620.5</v>
      </c>
      <c r="C1626" s="53">
        <f>(Table26[[#This Row],[M2 Money Stock, Billions of Dollars, Weekly, Seasonally Adjusted]]-B1625)/B1625</f>
        <v>1.8849454303091274E-3</v>
      </c>
      <c r="D1626" s="54">
        <f>((1+Table26[[#This Row],[Weekly change]])^52)-1</f>
        <v>0.10287995548938977</v>
      </c>
      <c r="E1626" s="57">
        <f>(Table26[[#This Row],[M2 Money Stock, Billions of Dollars, Weekly, Seasonally Adjusted]]-B1574)/B1574</f>
        <v>9.9523412231276406E-2</v>
      </c>
    </row>
    <row r="1627" spans="1:5" x14ac:dyDescent="0.2">
      <c r="A1627" s="50">
        <v>40868</v>
      </c>
      <c r="B1627" s="51">
        <v>9607.7999999999993</v>
      </c>
      <c r="C1627" s="53">
        <f>(Table26[[#This Row],[M2 Money Stock, Billions of Dollars, Weekly, Seasonally Adjusted]]-B1626)/B1626</f>
        <v>-1.3200977080194093E-3</v>
      </c>
      <c r="D1627" s="54">
        <f>((1+Table26[[#This Row],[Weekly change]])^52)-1</f>
        <v>-6.6384345103960074E-2</v>
      </c>
      <c r="E1627" s="57">
        <f>(Table26[[#This Row],[M2 Money Stock, Billions of Dollars, Weekly, Seasonally Adjusted]]-B1575)/B1575</f>
        <v>9.6643115590507908E-2</v>
      </c>
    </row>
    <row r="1628" spans="1:5" x14ac:dyDescent="0.2">
      <c r="A1628" s="50">
        <v>40875</v>
      </c>
      <c r="B1628" s="51">
        <v>9614.9</v>
      </c>
      <c r="C1628" s="53">
        <f>(Table26[[#This Row],[M2 Money Stock, Billions of Dollars, Weekly, Seasonally Adjusted]]-B1627)/B1627</f>
        <v>7.3898290971922444E-4</v>
      </c>
      <c r="D1628" s="54">
        <f>((1+Table26[[#This Row],[Weekly change]])^52)-1</f>
        <v>3.9160234144401951E-2</v>
      </c>
      <c r="E1628" s="57">
        <f>(Table26[[#This Row],[M2 Money Stock, Billions of Dollars, Weekly, Seasonally Adjusted]]-B1576)/B1576</f>
        <v>9.5839981764303583E-2</v>
      </c>
    </row>
    <row r="1629" spans="1:5" x14ac:dyDescent="0.2">
      <c r="A1629" s="50">
        <v>40882</v>
      </c>
      <c r="B1629" s="51">
        <v>9625.4</v>
      </c>
      <c r="C1629" s="53">
        <f>(Table26[[#This Row],[M2 Money Stock, Billions of Dollars, Weekly, Seasonally Adjusted]]-B1628)/B1628</f>
        <v>1.0920550395739947E-3</v>
      </c>
      <c r="D1629" s="54">
        <f>((1+Table26[[#This Row],[Weekly change]])^52)-1</f>
        <v>5.8397400155459911E-2</v>
      </c>
      <c r="E1629" s="57">
        <f>(Table26[[#This Row],[M2 Money Stock, Billions of Dollars, Weekly, Seasonally Adjusted]]-B1577)/B1577</f>
        <v>9.7411925664120352E-2</v>
      </c>
    </row>
    <row r="1630" spans="1:5" x14ac:dyDescent="0.2">
      <c r="A1630" s="50">
        <v>40889</v>
      </c>
      <c r="B1630" s="51">
        <v>9646.7999999999993</v>
      </c>
      <c r="C1630" s="53">
        <f>(Table26[[#This Row],[M2 Money Stock, Billions of Dollars, Weekly, Seasonally Adjusted]]-B1629)/B1629</f>
        <v>2.223284227148964E-3</v>
      </c>
      <c r="D1630" s="54">
        <f>((1+Table26[[#This Row],[Weekly change]])^52)-1</f>
        <v>0.12241481843195201</v>
      </c>
      <c r="E1630" s="57">
        <f>(Table26[[#This Row],[M2 Money Stock, Billions of Dollars, Weekly, Seasonally Adjusted]]-B1578)/B1578</f>
        <v>9.8261552648655853E-2</v>
      </c>
    </row>
    <row r="1631" spans="1:5" x14ac:dyDescent="0.2">
      <c r="A1631" s="50">
        <v>40896</v>
      </c>
      <c r="B1631" s="51">
        <v>9638.6</v>
      </c>
      <c r="C1631" s="53">
        <f>(Table26[[#This Row],[M2 Money Stock, Billions of Dollars, Weekly, Seasonally Adjusted]]-B1630)/B1630</f>
        <v>-8.5002280548979029E-4</v>
      </c>
      <c r="D1631" s="54">
        <f>((1+Table26[[#This Row],[Weekly change]])^52)-1</f>
        <v>-4.325653254197559E-2</v>
      </c>
      <c r="E1631" s="57">
        <f>(Table26[[#This Row],[M2 Money Stock, Billions of Dollars, Weekly, Seasonally Adjusted]]-B1579)/B1579</f>
        <v>9.6491627229705224E-2</v>
      </c>
    </row>
    <row r="1632" spans="1:5" x14ac:dyDescent="0.2">
      <c r="A1632" s="50">
        <v>40903</v>
      </c>
      <c r="B1632" s="51">
        <v>9639.4</v>
      </c>
      <c r="C1632" s="53">
        <f>(Table26[[#This Row],[M2 Money Stock, Billions of Dollars, Weekly, Seasonally Adjusted]]-B1631)/B1631</f>
        <v>8.2999605751797188E-5</v>
      </c>
      <c r="D1632" s="54">
        <f>((1+Table26[[#This Row],[Weekly change]])^52)-1</f>
        <v>4.3251268754871397E-3</v>
      </c>
      <c r="E1632" s="57">
        <f>(Table26[[#This Row],[M2 Money Stock, Billions of Dollars, Weekly, Seasonally Adjusted]]-B1580)/B1580</f>
        <v>9.4056090889486521E-2</v>
      </c>
    </row>
    <row r="1633" spans="1:5" x14ac:dyDescent="0.2">
      <c r="A1633" s="50">
        <v>40910</v>
      </c>
      <c r="B1633" s="51">
        <v>9716.5</v>
      </c>
      <c r="C1633" s="53">
        <f>(Table26[[#This Row],[M2 Money Stock, Billions of Dollars, Weekly, Seasonally Adjusted]]-B1632)/B1632</f>
        <v>7.9984231383696466E-3</v>
      </c>
      <c r="D1633" s="54">
        <f>((1+Table26[[#This Row],[Weekly change]])^52)-1</f>
        <v>0.51325578042542186</v>
      </c>
      <c r="E1633" s="57">
        <f>(Table26[[#This Row],[M2 Money Stock, Billions of Dollars, Weekly, Seasonally Adjusted]]-B1581)/B1581</f>
        <v>0.10574351621089537</v>
      </c>
    </row>
    <row r="1634" spans="1:5" x14ac:dyDescent="0.2">
      <c r="A1634" s="50">
        <v>40917</v>
      </c>
      <c r="B1634" s="51">
        <v>9723.9</v>
      </c>
      <c r="C1634" s="53">
        <f>(Table26[[#This Row],[M2 Money Stock, Billions of Dollars, Weekly, Seasonally Adjusted]]-B1633)/B1633</f>
        <v>7.6159110790918912E-4</v>
      </c>
      <c r="D1634" s="54">
        <f>((1+Table26[[#This Row],[Weekly change]])^52)-1</f>
        <v>4.0381699654950642E-2</v>
      </c>
      <c r="E1634" s="57">
        <f>(Table26[[#This Row],[M2 Money Stock, Billions of Dollars, Weekly, Seasonally Adjusted]]-B1582)/B1582</f>
        <v>0.10385968895447834</v>
      </c>
    </row>
    <row r="1635" spans="1:5" x14ac:dyDescent="0.2">
      <c r="A1635" s="50">
        <v>40924</v>
      </c>
      <c r="B1635" s="51">
        <v>9733.2000000000007</v>
      </c>
      <c r="C1635" s="53">
        <f>(Table26[[#This Row],[M2 Money Stock, Billions of Dollars, Weekly, Seasonally Adjusted]]-B1634)/B1634</f>
        <v>9.564063801562225E-4</v>
      </c>
      <c r="D1635" s="54">
        <f>((1+Table26[[#This Row],[Weekly change]])^52)-1</f>
        <v>5.0965603943562643E-2</v>
      </c>
      <c r="E1635" s="57">
        <f>(Table26[[#This Row],[M2 Money Stock, Billions of Dollars, Weekly, Seasonally Adjusted]]-B1583)/B1583</f>
        <v>9.9399087335652642E-2</v>
      </c>
    </row>
    <row r="1636" spans="1:5" x14ac:dyDescent="0.2">
      <c r="A1636" s="50">
        <v>40931</v>
      </c>
      <c r="B1636" s="51">
        <v>9729</v>
      </c>
      <c r="C1636" s="53">
        <f>(Table26[[#This Row],[M2 Money Stock, Billions of Dollars, Weekly, Seasonally Adjusted]]-B1635)/B1635</f>
        <v>-4.3151276044884799E-4</v>
      </c>
      <c r="D1636" s="54">
        <f>((1+Table26[[#This Row],[Weekly change]])^52)-1</f>
        <v>-2.2193524384375829E-2</v>
      </c>
      <c r="E1636" s="57">
        <f>(Table26[[#This Row],[M2 Money Stock, Billions of Dollars, Weekly, Seasonally Adjusted]]-B1584)/B1584</f>
        <v>0.10297368689559776</v>
      </c>
    </row>
    <row r="1637" spans="1:5" x14ac:dyDescent="0.2">
      <c r="A1637" s="50">
        <v>40938</v>
      </c>
      <c r="B1637" s="51">
        <v>9736</v>
      </c>
      <c r="C1637" s="53">
        <f>(Table26[[#This Row],[M2 Money Stock, Billions of Dollars, Weekly, Seasonally Adjusted]]-B1636)/B1636</f>
        <v>7.1949840682495627E-4</v>
      </c>
      <c r="D1637" s="54">
        <f>((1+Table26[[#This Row],[Weekly change]])^52)-1</f>
        <v>3.8108662735221621E-2</v>
      </c>
      <c r="E1637" s="57">
        <f>(Table26[[#This Row],[M2 Money Stock, Billions of Dollars, Weekly, Seasonally Adjusted]]-B1585)/B1585</f>
        <v>0.10170642284886607</v>
      </c>
    </row>
    <row r="1638" spans="1:5" x14ac:dyDescent="0.2">
      <c r="A1638" s="50">
        <v>40945</v>
      </c>
      <c r="B1638" s="51">
        <v>9751.5</v>
      </c>
      <c r="C1638" s="53">
        <f>(Table26[[#This Row],[M2 Money Stock, Billions of Dollars, Weekly, Seasonally Adjusted]]-B1637)/B1637</f>
        <v>1.5920295809367297E-3</v>
      </c>
      <c r="D1638" s="54">
        <f>((1+Table26[[#This Row],[Weekly change]])^52)-1</f>
        <v>8.6237303937024556E-2</v>
      </c>
      <c r="E1638" s="57">
        <f>(Table26[[#This Row],[M2 Money Stock, Billions of Dollars, Weekly, Seasonally Adjusted]]-B1586)/B1586</f>
        <v>0.10105572178625868</v>
      </c>
    </row>
    <row r="1639" spans="1:5" x14ac:dyDescent="0.2">
      <c r="A1639" s="50">
        <v>40952</v>
      </c>
      <c r="B1639" s="51">
        <v>9772</v>
      </c>
      <c r="C1639" s="53">
        <f>(Table26[[#This Row],[M2 Money Stock, Billions of Dollars, Weekly, Seasonally Adjusted]]-B1638)/B1638</f>
        <v>2.1022406809208839E-3</v>
      </c>
      <c r="D1639" s="54">
        <f>((1+Table26[[#This Row],[Weekly change]])^52)-1</f>
        <v>0.11538738088927847</v>
      </c>
      <c r="E1639" s="57">
        <f>(Table26[[#This Row],[M2 Money Stock, Billions of Dollars, Weekly, Seasonally Adjusted]]-B1587)/B1587</f>
        <v>0.10237464041965141</v>
      </c>
    </row>
    <row r="1640" spans="1:5" x14ac:dyDescent="0.2">
      <c r="A1640" s="50">
        <v>40959</v>
      </c>
      <c r="B1640" s="51">
        <v>9778.1</v>
      </c>
      <c r="C1640" s="53">
        <f>(Table26[[#This Row],[M2 Money Stock, Billions of Dollars, Weekly, Seasonally Adjusted]]-B1639)/B1639</f>
        <v>6.2423250102336923E-4</v>
      </c>
      <c r="D1640" s="54">
        <f>((1+Table26[[#This Row],[Weekly change]])^52)-1</f>
        <v>3.2982204464297116E-2</v>
      </c>
      <c r="E1640" s="57">
        <f>(Table26[[#This Row],[M2 Money Stock, Billions of Dollars, Weekly, Seasonally Adjusted]]-B1588)/B1588</f>
        <v>0.10131101750275943</v>
      </c>
    </row>
    <row r="1641" spans="1:5" x14ac:dyDescent="0.2">
      <c r="A1641" s="50">
        <v>40966</v>
      </c>
      <c r="B1641" s="51">
        <v>9779.7000000000007</v>
      </c>
      <c r="C1641" s="53">
        <f>(Table26[[#This Row],[M2 Money Stock, Billions of Dollars, Weekly, Seasonally Adjusted]]-B1640)/B1640</f>
        <v>1.6363097125212094E-4</v>
      </c>
      <c r="D1641" s="54">
        <f>((1+Table26[[#This Row],[Weekly change]])^52)-1</f>
        <v>8.5444113004289335E-3</v>
      </c>
      <c r="E1641" s="57">
        <f>(Table26[[#This Row],[M2 Money Stock, Billions of Dollars, Weekly, Seasonally Adjusted]]-B1589)/B1589</f>
        <v>0.10058632215082335</v>
      </c>
    </row>
    <row r="1642" spans="1:5" x14ac:dyDescent="0.2">
      <c r="A1642" s="50">
        <v>40973</v>
      </c>
      <c r="B1642" s="51">
        <v>9801.2000000000007</v>
      </c>
      <c r="C1642" s="53">
        <f>(Table26[[#This Row],[M2 Money Stock, Billions of Dollars, Weekly, Seasonally Adjusted]]-B1641)/B1641</f>
        <v>2.1984314447273433E-3</v>
      </c>
      <c r="D1642" s="54">
        <f>((1+Table26[[#This Row],[Weekly change]])^52)-1</f>
        <v>0.12096840425569377</v>
      </c>
      <c r="E1642" s="57">
        <f>(Table26[[#This Row],[M2 Money Stock, Billions of Dollars, Weekly, Seasonally Adjusted]]-B1590)/B1590</f>
        <v>0.10143168588317267</v>
      </c>
    </row>
    <row r="1643" spans="1:5" x14ac:dyDescent="0.2">
      <c r="A1643" s="50">
        <v>40980</v>
      </c>
      <c r="B1643" s="51">
        <v>9810.9</v>
      </c>
      <c r="C1643" s="53">
        <f>(Table26[[#This Row],[M2 Money Stock, Billions of Dollars, Weekly, Seasonally Adjusted]]-B1642)/B1642</f>
        <v>9.8967473370596541E-4</v>
      </c>
      <c r="D1643" s="54">
        <f>((1+Table26[[#This Row],[Weekly change]])^52)-1</f>
        <v>5.2783529594217393E-2</v>
      </c>
      <c r="E1643" s="57">
        <f>(Table26[[#This Row],[M2 Money Stock, Billions of Dollars, Weekly, Seasonally Adjusted]]-B1591)/B1591</f>
        <v>0.10217493877367606</v>
      </c>
    </row>
    <row r="1644" spans="1:5" x14ac:dyDescent="0.2">
      <c r="A1644" s="50">
        <v>40987</v>
      </c>
      <c r="B1644" s="51">
        <v>9805.4</v>
      </c>
      <c r="C1644" s="53">
        <f>(Table26[[#This Row],[M2 Money Stock, Billions of Dollars, Weekly, Seasonally Adjusted]]-B1643)/B1643</f>
        <v>-5.6060096423365849E-4</v>
      </c>
      <c r="D1644" s="54">
        <f>((1+Table26[[#This Row],[Weekly change]])^52)-1</f>
        <v>-2.8738390583682105E-2</v>
      </c>
      <c r="E1644" s="57">
        <f>(Table26[[#This Row],[M2 Money Stock, Billions of Dollars, Weekly, Seasonally Adjusted]]-B1592)/B1592</f>
        <v>9.9186153397753427E-2</v>
      </c>
    </row>
    <row r="1645" spans="1:5" x14ac:dyDescent="0.2">
      <c r="A1645" s="50">
        <v>40994</v>
      </c>
      <c r="B1645" s="51">
        <v>9826.2999999999993</v>
      </c>
      <c r="C1645" s="53">
        <f>(Table26[[#This Row],[M2 Money Stock, Billions of Dollars, Weekly, Seasonally Adjusted]]-B1644)/B1644</f>
        <v>2.1314785730311499E-3</v>
      </c>
      <c r="D1645" s="54">
        <f>((1+Table26[[#This Row],[Weekly change]])^52)-1</f>
        <v>0.11708088497715985</v>
      </c>
      <c r="E1645" s="57">
        <f>(Table26[[#This Row],[M2 Money Stock, Billions of Dollars, Weekly, Seasonally Adjusted]]-B1593)/B1593</f>
        <v>0.10018473940547493</v>
      </c>
    </row>
    <row r="1646" spans="1:5" x14ac:dyDescent="0.2">
      <c r="A1646" s="50">
        <v>41001</v>
      </c>
      <c r="B1646" s="51">
        <v>9849.2000000000007</v>
      </c>
      <c r="C1646" s="53">
        <f>(Table26[[#This Row],[M2 Money Stock, Billions of Dollars, Weekly, Seasonally Adjusted]]-B1645)/B1645</f>
        <v>2.3304804453356254E-3</v>
      </c>
      <c r="D1646" s="54">
        <f>((1+Table26[[#This Row],[Weekly change]])^52)-1</f>
        <v>0.12867456454600679</v>
      </c>
      <c r="E1646" s="57">
        <f>(Table26[[#This Row],[M2 Money Stock, Billions of Dollars, Weekly, Seasonally Adjusted]]-B1594)/B1594</f>
        <v>0.10162628906337386</v>
      </c>
    </row>
    <row r="1647" spans="1:5" x14ac:dyDescent="0.2">
      <c r="A1647" s="50">
        <v>41008</v>
      </c>
      <c r="B1647" s="51">
        <v>9865.7000000000007</v>
      </c>
      <c r="C1647" s="53">
        <f>(Table26[[#This Row],[M2 Money Stock, Billions of Dollars, Weekly, Seasonally Adjusted]]-B1646)/B1646</f>
        <v>1.675262965520042E-3</v>
      </c>
      <c r="D1647" s="54">
        <f>((1+Table26[[#This Row],[Weekly change]])^52)-1</f>
        <v>9.0941174421682591E-2</v>
      </c>
      <c r="E1647" s="57">
        <f>(Table26[[#This Row],[M2 Money Stock, Billions of Dollars, Weekly, Seasonally Adjusted]]-B1595)/B1595</f>
        <v>0.1022266414917269</v>
      </c>
    </row>
    <row r="1648" spans="1:5" x14ac:dyDescent="0.2">
      <c r="A1648" s="50">
        <v>41015</v>
      </c>
      <c r="B1648" s="51">
        <v>9880.2999999999993</v>
      </c>
      <c r="C1648" s="53">
        <f>(Table26[[#This Row],[M2 Money Stock, Billions of Dollars, Weekly, Seasonally Adjusted]]-B1647)/B1647</f>
        <v>1.4798747174552787E-3</v>
      </c>
      <c r="D1648" s="54">
        <f>((1+Table26[[#This Row],[Weekly change]])^52)-1</f>
        <v>7.9930406531935061E-2</v>
      </c>
      <c r="E1648" s="57">
        <f>(Table26[[#This Row],[M2 Money Stock, Billions of Dollars, Weekly, Seasonally Adjusted]]-B1596)/B1596</f>
        <v>0.10143360385267097</v>
      </c>
    </row>
    <row r="1649" spans="1:5" x14ac:dyDescent="0.2">
      <c r="A1649" s="50">
        <v>41022</v>
      </c>
      <c r="B1649" s="51">
        <v>9864</v>
      </c>
      <c r="C1649" s="53">
        <f>(Table26[[#This Row],[M2 Money Stock, Billions of Dollars, Weekly, Seasonally Adjusted]]-B1648)/B1648</f>
        <v>-1.6497474773032473E-3</v>
      </c>
      <c r="D1649" s="54">
        <f>((1+Table26[[#This Row],[Weekly change]])^52)-1</f>
        <v>-8.2275195079886787E-2</v>
      </c>
      <c r="E1649" s="57">
        <f>(Table26[[#This Row],[M2 Money Stock, Billions of Dollars, Weekly, Seasonally Adjusted]]-B1597)/B1597</f>
        <v>9.5367121218851242E-2</v>
      </c>
    </row>
    <row r="1650" spans="1:5" x14ac:dyDescent="0.2">
      <c r="A1650" s="50">
        <v>41029</v>
      </c>
      <c r="B1650" s="51">
        <v>9885.1</v>
      </c>
      <c r="C1650" s="53">
        <f>(Table26[[#This Row],[M2 Money Stock, Billions of Dollars, Weekly, Seasonally Adjusted]]-B1649)/B1649</f>
        <v>2.1390916463909534E-3</v>
      </c>
      <c r="D1650" s="54">
        <f>((1+Table26[[#This Row],[Weekly change]])^52)-1</f>
        <v>0.11752225965007201</v>
      </c>
      <c r="E1650" s="57">
        <f>(Table26[[#This Row],[M2 Money Stock, Billions of Dollars, Weekly, Seasonally Adjusted]]-B1598)/B1598</f>
        <v>9.6103521688991486E-2</v>
      </c>
    </row>
    <row r="1651" spans="1:5" x14ac:dyDescent="0.2">
      <c r="A1651" s="50">
        <v>41036</v>
      </c>
      <c r="B1651" s="51">
        <v>9899.4</v>
      </c>
      <c r="C1651" s="53">
        <f>(Table26[[#This Row],[M2 Money Stock, Billions of Dollars, Weekly, Seasonally Adjusted]]-B1650)/B1650</f>
        <v>1.4466216831391966E-3</v>
      </c>
      <c r="D1651" s="54">
        <f>((1+Table26[[#This Row],[Weekly change]])^52)-1</f>
        <v>7.806737374438244E-2</v>
      </c>
      <c r="E1651" s="57">
        <f>(Table26[[#This Row],[M2 Money Stock, Billions of Dollars, Weekly, Seasonally Adjusted]]-B1599)/B1599</f>
        <v>9.7859598536098436E-2</v>
      </c>
    </row>
    <row r="1652" spans="1:5" x14ac:dyDescent="0.2">
      <c r="A1652" s="50">
        <v>41043</v>
      </c>
      <c r="B1652" s="51">
        <v>9897.2000000000007</v>
      </c>
      <c r="C1652" s="53">
        <f>(Table26[[#This Row],[M2 Money Stock, Billions of Dollars, Weekly, Seasonally Adjusted]]-B1651)/B1651</f>
        <v>-2.222356910518727E-4</v>
      </c>
      <c r="D1652" s="54">
        <f>((1+Table26[[#This Row],[Weekly change]])^52)-1</f>
        <v>-1.1491008424492799E-2</v>
      </c>
      <c r="E1652" s="57">
        <f>(Table26[[#This Row],[M2 Money Stock, Billions of Dollars, Weekly, Seasonally Adjusted]]-B1600)/B1600</f>
        <v>9.6411835735413162E-2</v>
      </c>
    </row>
    <row r="1653" spans="1:5" x14ac:dyDescent="0.2">
      <c r="A1653" s="50">
        <v>41050</v>
      </c>
      <c r="B1653" s="51">
        <v>9905.7000000000007</v>
      </c>
      <c r="C1653" s="53">
        <f>(Table26[[#This Row],[M2 Money Stock, Billions of Dollars, Weekly, Seasonally Adjusted]]-B1652)/B1652</f>
        <v>8.5882875964919366E-4</v>
      </c>
      <c r="D1653" s="54">
        <f>((1+Table26[[#This Row],[Weekly change]])^52)-1</f>
        <v>4.5651283639159823E-2</v>
      </c>
      <c r="E1653" s="57">
        <f>(Table26[[#This Row],[M2 Money Stock, Billions of Dollars, Weekly, Seasonally Adjusted]]-B1601)/B1601</f>
        <v>9.7061787735483546E-2</v>
      </c>
    </row>
    <row r="1654" spans="1:5" x14ac:dyDescent="0.2">
      <c r="A1654" s="50">
        <v>41057</v>
      </c>
      <c r="B1654" s="51">
        <v>9905.7999999999993</v>
      </c>
      <c r="C1654" s="53">
        <f>(Table26[[#This Row],[M2 Money Stock, Billions of Dollars, Weekly, Seasonally Adjusted]]-B1653)/B1653</f>
        <v>1.0095197714300333E-5</v>
      </c>
      <c r="D1654" s="54">
        <f>((1+Table26[[#This Row],[Weekly change]])^52)-1</f>
        <v>5.2508544053653239E-4</v>
      </c>
      <c r="E1654" s="57">
        <f>(Table26[[#This Row],[M2 Money Stock, Billions of Dollars, Weekly, Seasonally Adjusted]]-B1602)/B1602</f>
        <v>9.5241254256777638E-2</v>
      </c>
    </row>
    <row r="1655" spans="1:5" x14ac:dyDescent="0.2">
      <c r="A1655" s="50">
        <v>41064</v>
      </c>
      <c r="B1655" s="51">
        <v>9919.6</v>
      </c>
      <c r="C1655" s="53">
        <f>(Table26[[#This Row],[M2 Money Stock, Billions of Dollars, Weekly, Seasonally Adjusted]]-B1654)/B1654</f>
        <v>1.3931232207394751E-3</v>
      </c>
      <c r="D1655" s="54">
        <f>((1+Table26[[#This Row],[Weekly change]])^52)-1</f>
        <v>7.5076684758764278E-2</v>
      </c>
      <c r="E1655" s="57">
        <f>(Table26[[#This Row],[M2 Money Stock, Billions of Dollars, Weekly, Seasonally Adjusted]]-B1603)/B1603</f>
        <v>9.6573070970594782E-2</v>
      </c>
    </row>
    <row r="1656" spans="1:5" x14ac:dyDescent="0.2">
      <c r="A1656" s="50">
        <v>41071</v>
      </c>
      <c r="B1656" s="51">
        <v>9971.7000000000007</v>
      </c>
      <c r="C1656" s="53">
        <f>(Table26[[#This Row],[M2 Money Stock, Billions of Dollars, Weekly, Seasonally Adjusted]]-B1655)/B1655</f>
        <v>5.2522279124158598E-3</v>
      </c>
      <c r="D1656" s="54">
        <f>((1+Table26[[#This Row],[Weekly change]])^52)-1</f>
        <v>0.31311361132937621</v>
      </c>
      <c r="E1656" s="57">
        <f>(Table26[[#This Row],[M2 Money Stock, Billions of Dollars, Weekly, Seasonally Adjusted]]-B1604)/B1604</f>
        <v>0.10050767023507347</v>
      </c>
    </row>
    <row r="1657" spans="1:5" x14ac:dyDescent="0.2">
      <c r="A1657" s="50">
        <v>41078</v>
      </c>
      <c r="B1657" s="51">
        <v>9974.5</v>
      </c>
      <c r="C1657" s="53">
        <f>(Table26[[#This Row],[M2 Money Stock, Billions of Dollars, Weekly, Seasonally Adjusted]]-B1656)/B1656</f>
        <v>2.8079464885619025E-4</v>
      </c>
      <c r="D1657" s="54">
        <f>((1+Table26[[#This Row],[Weekly change]])^52)-1</f>
        <v>1.4706362021299046E-2</v>
      </c>
      <c r="E1657" s="57">
        <f>(Table26[[#This Row],[M2 Money Stock, Billions of Dollars, Weekly, Seasonally Adjusted]]-B1605)/B1605</f>
        <v>9.562934566504469E-2</v>
      </c>
    </row>
    <row r="1658" spans="1:5" x14ac:dyDescent="0.2">
      <c r="A1658" s="50">
        <v>41085</v>
      </c>
      <c r="B1658" s="51">
        <v>9981.1</v>
      </c>
      <c r="C1658" s="53">
        <f>(Table26[[#This Row],[M2 Money Stock, Billions of Dollars, Weekly, Seasonally Adjusted]]-B1657)/B1657</f>
        <v>6.6168730262172173E-4</v>
      </c>
      <c r="D1658" s="54">
        <f>((1+Table26[[#This Row],[Weekly change]])^52)-1</f>
        <v>3.499475717507039E-2</v>
      </c>
      <c r="E1658" s="57">
        <f>(Table26[[#This Row],[M2 Money Stock, Billions of Dollars, Weekly, Seasonally Adjusted]]-B1606)/B1606</f>
        <v>8.6910595665904422E-2</v>
      </c>
    </row>
    <row r="1659" spans="1:5" x14ac:dyDescent="0.2">
      <c r="A1659" s="50">
        <v>41092</v>
      </c>
      <c r="B1659" s="51">
        <v>10007.4</v>
      </c>
      <c r="C1659" s="53">
        <f>(Table26[[#This Row],[M2 Money Stock, Billions of Dollars, Weekly, Seasonally Adjusted]]-B1658)/B1658</f>
        <v>2.6349801124123866E-3</v>
      </c>
      <c r="D1659" s="54">
        <f>((1+Table26[[#This Row],[Weekly change]])^52)-1</f>
        <v>0.14664325024201053</v>
      </c>
      <c r="E1659" s="57">
        <f>(Table26[[#This Row],[M2 Money Stock, Billions of Dollars, Weekly, Seasonally Adjusted]]-B1607)/B1607</f>
        <v>8.4272341163213929E-2</v>
      </c>
    </row>
    <row r="1660" spans="1:5" x14ac:dyDescent="0.2">
      <c r="A1660" s="50">
        <v>41099</v>
      </c>
      <c r="B1660" s="51">
        <v>10030.4</v>
      </c>
      <c r="C1660" s="53">
        <f>(Table26[[#This Row],[M2 Money Stock, Billions of Dollars, Weekly, Seasonally Adjusted]]-B1659)/B1659</f>
        <v>2.298299258548674E-3</v>
      </c>
      <c r="D1660" s="54">
        <f>((1+Table26[[#This Row],[Weekly change]])^52)-1</f>
        <v>0.12679174940121363</v>
      </c>
      <c r="E1660" s="57">
        <f>(Table26[[#This Row],[M2 Money Stock, Billions of Dollars, Weekly, Seasonally Adjusted]]-B1608)/B1608</f>
        <v>8.5482387316703601E-2</v>
      </c>
    </row>
    <row r="1661" spans="1:5" x14ac:dyDescent="0.2">
      <c r="A1661" s="50">
        <v>41106</v>
      </c>
      <c r="B1661" s="51">
        <v>10051.200000000001</v>
      </c>
      <c r="C1661" s="53">
        <f>(Table26[[#This Row],[M2 Money Stock, Billions of Dollars, Weekly, Seasonally Adjusted]]-B1660)/B1660</f>
        <v>2.0736959642687321E-3</v>
      </c>
      <c r="D1661" s="54">
        <f>((1+Table26[[#This Row],[Weekly change]])^52)-1</f>
        <v>0.1137364558549534</v>
      </c>
      <c r="E1661" s="57">
        <f>(Table26[[#This Row],[M2 Money Stock, Billions of Dollars, Weekly, Seasonally Adjusted]]-B1609)/B1609</f>
        <v>8.463455956145001E-2</v>
      </c>
    </row>
    <row r="1662" spans="1:5" x14ac:dyDescent="0.2">
      <c r="A1662" s="50">
        <v>41113</v>
      </c>
      <c r="B1662" s="51">
        <v>10047</v>
      </c>
      <c r="C1662" s="53">
        <f>(Table26[[#This Row],[M2 Money Stock, Billions of Dollars, Weekly, Seasonally Adjusted]]-B1661)/B1661</f>
        <v>-4.1786055396377821E-4</v>
      </c>
      <c r="D1662" s="54">
        <f>((1+Table26[[#This Row],[Weekly change]])^52)-1</f>
        <v>-2.1498823567022041E-2</v>
      </c>
      <c r="E1662" s="57">
        <f>(Table26[[#This Row],[M2 Money Stock, Billions of Dollars, Weekly, Seasonally Adjusted]]-B1610)/B1610</f>
        <v>7.9463652577519001E-2</v>
      </c>
    </row>
    <row r="1663" spans="1:5" x14ac:dyDescent="0.2">
      <c r="A1663" s="50">
        <v>41120</v>
      </c>
      <c r="B1663" s="51">
        <v>10065.299999999999</v>
      </c>
      <c r="C1663" s="53">
        <f>(Table26[[#This Row],[M2 Money Stock, Billions of Dollars, Weekly, Seasonally Adjusted]]-B1662)/B1662</f>
        <v>1.8214392355926418E-3</v>
      </c>
      <c r="D1663" s="54">
        <f>((1+Table26[[#This Row],[Weekly change]])^52)-1</f>
        <v>9.925061240258759E-2</v>
      </c>
      <c r="E1663" s="57">
        <f>(Table26[[#This Row],[M2 Money Stock, Billions of Dollars, Weekly, Seasonally Adjusted]]-B1611)/B1611</f>
        <v>6.4671722781074442E-2</v>
      </c>
    </row>
    <row r="1664" spans="1:5" x14ac:dyDescent="0.2">
      <c r="A1664" s="50">
        <v>41127</v>
      </c>
      <c r="B1664" s="51">
        <v>10078.1</v>
      </c>
      <c r="C1664" s="53">
        <f>(Table26[[#This Row],[M2 Money Stock, Billions of Dollars, Weekly, Seasonally Adjusted]]-B1663)/B1663</f>
        <v>1.2716958262546662E-3</v>
      </c>
      <c r="D1664" s="54">
        <f>((1+Table26[[#This Row],[Weekly change]])^52)-1</f>
        <v>6.831877141608711E-2</v>
      </c>
      <c r="E1664" s="57">
        <f>(Table26[[#This Row],[M2 Money Stock, Billions of Dollars, Weekly, Seasonally Adjusted]]-B1612)/B1612</f>
        <v>6.3090717299578103E-2</v>
      </c>
    </row>
    <row r="1665" spans="1:5" x14ac:dyDescent="0.2">
      <c r="A1665" s="50">
        <v>41134</v>
      </c>
      <c r="B1665" s="51">
        <v>10115.200000000001</v>
      </c>
      <c r="C1665" s="53">
        <f>(Table26[[#This Row],[M2 Money Stock, Billions of Dollars, Weekly, Seasonally Adjusted]]-B1664)/B1664</f>
        <v>3.6812494418591167E-3</v>
      </c>
      <c r="D1665" s="54">
        <f>((1+Table26[[#This Row],[Weekly change]])^52)-1</f>
        <v>0.21054841415453729</v>
      </c>
      <c r="E1665" s="57">
        <f>(Table26[[#This Row],[M2 Money Stock, Billions of Dollars, Weekly, Seasonally Adjusted]]-B1613)/B1613</f>
        <v>6.375013145441169E-2</v>
      </c>
    </row>
    <row r="1666" spans="1:5" x14ac:dyDescent="0.2">
      <c r="A1666" s="50">
        <v>41141</v>
      </c>
      <c r="B1666" s="51">
        <v>10112.6</v>
      </c>
      <c r="C1666" s="53">
        <f>(Table26[[#This Row],[M2 Money Stock, Billions of Dollars, Weekly, Seasonally Adjusted]]-B1665)/B1665</f>
        <v>-2.5703891173682809E-4</v>
      </c>
      <c r="D1666" s="54">
        <f>((1+Table26[[#This Row],[Weekly change]])^52)-1</f>
        <v>-1.3278790043558364E-2</v>
      </c>
      <c r="E1666" s="57">
        <f>(Table26[[#This Row],[M2 Money Stock, Billions of Dollars, Weekly, Seasonally Adjusted]]-B1614)/B1614</f>
        <v>6.032105522527352E-2</v>
      </c>
    </row>
    <row r="1667" spans="1:5" x14ac:dyDescent="0.2">
      <c r="A1667" s="50">
        <v>41148</v>
      </c>
      <c r="B1667" s="51">
        <v>10134.799999999999</v>
      </c>
      <c r="C1667" s="53">
        <f>(Table26[[#This Row],[M2 Money Stock, Billions of Dollars, Weekly, Seasonally Adjusted]]-B1666)/B1666</f>
        <v>2.1952811344262513E-3</v>
      </c>
      <c r="D1667" s="54">
        <f>((1+Table26[[#This Row],[Weekly change]])^52)-1</f>
        <v>0.12078518904821256</v>
      </c>
      <c r="E1667" s="57">
        <f>(Table26[[#This Row],[M2 Money Stock, Billions of Dollars, Weekly, Seasonally Adjusted]]-B1615)/B1615</f>
        <v>6.2682185173534577E-2</v>
      </c>
    </row>
    <row r="1668" spans="1:5" x14ac:dyDescent="0.2">
      <c r="A1668" s="50">
        <v>41155</v>
      </c>
      <c r="B1668" s="51">
        <v>10161.9</v>
      </c>
      <c r="C1668" s="53">
        <f>(Table26[[#This Row],[M2 Money Stock, Billions of Dollars, Weekly, Seasonally Adjusted]]-B1667)/B1667</f>
        <v>2.673955085448195E-3</v>
      </c>
      <c r="D1668" s="54">
        <f>((1+Table26[[#This Row],[Weekly change]])^52)-1</f>
        <v>0.14896334217244855</v>
      </c>
      <c r="E1668" s="57">
        <f>(Table26[[#This Row],[M2 Money Stock, Billions of Dollars, Weekly, Seasonally Adjusted]]-B1616)/B1616</f>
        <v>6.5736069889146334E-2</v>
      </c>
    </row>
    <row r="1669" spans="1:5" x14ac:dyDescent="0.2">
      <c r="A1669" s="50">
        <v>41162</v>
      </c>
      <c r="B1669" s="51">
        <v>10180.1</v>
      </c>
      <c r="C1669" s="53">
        <f>(Table26[[#This Row],[M2 Money Stock, Billions of Dollars, Weekly, Seasonally Adjusted]]-B1668)/B1668</f>
        <v>1.7910036508921293E-3</v>
      </c>
      <c r="D1669" s="54">
        <f>((1+Table26[[#This Row],[Weekly change]])^52)-1</f>
        <v>9.7515390657134438E-2</v>
      </c>
      <c r="E1669" s="57">
        <f>(Table26[[#This Row],[M2 Money Stock, Billions of Dollars, Weekly, Seasonally Adjusted]]-B1617)/B1617</f>
        <v>6.8238577934479336E-2</v>
      </c>
    </row>
    <row r="1670" spans="1:5" x14ac:dyDescent="0.2">
      <c r="A1670" s="50">
        <v>41169</v>
      </c>
      <c r="B1670" s="51">
        <v>10201.299999999999</v>
      </c>
      <c r="C1670" s="53">
        <f>(Table26[[#This Row],[M2 Money Stock, Billions of Dollars, Weekly, Seasonally Adjusted]]-B1669)/B1669</f>
        <v>2.082494278052171E-3</v>
      </c>
      <c r="D1670" s="54">
        <f>((1+Table26[[#This Row],[Weekly change]])^52)-1</f>
        <v>0.1142450634045078</v>
      </c>
      <c r="E1670" s="57">
        <f>(Table26[[#This Row],[M2 Money Stock, Billions of Dollars, Weekly, Seasonally Adjusted]]-B1618)/B1618</f>
        <v>7.0890195255091257E-2</v>
      </c>
    </row>
    <row r="1671" spans="1:5" x14ac:dyDescent="0.2">
      <c r="A1671" s="50">
        <v>41176</v>
      </c>
      <c r="B1671" s="51">
        <v>10196.700000000001</v>
      </c>
      <c r="C1671" s="53">
        <f>(Table26[[#This Row],[M2 Money Stock, Billions of Dollars, Weekly, Seasonally Adjusted]]-B1670)/B1670</f>
        <v>-4.5092292158828239E-4</v>
      </c>
      <c r="D1671" s="54">
        <f>((1+Table26[[#This Row],[Weekly change]])^52)-1</f>
        <v>-2.3180389512858279E-2</v>
      </c>
      <c r="E1671" s="57">
        <f>(Table26[[#This Row],[M2 Money Stock, Billions of Dollars, Weekly, Seasonally Adjusted]]-B1619)/B1619</f>
        <v>6.7337283061527947E-2</v>
      </c>
    </row>
    <row r="1672" spans="1:5" x14ac:dyDescent="0.2">
      <c r="A1672" s="50">
        <v>41183</v>
      </c>
      <c r="B1672" s="51">
        <v>10245.4</v>
      </c>
      <c r="C1672" s="53">
        <f>(Table26[[#This Row],[M2 Money Stock, Billions of Dollars, Weekly, Seasonally Adjusted]]-B1671)/B1671</f>
        <v>4.7760549981855803E-3</v>
      </c>
      <c r="D1672" s="54">
        <f>((1+Table26[[#This Row],[Weekly change]])^52)-1</f>
        <v>0.28115711198684967</v>
      </c>
      <c r="E1672" s="57">
        <f>(Table26[[#This Row],[M2 Money Stock, Billions of Dollars, Weekly, Seasonally Adjusted]]-B1620)/B1620</f>
        <v>7.1358360347171357E-2</v>
      </c>
    </row>
    <row r="1673" spans="1:5" x14ac:dyDescent="0.2">
      <c r="A1673" s="50">
        <v>41190</v>
      </c>
      <c r="B1673" s="51">
        <v>10243.9</v>
      </c>
      <c r="C1673" s="53">
        <f>(Table26[[#This Row],[M2 Money Stock, Billions of Dollars, Weekly, Seasonally Adjusted]]-B1672)/B1672</f>
        <v>-1.4640716809494994E-4</v>
      </c>
      <c r="D1673" s="54">
        <f>((1+Table26[[#This Row],[Weekly change]])^52)-1</f>
        <v>-7.5848190839089558E-3</v>
      </c>
      <c r="E1673" s="57">
        <f>(Table26[[#This Row],[M2 Money Stock, Billions of Dollars, Weekly, Seasonally Adjusted]]-B1621)/B1621</f>
        <v>7.0339682572852447E-2</v>
      </c>
    </row>
    <row r="1674" spans="1:5" x14ac:dyDescent="0.2">
      <c r="A1674" s="50">
        <v>41197</v>
      </c>
      <c r="B1674" s="51">
        <v>10251.299999999999</v>
      </c>
      <c r="C1674" s="53">
        <f>(Table26[[#This Row],[M2 Money Stock, Billions of Dollars, Weekly, Seasonally Adjusted]]-B1673)/B1673</f>
        <v>7.223811243764227E-4</v>
      </c>
      <c r="D1674" s="54">
        <f>((1+Table26[[#This Row],[Weekly change]])^52)-1</f>
        <v>3.8264176126213467E-2</v>
      </c>
      <c r="E1674" s="57">
        <f>(Table26[[#This Row],[M2 Money Stock, Billions of Dollars, Weekly, Seasonally Adjusted]]-B1622)/B1622</f>
        <v>7.0117750219215721E-2</v>
      </c>
    </row>
    <row r="1675" spans="1:5" x14ac:dyDescent="0.2">
      <c r="A1675" s="50">
        <v>41204</v>
      </c>
      <c r="B1675" s="51">
        <v>10243.6</v>
      </c>
      <c r="C1675" s="53">
        <f>(Table26[[#This Row],[M2 Money Stock, Billions of Dollars, Weekly, Seasonally Adjusted]]-B1674)/B1674</f>
        <v>-7.5112424765628842E-4</v>
      </c>
      <c r="D1675" s="54">
        <f>((1+Table26[[#This Row],[Weekly change]])^52)-1</f>
        <v>-3.831962794525301E-2</v>
      </c>
      <c r="E1675" s="57">
        <f>(Table26[[#This Row],[M2 Money Stock, Billions of Dollars, Weekly, Seasonally Adjusted]]-B1623)/B1623</f>
        <v>7.1506276150627657E-2</v>
      </c>
    </row>
    <row r="1676" spans="1:5" x14ac:dyDescent="0.2">
      <c r="A1676" s="50">
        <v>41211</v>
      </c>
      <c r="B1676" s="51">
        <v>10287.700000000001</v>
      </c>
      <c r="C1676" s="53">
        <f>(Table26[[#This Row],[M2 Money Stock, Billions of Dollars, Weekly, Seasonally Adjusted]]-B1675)/B1675</f>
        <v>4.3051271037526226E-3</v>
      </c>
      <c r="D1676" s="54">
        <f>((1+Table26[[#This Row],[Weekly change]])^52)-1</f>
        <v>0.25030322375132497</v>
      </c>
      <c r="E1676" s="57">
        <f>(Table26[[#This Row],[M2 Money Stock, Billions of Dollars, Weekly, Seasonally Adjusted]]-B1624)/B1624</f>
        <v>7.4018394980529714E-2</v>
      </c>
    </row>
    <row r="1677" spans="1:5" x14ac:dyDescent="0.2">
      <c r="A1677" s="50">
        <v>41218</v>
      </c>
      <c r="B1677" s="51">
        <v>10336</v>
      </c>
      <c r="C1677" s="53">
        <f>(Table26[[#This Row],[M2 Money Stock, Billions of Dollars, Weekly, Seasonally Adjusted]]-B1676)/B1676</f>
        <v>4.6949269516023276E-3</v>
      </c>
      <c r="D1677" s="54">
        <f>((1+Table26[[#This Row],[Weekly change]])^52)-1</f>
        <v>0.27578909875216695</v>
      </c>
      <c r="E1677" s="57">
        <f>(Table26[[#This Row],[M2 Money Stock, Billions of Dollars, Weekly, Seasonally Adjusted]]-B1625)/B1625</f>
        <v>7.6397567274847991E-2</v>
      </c>
    </row>
    <row r="1678" spans="1:5" x14ac:dyDescent="0.2">
      <c r="A1678" s="50">
        <v>41225</v>
      </c>
      <c r="B1678" s="51">
        <v>10306.6</v>
      </c>
      <c r="C1678" s="53">
        <f>(Table26[[#This Row],[M2 Money Stock, Billions of Dollars, Weekly, Seasonally Adjusted]]-B1677)/B1677</f>
        <v>-2.8444272445820084E-3</v>
      </c>
      <c r="D1678" s="54">
        <f>((1+Table26[[#This Row],[Weekly change]])^52)-1</f>
        <v>-0.13767321255758891</v>
      </c>
      <c r="E1678" s="57">
        <f>(Table26[[#This Row],[M2 Money Stock, Billions of Dollars, Weekly, Seasonally Adjusted]]-B1626)/B1626</f>
        <v>7.1316459643469707E-2</v>
      </c>
    </row>
    <row r="1679" spans="1:5" x14ac:dyDescent="0.2">
      <c r="A1679" s="50">
        <v>41232</v>
      </c>
      <c r="B1679" s="51">
        <v>10297</v>
      </c>
      <c r="C1679" s="53">
        <f>(Table26[[#This Row],[M2 Money Stock, Billions of Dollars, Weekly, Seasonally Adjusted]]-B1678)/B1678</f>
        <v>-9.3144198862868096E-4</v>
      </c>
      <c r="D1679" s="54">
        <f>((1+Table26[[#This Row],[Weekly change]])^52)-1</f>
        <v>-4.7302223927750409E-2</v>
      </c>
      <c r="E1679" s="57">
        <f>(Table26[[#This Row],[M2 Money Stock, Billions of Dollars, Weekly, Seasonally Adjusted]]-B1627)/B1627</f>
        <v>7.1733383292741398E-2</v>
      </c>
    </row>
    <row r="1680" spans="1:5" x14ac:dyDescent="0.2">
      <c r="A1680" s="50">
        <v>41239</v>
      </c>
      <c r="B1680" s="51">
        <v>10321</v>
      </c>
      <c r="C1680" s="53">
        <f>(Table26[[#This Row],[M2 Money Stock, Billions of Dollars, Weekly, Seasonally Adjusted]]-B1679)/B1679</f>
        <v>2.3307759541614063E-3</v>
      </c>
      <c r="D1680" s="54">
        <f>((1+Table26[[#This Row],[Weekly change]])^52)-1</f>
        <v>0.12869186808218891</v>
      </c>
      <c r="E1680" s="57">
        <f>(Table26[[#This Row],[M2 Money Stock, Billions of Dollars, Weekly, Seasonally Adjusted]]-B1628)/B1628</f>
        <v>7.3438101280304563E-2</v>
      </c>
    </row>
    <row r="1681" spans="1:5" x14ac:dyDescent="0.2">
      <c r="A1681" s="50">
        <v>41246</v>
      </c>
      <c r="B1681" s="51">
        <v>10361.200000000001</v>
      </c>
      <c r="C1681" s="53">
        <f>(Table26[[#This Row],[M2 Money Stock, Billions of Dollars, Weekly, Seasonally Adjusted]]-B1680)/B1680</f>
        <v>3.894971417498375E-3</v>
      </c>
      <c r="D1681" s="54">
        <f>((1+Table26[[#This Row],[Weekly change]])^52)-1</f>
        <v>0.22402559410767608</v>
      </c>
      <c r="E1681" s="57">
        <f>(Table26[[#This Row],[M2 Money Stock, Billions of Dollars, Weekly, Seasonally Adjusted]]-B1629)/B1629</f>
        <v>7.6443576370852237E-2</v>
      </c>
    </row>
    <row r="1682" spans="1:5" x14ac:dyDescent="0.2">
      <c r="A1682" s="50">
        <v>41253</v>
      </c>
      <c r="B1682" s="51">
        <v>10393.5</v>
      </c>
      <c r="C1682" s="53">
        <f>(Table26[[#This Row],[M2 Money Stock, Billions of Dollars, Weekly, Seasonally Adjusted]]-B1681)/B1681</f>
        <v>3.1173995290120133E-3</v>
      </c>
      <c r="D1682" s="54">
        <f>((1+Table26[[#This Row],[Weekly change]])^52)-1</f>
        <v>0.17568696372028914</v>
      </c>
      <c r="E1682" s="57">
        <f>(Table26[[#This Row],[M2 Money Stock, Billions of Dollars, Weekly, Seasonally Adjusted]]-B1630)/B1630</f>
        <v>7.7403905958452632E-2</v>
      </c>
    </row>
    <row r="1683" spans="1:5" x14ac:dyDescent="0.2">
      <c r="A1683" s="50">
        <v>41260</v>
      </c>
      <c r="B1683" s="51">
        <v>10440.299999999999</v>
      </c>
      <c r="C1683" s="53">
        <f>(Table26[[#This Row],[M2 Money Stock, Billions of Dollars, Weekly, Seasonally Adjusted]]-B1682)/B1682</f>
        <v>4.5028142589117496E-3</v>
      </c>
      <c r="D1683" s="54">
        <f>((1+Table26[[#This Row],[Weekly change]])^52)-1</f>
        <v>0.26316535835428878</v>
      </c>
      <c r="E1683" s="57">
        <f>(Table26[[#This Row],[M2 Money Stock, Billions of Dollars, Weekly, Seasonally Adjusted]]-B1631)/B1631</f>
        <v>8.3175979914095297E-2</v>
      </c>
    </row>
    <row r="1684" spans="1:5" x14ac:dyDescent="0.2">
      <c r="A1684" s="50">
        <v>41267</v>
      </c>
      <c r="B1684" s="51">
        <v>10470.799999999999</v>
      </c>
      <c r="C1684" s="53">
        <f>(Table26[[#This Row],[M2 Money Stock, Billions of Dollars, Weekly, Seasonally Adjusted]]-B1683)/B1683</f>
        <v>2.9213719912263058E-3</v>
      </c>
      <c r="D1684" s="54">
        <f>((1+Table26[[#This Row],[Weekly change]])^52)-1</f>
        <v>0.16379926301770542</v>
      </c>
      <c r="E1684" s="57">
        <f>(Table26[[#This Row],[M2 Money Stock, Billions of Dollars, Weekly, Seasonally Adjusted]]-B1632)/B1632</f>
        <v>8.6250181546569257E-2</v>
      </c>
    </row>
    <row r="1685" spans="1:5" x14ac:dyDescent="0.2">
      <c r="A1685" s="50">
        <v>41274</v>
      </c>
      <c r="B1685" s="51">
        <v>10514.4</v>
      </c>
      <c r="C1685" s="53">
        <f>(Table26[[#This Row],[M2 Money Stock, Billions of Dollars, Weekly, Seasonally Adjusted]]-B1684)/B1684</f>
        <v>4.1639607288841696E-3</v>
      </c>
      <c r="D1685" s="54">
        <f>((1+Table26[[#This Row],[Weekly change]])^52)-1</f>
        <v>0.2411972061100176</v>
      </c>
      <c r="E1685" s="57">
        <f>(Table26[[#This Row],[M2 Money Stock, Billions of Dollars, Weekly, Seasonally Adjusted]]-B1633)/B1633</f>
        <v>8.2118046621725893E-2</v>
      </c>
    </row>
    <row r="1686" spans="1:5" x14ac:dyDescent="0.2">
      <c r="A1686" s="50">
        <v>41281</v>
      </c>
      <c r="B1686" s="51">
        <v>10500.5</v>
      </c>
      <c r="C1686" s="53">
        <f>(Table26[[#This Row],[M2 Money Stock, Billions of Dollars, Weekly, Seasonally Adjusted]]-B1685)/B1685</f>
        <v>-1.3219965000380086E-3</v>
      </c>
      <c r="D1686" s="54">
        <f>((1+Table26[[#This Row],[Weekly change]])^52)-1</f>
        <v>-6.6476645061362749E-2</v>
      </c>
      <c r="E1686" s="57">
        <f>(Table26[[#This Row],[M2 Money Stock, Billions of Dollars, Weekly, Seasonally Adjusted]]-B1634)/B1634</f>
        <v>7.9865074712821033E-2</v>
      </c>
    </row>
    <row r="1687" spans="1:5" x14ac:dyDescent="0.2">
      <c r="A1687" s="50">
        <v>41288</v>
      </c>
      <c r="B1687" s="51">
        <v>10472.700000000001</v>
      </c>
      <c r="C1687" s="53">
        <f>(Table26[[#This Row],[M2 Money Stock, Billions of Dollars, Weekly, Seasonally Adjusted]]-B1686)/B1686</f>
        <v>-2.6474929765248579E-3</v>
      </c>
      <c r="D1687" s="54">
        <f>((1+Table26[[#This Row],[Weekly change]])^52)-1</f>
        <v>-0.12877254753601153</v>
      </c>
      <c r="E1687" s="57">
        <f>(Table26[[#This Row],[M2 Money Stock, Billions of Dollars, Weekly, Seasonally Adjusted]]-B1635)/B1635</f>
        <v>7.5977068179016144E-2</v>
      </c>
    </row>
    <row r="1688" spans="1:5" x14ac:dyDescent="0.2">
      <c r="A1688" s="50">
        <v>41295</v>
      </c>
      <c r="B1688" s="51">
        <v>10454.5</v>
      </c>
      <c r="C1688" s="53">
        <f>(Table26[[#This Row],[M2 Money Stock, Billions of Dollars, Weekly, Seasonally Adjusted]]-B1687)/B1687</f>
        <v>-1.7378517478778849E-3</v>
      </c>
      <c r="D1688" s="54">
        <f>((1+Table26[[#This Row],[Weekly change]])^52)-1</f>
        <v>-8.6477164192375722E-2</v>
      </c>
      <c r="E1688" s="57">
        <f>(Table26[[#This Row],[M2 Money Stock, Billions of Dollars, Weekly, Seasonally Adjusted]]-B1636)/B1636</f>
        <v>7.4570870593072255E-2</v>
      </c>
    </row>
    <row r="1689" spans="1:5" x14ac:dyDescent="0.2">
      <c r="A1689" s="50">
        <v>41302</v>
      </c>
      <c r="B1689" s="51">
        <v>10462.200000000001</v>
      </c>
      <c r="C1689" s="53">
        <f>(Table26[[#This Row],[M2 Money Stock, Billions of Dollars, Weekly, Seasonally Adjusted]]-B1688)/B1688</f>
        <v>7.3652494141285838E-4</v>
      </c>
      <c r="D1689" s="54">
        <f>((1+Table26[[#This Row],[Weekly change]])^52)-1</f>
        <v>3.902752094371098E-2</v>
      </c>
      <c r="E1689" s="57">
        <f>(Table26[[#This Row],[M2 Money Stock, Billions of Dollars, Weekly, Seasonally Adjusted]]-B1637)/B1637</f>
        <v>7.4589153656532528E-2</v>
      </c>
    </row>
    <row r="1690" spans="1:5" x14ac:dyDescent="0.2">
      <c r="A1690" s="50">
        <v>41309</v>
      </c>
      <c r="B1690" s="51">
        <v>10458.9</v>
      </c>
      <c r="C1690" s="53">
        <f>(Table26[[#This Row],[M2 Money Stock, Billions of Dollars, Weekly, Seasonally Adjusted]]-B1689)/B1689</f>
        <v>-3.1542123071639724E-4</v>
      </c>
      <c r="D1690" s="54">
        <f>((1+Table26[[#This Row],[Weekly change]])^52)-1</f>
        <v>-1.6270670382273811E-2</v>
      </c>
      <c r="E1690" s="57">
        <f>(Table26[[#This Row],[M2 Money Stock, Billions of Dollars, Weekly, Seasonally Adjusted]]-B1638)/B1638</f>
        <v>7.2542685740655241E-2</v>
      </c>
    </row>
    <row r="1691" spans="1:5" x14ac:dyDescent="0.2">
      <c r="A1691" s="50">
        <v>41316</v>
      </c>
      <c r="B1691" s="51">
        <v>10472.4</v>
      </c>
      <c r="C1691" s="53">
        <f>(Table26[[#This Row],[M2 Money Stock, Billions of Dollars, Weekly, Seasonally Adjusted]]-B1690)/B1690</f>
        <v>1.2907667154289648E-3</v>
      </c>
      <c r="D1691" s="54">
        <f>((1+Table26[[#This Row],[Weekly change]])^52)-1</f>
        <v>6.9377376935650714E-2</v>
      </c>
      <c r="E1691" s="57">
        <f>(Table26[[#This Row],[M2 Money Stock, Billions of Dollars, Weekly, Seasonally Adjusted]]-B1639)/B1639</f>
        <v>7.1674171101105161E-2</v>
      </c>
    </row>
    <row r="1692" spans="1:5" x14ac:dyDescent="0.2">
      <c r="A1692" s="50">
        <v>41323</v>
      </c>
      <c r="B1692" s="51">
        <v>10455.4</v>
      </c>
      <c r="C1692" s="53">
        <f>(Table26[[#This Row],[M2 Money Stock, Billions of Dollars, Weekly, Seasonally Adjusted]]-B1691)/B1691</f>
        <v>-1.6233146174706849E-3</v>
      </c>
      <c r="D1692" s="54">
        <f>((1+Table26[[#This Row],[Weekly change]])^52)-1</f>
        <v>-8.1010836442118261E-2</v>
      </c>
      <c r="E1692" s="57">
        <f>(Table26[[#This Row],[M2 Money Stock, Billions of Dollars, Weekly, Seasonally Adjusted]]-B1640)/B1640</f>
        <v>6.9267035518147627E-2</v>
      </c>
    </row>
    <row r="1693" spans="1:5" x14ac:dyDescent="0.2">
      <c r="A1693" s="50">
        <v>41330</v>
      </c>
      <c r="B1693" s="51">
        <v>10467.6</v>
      </c>
      <c r="C1693" s="53">
        <f>(Table26[[#This Row],[M2 Money Stock, Billions of Dollars, Weekly, Seasonally Adjusted]]-B1692)/B1692</f>
        <v>1.1668611435239904E-3</v>
      </c>
      <c r="D1693" s="54">
        <f>((1+Table26[[#This Row],[Weekly change]])^52)-1</f>
        <v>6.2517833652294463E-2</v>
      </c>
      <c r="E1693" s="57">
        <f>(Table26[[#This Row],[M2 Money Stock, Billions of Dollars, Weekly, Seasonally Adjusted]]-B1641)/B1641</f>
        <v>7.0339580968741336E-2</v>
      </c>
    </row>
    <row r="1694" spans="1:5" x14ac:dyDescent="0.2">
      <c r="A1694" s="50">
        <v>41337</v>
      </c>
      <c r="B1694" s="51">
        <v>10502.1</v>
      </c>
      <c r="C1694" s="53">
        <f>(Table26[[#This Row],[M2 Money Stock, Billions of Dollars, Weekly, Seasonally Adjusted]]-B1693)/B1693</f>
        <v>3.2958844434254268E-3</v>
      </c>
      <c r="D1694" s="54">
        <f>((1+Table26[[#This Row],[Weekly change]])^52)-1</f>
        <v>0.18661435919898106</v>
      </c>
      <c r="E1694" s="57">
        <f>(Table26[[#This Row],[M2 Money Stock, Billions of Dollars, Weekly, Seasonally Adjusted]]-B1642)/B1642</f>
        <v>7.1511651634493689E-2</v>
      </c>
    </row>
    <row r="1695" spans="1:5" x14ac:dyDescent="0.2">
      <c r="A1695" s="50">
        <v>41344</v>
      </c>
      <c r="B1695" s="51">
        <v>10512.6</v>
      </c>
      <c r="C1695" s="53">
        <f>(Table26[[#This Row],[M2 Money Stock, Billions of Dollars, Weekly, Seasonally Adjusted]]-B1694)/B1694</f>
        <v>9.9980003999200159E-4</v>
      </c>
      <c r="D1695" s="54">
        <f>((1+Table26[[#This Row],[Weekly change]])^52)-1</f>
        <v>5.3337431709323146E-2</v>
      </c>
      <c r="E1695" s="57">
        <f>(Table26[[#This Row],[M2 Money Stock, Billions of Dollars, Weekly, Seasonally Adjusted]]-B1643)/B1643</f>
        <v>7.1522490291410654E-2</v>
      </c>
    </row>
    <row r="1696" spans="1:5" x14ac:dyDescent="0.2">
      <c r="A1696" s="50">
        <v>41351</v>
      </c>
      <c r="B1696" s="51">
        <v>10530.7</v>
      </c>
      <c r="C1696" s="53">
        <f>(Table26[[#This Row],[M2 Money Stock, Billions of Dollars, Weekly, Seasonally Adjusted]]-B1695)/B1695</f>
        <v>1.7217434316915286E-3</v>
      </c>
      <c r="D1696" s="54">
        <f>((1+Table26[[#This Row],[Weekly change]])^52)-1</f>
        <v>9.3576669345965646E-2</v>
      </c>
      <c r="E1696" s="57">
        <f>(Table26[[#This Row],[M2 Money Stock, Billions of Dollars, Weekly, Seasonally Adjusted]]-B1644)/B1644</f>
        <v>7.3969445407632645E-2</v>
      </c>
    </row>
    <row r="1697" spans="1:5" x14ac:dyDescent="0.2">
      <c r="A1697" s="50">
        <v>41358</v>
      </c>
      <c r="B1697" s="51">
        <v>10548.2</v>
      </c>
      <c r="C1697" s="53">
        <f>(Table26[[#This Row],[M2 Money Stock, Billions of Dollars, Weekly, Seasonally Adjusted]]-B1696)/B1696</f>
        <v>1.6618078570275478E-3</v>
      </c>
      <c r="D1697" s="54">
        <f>((1+Table26[[#This Row],[Weekly change]])^52)-1</f>
        <v>9.0179417901099734E-2</v>
      </c>
      <c r="E1697" s="57">
        <f>(Table26[[#This Row],[M2 Money Stock, Billions of Dollars, Weekly, Seasonally Adjusted]]-B1645)/B1645</f>
        <v>7.3466106265837758E-2</v>
      </c>
    </row>
    <row r="1698" spans="1:5" x14ac:dyDescent="0.2">
      <c r="A1698" s="50">
        <v>41365</v>
      </c>
      <c r="B1698" s="51">
        <v>10597</v>
      </c>
      <c r="C1698" s="53">
        <f>(Table26[[#This Row],[M2 Money Stock, Billions of Dollars, Weekly, Seasonally Adjusted]]-B1697)/B1697</f>
        <v>4.6263817523368219E-3</v>
      </c>
      <c r="D1698" s="54">
        <f>((1+Table26[[#This Row],[Weekly change]])^52)-1</f>
        <v>0.27127085445382848</v>
      </c>
      <c r="E1698" s="57">
        <f>(Table26[[#This Row],[M2 Money Stock, Billions of Dollars, Weekly, Seasonally Adjusted]]-B1646)/B1646</f>
        <v>7.5924948219144625E-2</v>
      </c>
    </row>
    <row r="1699" spans="1:5" x14ac:dyDescent="0.2">
      <c r="A1699" s="50">
        <v>41372</v>
      </c>
      <c r="B1699" s="51">
        <v>10564.5</v>
      </c>
      <c r="C1699" s="53">
        <f>(Table26[[#This Row],[M2 Money Stock, Billions of Dollars, Weekly, Seasonally Adjusted]]-B1698)/B1698</f>
        <v>-3.0669057280362367E-3</v>
      </c>
      <c r="D1699" s="54">
        <f>((1+Table26[[#This Row],[Weekly change]])^52)-1</f>
        <v>-0.14762111705162417</v>
      </c>
      <c r="E1699" s="57">
        <f>(Table26[[#This Row],[M2 Money Stock, Billions of Dollars, Weekly, Seasonally Adjusted]]-B1647)/B1647</f>
        <v>7.0831263873825392E-2</v>
      </c>
    </row>
    <row r="1700" spans="1:5" x14ac:dyDescent="0.2">
      <c r="A1700" s="50">
        <v>41379</v>
      </c>
      <c r="B1700" s="51">
        <v>10574.3</v>
      </c>
      <c r="C1700" s="53">
        <f>(Table26[[#This Row],[M2 Money Stock, Billions of Dollars, Weekly, Seasonally Adjusted]]-B1699)/B1699</f>
        <v>9.2763500402283806E-4</v>
      </c>
      <c r="D1700" s="54">
        <f>((1+Table26[[#This Row],[Weekly change]])^52)-1</f>
        <v>4.9395895375393017E-2</v>
      </c>
      <c r="E1700" s="57">
        <f>(Table26[[#This Row],[M2 Money Stock, Billions of Dollars, Weekly, Seasonally Adjusted]]-B1648)/B1648</f>
        <v>7.0240782162484944E-2</v>
      </c>
    </row>
    <row r="1701" spans="1:5" x14ac:dyDescent="0.2">
      <c r="A1701" s="50">
        <v>41386</v>
      </c>
      <c r="B1701" s="51">
        <v>10572.2</v>
      </c>
      <c r="C1701" s="53">
        <f>(Table26[[#This Row],[M2 Money Stock, Billions of Dollars, Weekly, Seasonally Adjusted]]-B1700)/B1700</f>
        <v>-1.9859470603241302E-4</v>
      </c>
      <c r="D1701" s="54">
        <f>((1+Table26[[#This Row],[Weekly change]])^52)-1</f>
        <v>-1.0274800141928497E-2</v>
      </c>
      <c r="E1701" s="57">
        <f>(Table26[[#This Row],[M2 Money Stock, Billions of Dollars, Weekly, Seasonally Adjusted]]-B1649)/B1649</f>
        <v>7.1796431467964383E-2</v>
      </c>
    </row>
    <row r="1702" spans="1:5" x14ac:dyDescent="0.2">
      <c r="A1702" s="50">
        <v>41393</v>
      </c>
      <c r="B1702" s="51">
        <v>10583.6</v>
      </c>
      <c r="C1702" s="53">
        <f>(Table26[[#This Row],[M2 Money Stock, Billions of Dollars, Weekly, Seasonally Adjusted]]-B1701)/B1701</f>
        <v>1.0782996916440888E-3</v>
      </c>
      <c r="D1702" s="54">
        <f>((1+Table26[[#This Row],[Weekly change]])^52)-1</f>
        <v>5.7641442422527334E-2</v>
      </c>
      <c r="E1702" s="57">
        <f>(Table26[[#This Row],[M2 Money Stock, Billions of Dollars, Weekly, Seasonally Adjusted]]-B1650)/B1650</f>
        <v>7.0661905291802815E-2</v>
      </c>
    </row>
    <row r="1703" spans="1:5" x14ac:dyDescent="0.2">
      <c r="A1703" s="50">
        <v>41400</v>
      </c>
      <c r="B1703" s="51">
        <v>10592.4</v>
      </c>
      <c r="C1703" s="53">
        <f>(Table26[[#This Row],[M2 Money Stock, Billions of Dollars, Weekly, Seasonally Adjusted]]-B1702)/B1702</f>
        <v>8.3147511243804307E-4</v>
      </c>
      <c r="D1703" s="54">
        <f>((1+Table26[[#This Row],[Weekly change]])^52)-1</f>
        <v>4.4166271514476829E-2</v>
      </c>
      <c r="E1703" s="57">
        <f>(Table26[[#This Row],[M2 Money Stock, Billions of Dollars, Weekly, Seasonally Adjusted]]-B1651)/B1651</f>
        <v>7.0004242681374632E-2</v>
      </c>
    </row>
    <row r="1704" spans="1:5" x14ac:dyDescent="0.2">
      <c r="A1704" s="50">
        <v>41407</v>
      </c>
      <c r="B1704" s="51">
        <v>10607.6</v>
      </c>
      <c r="C1704" s="53">
        <f>(Table26[[#This Row],[M2 Money Stock, Billions of Dollars, Weekly, Seasonally Adjusted]]-B1703)/B1703</f>
        <v>1.434991125712844E-3</v>
      </c>
      <c r="D1704" s="54">
        <f>((1+Table26[[#This Row],[Weekly change]])^52)-1</f>
        <v>7.7416505085019516E-2</v>
      </c>
      <c r="E1704" s="57">
        <f>(Table26[[#This Row],[M2 Money Stock, Billions of Dollars, Weekly, Seasonally Adjusted]]-B1652)/B1652</f>
        <v>7.1777876571151394E-2</v>
      </c>
    </row>
    <row r="1705" spans="1:5" x14ac:dyDescent="0.2">
      <c r="A1705" s="50">
        <v>41414</v>
      </c>
      <c r="B1705" s="51">
        <v>10604.1</v>
      </c>
      <c r="C1705" s="53">
        <f>(Table26[[#This Row],[M2 Money Stock, Billions of Dollars, Weekly, Seasonally Adjusted]]-B1704)/B1704</f>
        <v>-3.2995210980806211E-4</v>
      </c>
      <c r="D1705" s="54">
        <f>((1+Table26[[#This Row],[Weekly change]])^52)-1</f>
        <v>-1.7013940881952738E-2</v>
      </c>
      <c r="E1705" s="57">
        <f>(Table26[[#This Row],[M2 Money Stock, Billions of Dollars, Weekly, Seasonally Adjusted]]-B1653)/B1653</f>
        <v>7.0504860837699468E-2</v>
      </c>
    </row>
    <row r="1706" spans="1:5" x14ac:dyDescent="0.2">
      <c r="A1706" s="50">
        <v>41421</v>
      </c>
      <c r="B1706" s="51">
        <v>10622</v>
      </c>
      <c r="C1706" s="53">
        <f>(Table26[[#This Row],[M2 Money Stock, Billions of Dollars, Weekly, Seasonally Adjusted]]-B1705)/B1705</f>
        <v>1.6880263294385791E-3</v>
      </c>
      <c r="D1706" s="54">
        <f>((1+Table26[[#This Row],[Weekly change]])^52)-1</f>
        <v>9.1664250508713296E-2</v>
      </c>
      <c r="E1706" s="57">
        <f>(Table26[[#This Row],[M2 Money Stock, Billions of Dollars, Weekly, Seasonally Adjusted]]-B1654)/B1654</f>
        <v>7.2301076137212622E-2</v>
      </c>
    </row>
    <row r="1707" spans="1:5" x14ac:dyDescent="0.2">
      <c r="A1707" s="50">
        <v>41428</v>
      </c>
      <c r="B1707" s="51">
        <v>10640.2</v>
      </c>
      <c r="C1707" s="53">
        <f>(Table26[[#This Row],[M2 Money Stock, Billions of Dollars, Weekly, Seasonally Adjusted]]-B1706)/B1706</f>
        <v>1.7134249670495883E-3</v>
      </c>
      <c r="D1707" s="54">
        <f>((1+Table26[[#This Row],[Weekly change]])^52)-1</f>
        <v>9.3104544677760748E-2</v>
      </c>
      <c r="E1707" s="57">
        <f>(Table26[[#This Row],[M2 Money Stock, Billions of Dollars, Weekly, Seasonally Adjusted]]-B1655)/B1655</f>
        <v>7.2644058228154396E-2</v>
      </c>
    </row>
    <row r="1708" spans="1:5" x14ac:dyDescent="0.2">
      <c r="A1708" s="50">
        <v>41435</v>
      </c>
      <c r="B1708" s="51">
        <v>10658.9</v>
      </c>
      <c r="C1708" s="53">
        <f>(Table26[[#This Row],[M2 Money Stock, Billions of Dollars, Weekly, Seasonally Adjusted]]-B1707)/B1707</f>
        <v>1.757485761545733E-3</v>
      </c>
      <c r="D1708" s="54">
        <f>((1+Table26[[#This Row],[Weekly change]])^52)-1</f>
        <v>9.5607545972667962E-2</v>
      </c>
      <c r="E1708" s="57">
        <f>(Table26[[#This Row],[M2 Money Stock, Billions of Dollars, Weekly, Seasonally Adjusted]]-B1656)/B1656</f>
        <v>6.8915029533579919E-2</v>
      </c>
    </row>
    <row r="1709" spans="1:5" x14ac:dyDescent="0.2">
      <c r="A1709" s="50">
        <v>41442</v>
      </c>
      <c r="B1709" s="51">
        <v>10659.1</v>
      </c>
      <c r="C1709" s="53">
        <f>(Table26[[#This Row],[M2 Money Stock, Billions of Dollars, Weekly, Seasonally Adjusted]]-B1708)/B1708</f>
        <v>1.8763662291674339E-5</v>
      </c>
      <c r="D1709" s="54">
        <f>((1+Table26[[#This Row],[Weekly change]])^52)-1</f>
        <v>9.7617743668010348E-4</v>
      </c>
      <c r="E1709" s="57">
        <f>(Table26[[#This Row],[M2 Money Stock, Billions of Dollars, Weekly, Seasonally Adjusted]]-B1657)/B1657</f>
        <v>6.8635019299213035E-2</v>
      </c>
    </row>
    <row r="1710" spans="1:5" x14ac:dyDescent="0.2">
      <c r="A1710" s="50">
        <v>41449</v>
      </c>
      <c r="B1710" s="51">
        <v>10655.1</v>
      </c>
      <c r="C1710" s="53">
        <f>(Table26[[#This Row],[M2 Money Stock, Billions of Dollars, Weekly, Seasonally Adjusted]]-B1709)/B1709</f>
        <v>-3.7526620446379151E-4</v>
      </c>
      <c r="D1710" s="54">
        <f>((1+Table26[[#This Row],[Weekly change]])^52)-1</f>
        <v>-1.9328271611578018E-2</v>
      </c>
      <c r="E1710" s="57">
        <f>(Table26[[#This Row],[M2 Money Stock, Billions of Dollars, Weekly, Seasonally Adjusted]]-B1658)/B1658</f>
        <v>6.7527627215437175E-2</v>
      </c>
    </row>
    <row r="1711" spans="1:5" x14ac:dyDescent="0.2">
      <c r="A1711" s="50">
        <v>41456</v>
      </c>
      <c r="B1711" s="51">
        <v>10707.1</v>
      </c>
      <c r="C1711" s="53">
        <f>(Table26[[#This Row],[M2 Money Stock, Billions of Dollars, Weekly, Seasonally Adjusted]]-B1710)/B1710</f>
        <v>4.8802920667098387E-3</v>
      </c>
      <c r="D1711" s="54">
        <f>((1+Table26[[#This Row],[Weekly change]])^52)-1</f>
        <v>0.28808670936084235</v>
      </c>
      <c r="E1711" s="57">
        <f>(Table26[[#This Row],[M2 Money Stock, Billions of Dollars, Weekly, Seasonally Adjusted]]-B1659)/B1659</f>
        <v>6.9918260487239522E-2</v>
      </c>
    </row>
    <row r="1712" spans="1:5" x14ac:dyDescent="0.2">
      <c r="A1712" s="50">
        <v>41463</v>
      </c>
      <c r="B1712" s="51">
        <v>10683.9</v>
      </c>
      <c r="C1712" s="53">
        <f>(Table26[[#This Row],[M2 Money Stock, Billions of Dollars, Weekly, Seasonally Adjusted]]-B1711)/B1711</f>
        <v>-2.166786524829387E-3</v>
      </c>
      <c r="D1712" s="54">
        <f>((1+Table26[[#This Row],[Weekly change]])^52)-1</f>
        <v>-0.10666635473651198</v>
      </c>
      <c r="E1712" s="57">
        <f>(Table26[[#This Row],[M2 Money Stock, Billions of Dollars, Weekly, Seasonally Adjusted]]-B1660)/B1660</f>
        <v>6.5151938108151217E-2</v>
      </c>
    </row>
    <row r="1713" spans="1:5" x14ac:dyDescent="0.2">
      <c r="A1713" s="50">
        <v>41470</v>
      </c>
      <c r="B1713" s="51">
        <v>10711.6</v>
      </c>
      <c r="C1713" s="53">
        <f>(Table26[[#This Row],[M2 Money Stock, Billions of Dollars, Weekly, Seasonally Adjusted]]-B1712)/B1712</f>
        <v>2.5926861913721328E-3</v>
      </c>
      <c r="D1713" s="54">
        <f>((1+Table26[[#This Row],[Weekly change]])^52)-1</f>
        <v>0.14413078718815386</v>
      </c>
      <c r="E1713" s="57">
        <f>(Table26[[#This Row],[M2 Money Stock, Billions of Dollars, Weekly, Seasonally Adjusted]]-B1661)/B1661</f>
        <v>6.5703597580388365E-2</v>
      </c>
    </row>
    <row r="1714" spans="1:5" x14ac:dyDescent="0.2">
      <c r="A1714" s="50">
        <v>41477</v>
      </c>
      <c r="B1714" s="51">
        <v>10736.8</v>
      </c>
      <c r="C1714" s="53">
        <f>(Table26[[#This Row],[M2 Money Stock, Billions of Dollars, Weekly, Seasonally Adjusted]]-B1713)/B1713</f>
        <v>2.3525897158219976E-3</v>
      </c>
      <c r="D1714" s="54">
        <f>((1+Table26[[#This Row],[Weekly change]])^52)-1</f>
        <v>0.12996989285930605</v>
      </c>
      <c r="E1714" s="57">
        <f>(Table26[[#This Row],[M2 Money Stock, Billions of Dollars, Weekly, Seasonally Adjusted]]-B1662)/B1662</f>
        <v>6.8657310639991961E-2</v>
      </c>
    </row>
    <row r="1715" spans="1:5" x14ac:dyDescent="0.2">
      <c r="A1715" s="50">
        <v>41484</v>
      </c>
      <c r="B1715" s="51">
        <v>10747</v>
      </c>
      <c r="C1715" s="53">
        <f>(Table26[[#This Row],[M2 Money Stock, Billions of Dollars, Weekly, Seasonally Adjusted]]-B1714)/B1714</f>
        <v>9.5000372550487378E-4</v>
      </c>
      <c r="D1715" s="54">
        <f>((1+Table26[[#This Row],[Weekly change]])^52)-1</f>
        <v>5.0616088859509967E-2</v>
      </c>
      <c r="E1715" s="57">
        <f>(Table26[[#This Row],[M2 Money Stock, Billions of Dollars, Weekly, Seasonally Adjusted]]-B1663)/B1663</f>
        <v>6.7727737871697891E-2</v>
      </c>
    </row>
    <row r="1716" spans="1:5" x14ac:dyDescent="0.2">
      <c r="A1716" s="50">
        <v>41491</v>
      </c>
      <c r="B1716" s="51">
        <v>10758.7</v>
      </c>
      <c r="C1716" s="53">
        <f>(Table26[[#This Row],[M2 Money Stock, Billions of Dollars, Weekly, Seasonally Adjusted]]-B1715)/B1715</f>
        <v>1.088675909556223E-3</v>
      </c>
      <c r="D1716" s="54">
        <f>((1+Table26[[#This Row],[Weekly change]])^52)-1</f>
        <v>5.8211642973163613E-2</v>
      </c>
      <c r="E1716" s="57">
        <f>(Table26[[#This Row],[M2 Money Stock, Billions of Dollars, Weekly, Seasonally Adjusted]]-B1664)/B1664</f>
        <v>6.7532570623431043E-2</v>
      </c>
    </row>
    <row r="1717" spans="1:5" x14ac:dyDescent="0.2">
      <c r="A1717" s="50">
        <v>41498</v>
      </c>
      <c r="B1717" s="51">
        <v>10773.7</v>
      </c>
      <c r="C1717" s="53">
        <f>(Table26[[#This Row],[M2 Money Stock, Billions of Dollars, Weekly, Seasonally Adjusted]]-B1716)/B1716</f>
        <v>1.3942204913233011E-3</v>
      </c>
      <c r="D1717" s="54">
        <f>((1+Table26[[#This Row],[Weekly change]])^52)-1</f>
        <v>7.5137942933712454E-2</v>
      </c>
      <c r="E1717" s="57">
        <f>(Table26[[#This Row],[M2 Money Stock, Billions of Dollars, Weekly, Seasonally Adjusted]]-B1665)/B1665</f>
        <v>6.5100047453337542E-2</v>
      </c>
    </row>
    <row r="1718" spans="1:5" x14ac:dyDescent="0.2">
      <c r="A1718" s="50">
        <v>41505</v>
      </c>
      <c r="B1718" s="51">
        <v>10764.1</v>
      </c>
      <c r="C1718" s="53">
        <f>(Table26[[#This Row],[M2 Money Stock, Billions of Dollars, Weekly, Seasonally Adjusted]]-B1717)/B1717</f>
        <v>-8.9105878203406101E-4</v>
      </c>
      <c r="D1718" s="54">
        <f>((1+Table26[[#This Row],[Weekly change]])^52)-1</f>
        <v>-4.5297697822692884E-2</v>
      </c>
      <c r="E1718" s="57">
        <f>(Table26[[#This Row],[M2 Money Stock, Billions of Dollars, Weekly, Seasonally Adjusted]]-B1666)/B1666</f>
        <v>6.4424579237782567E-2</v>
      </c>
    </row>
    <row r="1719" spans="1:5" x14ac:dyDescent="0.2">
      <c r="A1719" s="50">
        <v>41512</v>
      </c>
      <c r="B1719" s="51">
        <v>10796.5</v>
      </c>
      <c r="C1719" s="53">
        <f>(Table26[[#This Row],[M2 Money Stock, Billions of Dollars, Weekly, Seasonally Adjusted]]-B1718)/B1718</f>
        <v>3.0100054811827868E-3</v>
      </c>
      <c r="D1719" s="54">
        <f>((1+Table26[[#This Row],[Weekly change]])^52)-1</f>
        <v>0.1691595919095914</v>
      </c>
      <c r="E1719" s="57">
        <f>(Table26[[#This Row],[M2 Money Stock, Billions of Dollars, Weekly, Seasonally Adjusted]]-B1667)/B1667</f>
        <v>6.5289892252437226E-2</v>
      </c>
    </row>
    <row r="1720" spans="1:5" x14ac:dyDescent="0.2">
      <c r="A1720" s="50">
        <v>41519</v>
      </c>
      <c r="B1720" s="51">
        <v>10811.6</v>
      </c>
      <c r="C1720" s="53">
        <f>(Table26[[#This Row],[M2 Money Stock, Billions of Dollars, Weekly, Seasonally Adjusted]]-B1719)/B1719</f>
        <v>1.3986013986014322E-3</v>
      </c>
      <c r="D1720" s="54">
        <f>((1+Table26[[#This Row],[Weekly change]])^52)-1</f>
        <v>7.5382553359222948E-2</v>
      </c>
      <c r="E1720" s="57">
        <f>(Table26[[#This Row],[M2 Money Stock, Billions of Dollars, Weekly, Seasonally Adjusted]]-B1668)/B1668</f>
        <v>6.3934894065086331E-2</v>
      </c>
    </row>
    <row r="1721" spans="1:5" x14ac:dyDescent="0.2">
      <c r="A1721" s="50">
        <v>41526</v>
      </c>
      <c r="B1721" s="51">
        <v>10803.9</v>
      </c>
      <c r="C1721" s="53">
        <f>(Table26[[#This Row],[M2 Money Stock, Billions of Dollars, Weekly, Seasonally Adjusted]]-B1720)/B1720</f>
        <v>-7.121980095453705E-4</v>
      </c>
      <c r="D1721" s="54">
        <f>((1+Table26[[#This Row],[Weekly change]])^52)-1</f>
        <v>-3.6369629158176653E-2</v>
      </c>
      <c r="E1721" s="57">
        <f>(Table26[[#This Row],[M2 Money Stock, Billions of Dollars, Weekly, Seasonally Adjusted]]-B1669)/B1669</f>
        <v>6.12764118230665E-2</v>
      </c>
    </row>
    <row r="1722" spans="1:5" x14ac:dyDescent="0.2">
      <c r="A1722" s="50">
        <v>41533</v>
      </c>
      <c r="B1722" s="51">
        <v>10805.7</v>
      </c>
      <c r="C1722" s="53">
        <f>(Table26[[#This Row],[M2 Money Stock, Billions of Dollars, Weekly, Seasonally Adjusted]]-B1721)/B1721</f>
        <v>1.6660650320727622E-4</v>
      </c>
      <c r="D1722" s="54">
        <f>((1+Table26[[#This Row],[Weekly change]])^52)-1</f>
        <v>8.7004473256453441E-3</v>
      </c>
      <c r="E1722" s="57">
        <f>(Table26[[#This Row],[M2 Money Stock, Billions of Dollars, Weekly, Seasonally Adjusted]]-B1670)/B1670</f>
        <v>5.9247350827835818E-2</v>
      </c>
    </row>
    <row r="1723" spans="1:5" x14ac:dyDescent="0.2">
      <c r="A1723" s="50">
        <v>41540</v>
      </c>
      <c r="B1723" s="51">
        <v>10840.3</v>
      </c>
      <c r="C1723" s="53">
        <f>(Table26[[#This Row],[M2 Money Stock, Billions of Dollars, Weekly, Seasonally Adjusted]]-B1722)/B1722</f>
        <v>3.2020137520011238E-3</v>
      </c>
      <c r="D1723" s="54">
        <f>((1+Table26[[#This Row],[Weekly change]])^52)-1</f>
        <v>0.180854947131599</v>
      </c>
      <c r="E1723" s="57">
        <f>(Table26[[#This Row],[M2 Money Stock, Billions of Dollars, Weekly, Seasonally Adjusted]]-B1671)/B1671</f>
        <v>6.3118459893887091E-2</v>
      </c>
    </row>
    <row r="1724" spans="1:5" x14ac:dyDescent="0.2">
      <c r="A1724" s="50">
        <v>41547</v>
      </c>
      <c r="B1724" s="51">
        <v>10888.3</v>
      </c>
      <c r="C1724" s="53">
        <f>(Table26[[#This Row],[M2 Money Stock, Billions of Dollars, Weekly, Seasonally Adjusted]]-B1723)/B1723</f>
        <v>4.427921736483308E-3</v>
      </c>
      <c r="D1724" s="54">
        <f>((1+Table26[[#This Row],[Weekly change]])^52)-1</f>
        <v>0.25827742346794369</v>
      </c>
      <c r="E1724" s="57">
        <f>(Table26[[#This Row],[M2 Money Stock, Billions of Dollars, Weekly, Seasonally Adjusted]]-B1672)/B1672</f>
        <v>6.275011224549551E-2</v>
      </c>
    </row>
    <row r="1725" spans="1:5" x14ac:dyDescent="0.2">
      <c r="A1725" s="50">
        <v>41554</v>
      </c>
      <c r="B1725" s="51">
        <v>10892.8</v>
      </c>
      <c r="C1725" s="53">
        <f>(Table26[[#This Row],[M2 Money Stock, Billions of Dollars, Weekly, Seasonally Adjusted]]-B1724)/B1724</f>
        <v>4.1328765739371621E-4</v>
      </c>
      <c r="D1725" s="54">
        <f>((1+Table26[[#This Row],[Weekly change]])^52)-1</f>
        <v>2.17190158719891E-2</v>
      </c>
      <c r="E1725" s="57">
        <f>(Table26[[#This Row],[M2 Money Stock, Billions of Dollars, Weekly, Seasonally Adjusted]]-B1673)/B1673</f>
        <v>6.3345015082146419E-2</v>
      </c>
    </row>
    <row r="1726" spans="1:5" x14ac:dyDescent="0.2">
      <c r="A1726" s="50">
        <v>41561</v>
      </c>
      <c r="B1726" s="51">
        <v>10930.1</v>
      </c>
      <c r="C1726" s="53">
        <f>(Table26[[#This Row],[M2 Money Stock, Billions of Dollars, Weekly, Seasonally Adjusted]]-B1725)/B1725</f>
        <v>3.4242802585194893E-3</v>
      </c>
      <c r="D1726" s="54">
        <f>((1+Table26[[#This Row],[Weekly change]])^52)-1</f>
        <v>0.19453668577072714</v>
      </c>
      <c r="E1726" s="57">
        <f>(Table26[[#This Row],[M2 Money Stock, Billions of Dollars, Weekly, Seasonally Adjusted]]-B1674)/B1674</f>
        <v>6.6215992118072942E-2</v>
      </c>
    </row>
    <row r="1727" spans="1:5" x14ac:dyDescent="0.2">
      <c r="A1727" s="50">
        <v>41568</v>
      </c>
      <c r="B1727" s="51">
        <v>10988.5</v>
      </c>
      <c r="C1727" s="53">
        <f>(Table26[[#This Row],[M2 Money Stock, Billions of Dollars, Weekly, Seasonally Adjusted]]-B1726)/B1726</f>
        <v>5.3430435220171487E-3</v>
      </c>
      <c r="D1727" s="54">
        <f>((1+Table26[[#This Row],[Weekly change]])^52)-1</f>
        <v>0.31929650734376391</v>
      </c>
      <c r="E1727" s="57">
        <f>(Table26[[#This Row],[M2 Money Stock, Billions of Dollars, Weekly, Seasonally Adjusted]]-B1675)/B1675</f>
        <v>7.2718575500800464E-2</v>
      </c>
    </row>
    <row r="1728" spans="1:5" x14ac:dyDescent="0.2">
      <c r="A1728" s="50">
        <v>41575</v>
      </c>
      <c r="B1728" s="51">
        <v>10967.8</v>
      </c>
      <c r="C1728" s="53">
        <f>(Table26[[#This Row],[M2 Money Stock, Billions of Dollars, Weekly, Seasonally Adjusted]]-B1727)/B1727</f>
        <v>-1.883787596123286E-3</v>
      </c>
      <c r="D1728" s="54">
        <f>((1+Table26[[#This Row],[Weekly change]])^52)-1</f>
        <v>-9.3395825647881625E-2</v>
      </c>
      <c r="E1728" s="57">
        <f>(Table26[[#This Row],[M2 Money Stock, Billions of Dollars, Weekly, Seasonally Adjusted]]-B1676)/B1676</f>
        <v>6.6108070802997604E-2</v>
      </c>
    </row>
    <row r="1729" spans="1:5" x14ac:dyDescent="0.2">
      <c r="A1729" s="50">
        <v>41582</v>
      </c>
      <c r="B1729" s="51">
        <v>10950.1</v>
      </c>
      <c r="C1729" s="53">
        <f>(Table26[[#This Row],[M2 Money Stock, Billions of Dollars, Weekly, Seasonally Adjusted]]-B1728)/B1728</f>
        <v>-1.6138149856852705E-3</v>
      </c>
      <c r="D1729" s="54">
        <f>((1+Table26[[#This Row],[Weekly change]])^52)-1</f>
        <v>-8.0556024924606007E-2</v>
      </c>
      <c r="E1729" s="57">
        <f>(Table26[[#This Row],[M2 Money Stock, Billions of Dollars, Weekly, Seasonally Adjusted]]-B1677)/B1677</f>
        <v>5.9413699690402513E-2</v>
      </c>
    </row>
    <row r="1730" spans="1:5" x14ac:dyDescent="0.2">
      <c r="A1730" s="50">
        <v>41589</v>
      </c>
      <c r="B1730" s="51">
        <v>10932.5</v>
      </c>
      <c r="C1730" s="53">
        <f>(Table26[[#This Row],[M2 Money Stock, Billions of Dollars, Weekly, Seasonally Adjusted]]-B1729)/B1729</f>
        <v>-1.6072912576141189E-3</v>
      </c>
      <c r="D1730" s="54">
        <f>((1+Table26[[#This Row],[Weekly change]])^52)-1</f>
        <v>-8.0243562162316984E-2</v>
      </c>
      <c r="E1730" s="57">
        <f>(Table26[[#This Row],[M2 Money Stock, Billions of Dollars, Weekly, Seasonally Adjusted]]-B1678)/B1678</f>
        <v>6.0728077154444685E-2</v>
      </c>
    </row>
    <row r="1731" spans="1:5" x14ac:dyDescent="0.2">
      <c r="A1731" s="50">
        <v>41596</v>
      </c>
      <c r="B1731" s="51">
        <v>10938.4</v>
      </c>
      <c r="C1731" s="53">
        <f>(Table26[[#This Row],[M2 Money Stock, Billions of Dollars, Weekly, Seasonally Adjusted]]-B1730)/B1730</f>
        <v>5.3967528012802525E-4</v>
      </c>
      <c r="D1731" s="54">
        <f>((1+Table26[[#This Row],[Weekly change]])^52)-1</f>
        <v>2.8452808046041334E-2</v>
      </c>
      <c r="E1731" s="57">
        <f>(Table26[[#This Row],[M2 Money Stock, Billions of Dollars, Weekly, Seasonally Adjusted]]-B1679)/B1679</f>
        <v>6.2289987374963544E-2</v>
      </c>
    </row>
    <row r="1732" spans="1:5" x14ac:dyDescent="0.2">
      <c r="A1732" s="50">
        <v>41603</v>
      </c>
      <c r="B1732" s="51">
        <v>10966.2</v>
      </c>
      <c r="C1732" s="53">
        <f>(Table26[[#This Row],[M2 Money Stock, Billions of Dollars, Weekly, Seasonally Adjusted]]-B1731)/B1731</f>
        <v>2.5415051561472513E-3</v>
      </c>
      <c r="D1732" s="54">
        <f>((1+Table26[[#This Row],[Weekly change]])^52)-1</f>
        <v>0.14109760621165801</v>
      </c>
      <c r="E1732" s="57">
        <f>(Table26[[#This Row],[M2 Money Stock, Billions of Dollars, Weekly, Seasonally Adjusted]]-B1680)/B1680</f>
        <v>6.2513322352485301E-2</v>
      </c>
    </row>
    <row r="1733" spans="1:5" x14ac:dyDescent="0.2">
      <c r="A1733" s="50">
        <v>41610</v>
      </c>
      <c r="B1733" s="51">
        <v>10986.1</v>
      </c>
      <c r="C1733" s="53">
        <f>(Table26[[#This Row],[M2 Money Stock, Billions of Dollars, Weekly, Seasonally Adjusted]]-B1732)/B1732</f>
        <v>1.814666885520931E-3</v>
      </c>
      <c r="D1733" s="54">
        <f>((1+Table26[[#This Row],[Weekly change]])^52)-1</f>
        <v>9.8864268310419501E-2</v>
      </c>
      <c r="E1733" s="57">
        <f>(Table26[[#This Row],[M2 Money Stock, Billions of Dollars, Weekly, Seasonally Adjusted]]-B1681)/B1681</f>
        <v>6.0311546925066559E-2</v>
      </c>
    </row>
    <row r="1734" spans="1:5" x14ac:dyDescent="0.2">
      <c r="A1734" s="50">
        <v>41617</v>
      </c>
      <c r="B1734" s="51">
        <v>11003.5</v>
      </c>
      <c r="C1734" s="53">
        <f>(Table26[[#This Row],[M2 Money Stock, Billions of Dollars, Weekly, Seasonally Adjusted]]-B1733)/B1733</f>
        <v>1.5838195537997684E-3</v>
      </c>
      <c r="D1734" s="54">
        <f>((1+Table26[[#This Row],[Weekly change]])^52)-1</f>
        <v>8.5774399850045757E-2</v>
      </c>
      <c r="E1734" s="57">
        <f>(Table26[[#This Row],[M2 Money Stock, Billions of Dollars, Weekly, Seasonally Adjusted]]-B1682)/B1682</f>
        <v>5.8690527733679707E-2</v>
      </c>
    </row>
    <row r="1735" spans="1:5" x14ac:dyDescent="0.2">
      <c r="A1735" s="50">
        <v>41624</v>
      </c>
      <c r="B1735" s="51">
        <v>11006.5</v>
      </c>
      <c r="C1735" s="53">
        <f>(Table26[[#This Row],[M2 Money Stock, Billions of Dollars, Weekly, Seasonally Adjusted]]-B1734)/B1734</f>
        <v>2.7264052346980504E-4</v>
      </c>
      <c r="D1735" s="54">
        <f>((1+Table26[[#This Row],[Weekly change]])^52)-1</f>
        <v>1.4276321967872763E-2</v>
      </c>
      <c r="E1735" s="57">
        <f>(Table26[[#This Row],[M2 Money Stock, Billions of Dollars, Weekly, Seasonally Adjusted]]-B1683)/B1683</f>
        <v>5.4232158079748738E-2</v>
      </c>
    </row>
    <row r="1736" spans="1:5" x14ac:dyDescent="0.2">
      <c r="A1736" s="50">
        <v>41631</v>
      </c>
      <c r="B1736" s="51">
        <v>11028.6</v>
      </c>
      <c r="C1736" s="53">
        <f>(Table26[[#This Row],[M2 Money Stock, Billions of Dollars, Weekly, Seasonally Adjusted]]-B1735)/B1735</f>
        <v>2.0079044201154195E-3</v>
      </c>
      <c r="D1736" s="54">
        <f>((1+Table26[[#This Row],[Weekly change]])^52)-1</f>
        <v>0.10994042894631662</v>
      </c>
      <c r="E1736" s="57">
        <f>(Table26[[#This Row],[M2 Money Stock, Billions of Dollars, Weekly, Seasonally Adjusted]]-B1684)/B1684</f>
        <v>5.327195629751319E-2</v>
      </c>
    </row>
    <row r="1737" spans="1:5" x14ac:dyDescent="0.2">
      <c r="A1737" s="50">
        <v>41638</v>
      </c>
      <c r="B1737" s="51">
        <v>11026.7</v>
      </c>
      <c r="C1737" s="53">
        <f>(Table26[[#This Row],[M2 Money Stock, Billions of Dollars, Weekly, Seasonally Adjusted]]-B1736)/B1736</f>
        <v>-1.7227934642653067E-4</v>
      </c>
      <c r="D1737" s="54">
        <f>((1+Table26[[#This Row],[Weekly change]])^52)-1</f>
        <v>-8.9192828699233839E-3</v>
      </c>
      <c r="E1737" s="57">
        <f>(Table26[[#This Row],[M2 Money Stock, Billions of Dollars, Weekly, Seasonally Adjusted]]-B1685)/B1685</f>
        <v>4.8723655177661217E-2</v>
      </c>
    </row>
    <row r="1738" spans="1:5" x14ac:dyDescent="0.2">
      <c r="A1738" s="50">
        <v>41645</v>
      </c>
      <c r="B1738" s="51">
        <v>11036.2</v>
      </c>
      <c r="C1738" s="53">
        <f>(Table26[[#This Row],[M2 Money Stock, Billions of Dollars, Weekly, Seasonally Adjusted]]-B1737)/B1737</f>
        <v>8.6154515856965363E-4</v>
      </c>
      <c r="D1738" s="54">
        <f>((1+Table26[[#This Row],[Weekly change]])^52)-1</f>
        <v>4.5798868224879108E-2</v>
      </c>
      <c r="E1738" s="57">
        <f>(Table26[[#This Row],[M2 Money Stock, Billions of Dollars, Weekly, Seasonally Adjusted]]-B1686)/B1686</f>
        <v>5.1016618256273578E-2</v>
      </c>
    </row>
    <row r="1739" spans="1:5" x14ac:dyDescent="0.2">
      <c r="A1739" s="50">
        <v>41652</v>
      </c>
      <c r="B1739" s="51">
        <v>11034.9</v>
      </c>
      <c r="C1739" s="53">
        <f>(Table26[[#This Row],[M2 Money Stock, Billions of Dollars, Weekly, Seasonally Adjusted]]-B1738)/B1738</f>
        <v>-1.1779416828265991E-4</v>
      </c>
      <c r="D1739" s="54">
        <f>((1+Table26[[#This Row],[Weekly change]])^52)-1</f>
        <v>-6.1069339519315147E-3</v>
      </c>
      <c r="E1739" s="57">
        <f>(Table26[[#This Row],[M2 Money Stock, Billions of Dollars, Weekly, Seasonally Adjusted]]-B1687)/B1687</f>
        <v>5.3682431464665163E-2</v>
      </c>
    </row>
    <row r="1740" spans="1:5" x14ac:dyDescent="0.2">
      <c r="A1740" s="50">
        <v>41659</v>
      </c>
      <c r="B1740" s="51">
        <v>11065.1</v>
      </c>
      <c r="C1740" s="53">
        <f>(Table26[[#This Row],[M2 Money Stock, Billions of Dollars, Weekly, Seasonally Adjusted]]-B1739)/B1739</f>
        <v>2.7367715158271239E-3</v>
      </c>
      <c r="D1740" s="54">
        <f>((1+Table26[[#This Row],[Weekly change]])^52)-1</f>
        <v>0.15271235573758846</v>
      </c>
      <c r="E1740" s="57">
        <f>(Table26[[#This Row],[M2 Money Stock, Billions of Dollars, Weekly, Seasonally Adjusted]]-B1688)/B1688</f>
        <v>5.8405471328136241E-2</v>
      </c>
    </row>
    <row r="1741" spans="1:5" x14ac:dyDescent="0.2">
      <c r="A1741" s="50">
        <v>41666</v>
      </c>
      <c r="B1741" s="51">
        <v>11102.2</v>
      </c>
      <c r="C1741" s="53">
        <f>(Table26[[#This Row],[M2 Money Stock, Billions of Dollars, Weekly, Seasonally Adjusted]]-B1740)/B1740</f>
        <v>3.3528842938609109E-3</v>
      </c>
      <c r="D1741" s="54">
        <f>((1+Table26[[#This Row],[Weekly change]])^52)-1</f>
        <v>0.19012500439873636</v>
      </c>
      <c r="E1741" s="57">
        <f>(Table26[[#This Row],[M2 Money Stock, Billions of Dollars, Weekly, Seasonally Adjusted]]-B1689)/B1689</f>
        <v>6.1172602320735597E-2</v>
      </c>
    </row>
    <row r="1742" spans="1:5" x14ac:dyDescent="0.2">
      <c r="A1742" s="50">
        <v>41673</v>
      </c>
      <c r="B1742" s="51">
        <v>11100.2</v>
      </c>
      <c r="C1742" s="53">
        <f>(Table26[[#This Row],[M2 Money Stock, Billions of Dollars, Weekly, Seasonally Adjusted]]-B1741)/B1741</f>
        <v>-1.8014447586964745E-4</v>
      </c>
      <c r="D1742" s="54">
        <f>((1+Table26[[#This Row],[Weekly change]])^52)-1</f>
        <v>-9.3246102637268846E-3</v>
      </c>
      <c r="E1742" s="57">
        <f>(Table26[[#This Row],[M2 Money Stock, Billions of Dollars, Weekly, Seasonally Adjusted]]-B1690)/B1690</f>
        <v>6.1316199600340487E-2</v>
      </c>
    </row>
    <row r="1743" spans="1:5" x14ac:dyDescent="0.2">
      <c r="A1743" s="50">
        <v>41680</v>
      </c>
      <c r="B1743" s="51">
        <v>11135.9</v>
      </c>
      <c r="C1743" s="53">
        <f>(Table26[[#This Row],[M2 Money Stock, Billions of Dollars, Weekly, Seasonally Adjusted]]-B1742)/B1742</f>
        <v>3.2161582674185064E-3</v>
      </c>
      <c r="D1743" s="54">
        <f>((1+Table26[[#This Row],[Weekly change]])^52)-1</f>
        <v>0.18172102258003742</v>
      </c>
      <c r="E1743" s="57">
        <f>(Table26[[#This Row],[M2 Money Stock, Billions of Dollars, Weekly, Seasonally Adjusted]]-B1691)/B1691</f>
        <v>6.3357014628929384E-2</v>
      </c>
    </row>
    <row r="1744" spans="1:5" x14ac:dyDescent="0.2">
      <c r="A1744" s="50">
        <v>41687</v>
      </c>
      <c r="B1744" s="51">
        <v>11167.4</v>
      </c>
      <c r="C1744" s="53">
        <f>(Table26[[#This Row],[M2 Money Stock, Billions of Dollars, Weekly, Seasonally Adjusted]]-B1743)/B1743</f>
        <v>2.8286891944072773E-3</v>
      </c>
      <c r="D1744" s="54">
        <f>((1+Table26[[#This Row],[Weekly change]])^52)-1</f>
        <v>0.15821982304091931</v>
      </c>
      <c r="E1744" s="57">
        <f>(Table26[[#This Row],[M2 Money Stock, Billions of Dollars, Weekly, Seasonally Adjusted]]-B1692)/B1692</f>
        <v>6.8098781490904231E-2</v>
      </c>
    </row>
    <row r="1745" spans="1:5" x14ac:dyDescent="0.2">
      <c r="A1745" s="50">
        <v>41694</v>
      </c>
      <c r="B1745" s="51">
        <v>11162.9</v>
      </c>
      <c r="C1745" s="53">
        <f>(Table26[[#This Row],[M2 Money Stock, Billions of Dollars, Weekly, Seasonally Adjusted]]-B1744)/B1744</f>
        <v>-4.0295861167326328E-4</v>
      </c>
      <c r="D1745" s="54">
        <f>((1+Table26[[#This Row],[Weekly change]])^52)-1</f>
        <v>-2.0739976612056954E-2</v>
      </c>
      <c r="E1745" s="57">
        <f>(Table26[[#This Row],[M2 Money Stock, Billions of Dollars, Weekly, Seasonally Adjusted]]-B1693)/B1693</f>
        <v>6.6424013145324548E-2</v>
      </c>
    </row>
    <row r="1746" spans="1:5" x14ac:dyDescent="0.2">
      <c r="A1746" s="50">
        <v>41701</v>
      </c>
      <c r="B1746" s="51">
        <v>11150</v>
      </c>
      <c r="C1746" s="53">
        <f>(Table26[[#This Row],[M2 Money Stock, Billions of Dollars, Weekly, Seasonally Adjusted]]-B1745)/B1745</f>
        <v>-1.1556136846159722E-3</v>
      </c>
      <c r="D1746" s="54">
        <f>((1+Table26[[#This Row],[Weekly change]])^52)-1</f>
        <v>-5.8354742654720515E-2</v>
      </c>
      <c r="E1746" s="57">
        <f>(Table26[[#This Row],[M2 Money Stock, Billions of Dollars, Weekly, Seasonally Adjusted]]-B1694)/B1694</f>
        <v>6.1692423420077851E-2</v>
      </c>
    </row>
    <row r="1747" spans="1:5" x14ac:dyDescent="0.2">
      <c r="A1747" s="50">
        <v>41708</v>
      </c>
      <c r="B1747" s="51">
        <v>11168.2</v>
      </c>
      <c r="C1747" s="53">
        <f>(Table26[[#This Row],[M2 Money Stock, Billions of Dollars, Weekly, Seasonally Adjusted]]-B1746)/B1746</f>
        <v>1.6322869955157603E-3</v>
      </c>
      <c r="D1747" s="54">
        <f>((1+Table26[[#This Row],[Weekly change]])^52)-1</f>
        <v>8.8509931500964756E-2</v>
      </c>
      <c r="E1747" s="57">
        <f>(Table26[[#This Row],[M2 Money Stock, Billions of Dollars, Weekly, Seasonally Adjusted]]-B1695)/B1695</f>
        <v>6.2363259326902988E-2</v>
      </c>
    </row>
    <row r="1748" spans="1:5" x14ac:dyDescent="0.2">
      <c r="A1748" s="50">
        <v>41715</v>
      </c>
      <c r="B1748" s="51">
        <v>11188.1</v>
      </c>
      <c r="C1748" s="53">
        <f>(Table26[[#This Row],[M2 Money Stock, Billions of Dollars, Weekly, Seasonally Adjusted]]-B1747)/B1747</f>
        <v>1.781844881001382E-3</v>
      </c>
      <c r="D1748" s="54">
        <f>((1+Table26[[#This Row],[Weekly change]])^52)-1</f>
        <v>9.6993748431376758E-2</v>
      </c>
      <c r="E1748" s="57">
        <f>(Table26[[#This Row],[M2 Money Stock, Billions of Dollars, Weekly, Seasonally Adjusted]]-B1696)/B1696</f>
        <v>6.2426999154851968E-2</v>
      </c>
    </row>
    <row r="1749" spans="1:5" x14ac:dyDescent="0.2">
      <c r="A1749" s="50">
        <v>41722</v>
      </c>
      <c r="B1749" s="51">
        <v>11210.6</v>
      </c>
      <c r="C1749" s="53">
        <f>(Table26[[#This Row],[M2 Money Stock, Billions of Dollars, Weekly, Seasonally Adjusted]]-B1748)/B1748</f>
        <v>2.0110653283399327E-3</v>
      </c>
      <c r="D1749" s="54">
        <f>((1+Table26[[#This Row],[Weekly change]])^52)-1</f>
        <v>0.11012251584079191</v>
      </c>
      <c r="E1749" s="57">
        <f>(Table26[[#This Row],[M2 Money Stock, Billions of Dollars, Weekly, Seasonally Adjusted]]-B1697)/B1697</f>
        <v>6.2797444113687609E-2</v>
      </c>
    </row>
    <row r="1750" spans="1:5" x14ac:dyDescent="0.2">
      <c r="A1750" s="50">
        <v>41729</v>
      </c>
      <c r="B1750" s="51">
        <v>11211.5</v>
      </c>
      <c r="C1750" s="53">
        <f>(Table26[[#This Row],[M2 Money Stock, Billions of Dollars, Weekly, Seasonally Adjusted]]-B1749)/B1749</f>
        <v>8.0281162471200135E-5</v>
      </c>
      <c r="D1750" s="54">
        <f>((1+Table26[[#This Row],[Weekly change]])^52)-1</f>
        <v>4.183178050932046E-3</v>
      </c>
      <c r="E1750" s="57">
        <f>(Table26[[#This Row],[M2 Money Stock, Billions of Dollars, Weekly, Seasonally Adjusted]]-B1698)/B1698</f>
        <v>5.7988109842408229E-2</v>
      </c>
    </row>
    <row r="1751" spans="1:5" x14ac:dyDescent="0.2">
      <c r="A1751" s="50">
        <v>41736</v>
      </c>
      <c r="B1751" s="51">
        <v>11215.6</v>
      </c>
      <c r="C1751" s="53">
        <f>(Table26[[#This Row],[M2 Money Stock, Billions of Dollars, Weekly, Seasonally Adjusted]]-B1750)/B1750</f>
        <v>3.6569593720736421E-4</v>
      </c>
      <c r="D1751" s="54">
        <f>((1+Table26[[#This Row],[Weekly change]])^52)-1</f>
        <v>1.9194605057446079E-2</v>
      </c>
      <c r="E1751" s="57">
        <f>(Table26[[#This Row],[M2 Money Stock, Billions of Dollars, Weekly, Seasonally Adjusted]]-B1699)/B1699</f>
        <v>6.1630933787685208E-2</v>
      </c>
    </row>
    <row r="1752" spans="1:5" x14ac:dyDescent="0.2">
      <c r="A1752" s="50">
        <v>41743</v>
      </c>
      <c r="B1752" s="51">
        <v>11236.9</v>
      </c>
      <c r="C1752" s="53">
        <f>(Table26[[#This Row],[M2 Money Stock, Billions of Dollars, Weekly, Seasonally Adjusted]]-B1751)/B1751</f>
        <v>1.8991404828987545E-3</v>
      </c>
      <c r="D1752" s="54">
        <f>((1+Table26[[#This Row],[Weekly change]])^52)-1</f>
        <v>0.10369280033929984</v>
      </c>
      <c r="E1752" s="57">
        <f>(Table26[[#This Row],[M2 Money Stock, Billions of Dollars, Weekly, Seasonally Adjusted]]-B1700)/B1700</f>
        <v>6.2661358198651484E-2</v>
      </c>
    </row>
    <row r="1753" spans="1:5" x14ac:dyDescent="0.2">
      <c r="A1753" s="50">
        <v>41750</v>
      </c>
      <c r="B1753" s="51">
        <v>11239.7</v>
      </c>
      <c r="C1753" s="53">
        <f>(Table26[[#This Row],[M2 Money Stock, Billions of Dollars, Weekly, Seasonally Adjusted]]-B1752)/B1752</f>
        <v>2.4917904404249316E-4</v>
      </c>
      <c r="D1753" s="54">
        <f>((1+Table26[[#This Row],[Weekly change]])^52)-1</f>
        <v>1.3039984858113973E-2</v>
      </c>
      <c r="E1753" s="57">
        <f>(Table26[[#This Row],[M2 Money Stock, Billions of Dollars, Weekly, Seasonally Adjusted]]-B1701)/B1701</f>
        <v>6.3137284576530894E-2</v>
      </c>
    </row>
    <row r="1754" spans="1:5" x14ac:dyDescent="0.2">
      <c r="A1754" s="50">
        <v>41757</v>
      </c>
      <c r="B1754" s="51">
        <v>11283</v>
      </c>
      <c r="C1754" s="53">
        <f>(Table26[[#This Row],[M2 Money Stock, Billions of Dollars, Weekly, Seasonally Adjusted]]-B1753)/B1753</f>
        <v>3.8524159897505511E-3</v>
      </c>
      <c r="D1754" s="54">
        <f>((1+Table26[[#This Row],[Weekly change]])^52)-1</f>
        <v>0.22133039316490288</v>
      </c>
      <c r="E1754" s="57">
        <f>(Table26[[#This Row],[M2 Money Stock, Billions of Dollars, Weekly, Seasonally Adjusted]]-B1702)/B1702</f>
        <v>6.6083374277183526E-2</v>
      </c>
    </row>
    <row r="1755" spans="1:5" x14ac:dyDescent="0.2">
      <c r="A1755" s="50">
        <v>41764</v>
      </c>
      <c r="B1755" s="51">
        <v>11285.2</v>
      </c>
      <c r="C1755" s="53">
        <f>(Table26[[#This Row],[M2 Money Stock, Billions of Dollars, Weekly, Seasonally Adjusted]]-B1754)/B1754</f>
        <v>1.9498360365157561E-4</v>
      </c>
      <c r="D1755" s="54">
        <f>((1+Table26[[#This Row],[Weekly change]])^52)-1</f>
        <v>1.0189724280480261E-2</v>
      </c>
      <c r="E1755" s="57">
        <f>(Table26[[#This Row],[M2 Money Stock, Billions of Dollars, Weekly, Seasonally Adjusted]]-B1703)/B1703</f>
        <v>6.540538499301396E-2</v>
      </c>
    </row>
    <row r="1756" spans="1:5" x14ac:dyDescent="0.2">
      <c r="A1756" s="50">
        <v>41771</v>
      </c>
      <c r="B1756" s="51">
        <v>11296.9</v>
      </c>
      <c r="C1756" s="53">
        <f>(Table26[[#This Row],[M2 Money Stock, Billions of Dollars, Weekly, Seasonally Adjusted]]-B1755)/B1755</f>
        <v>1.0367561053414125E-3</v>
      </c>
      <c r="D1756" s="54">
        <f>((1+Table26[[#This Row],[Weekly change]])^52)-1</f>
        <v>5.5361529624802452E-2</v>
      </c>
      <c r="E1756" s="57">
        <f>(Table26[[#This Row],[M2 Money Stock, Billions of Dollars, Weekly, Seasonally Adjusted]]-B1704)/B1704</f>
        <v>6.4981711225913424E-2</v>
      </c>
    </row>
    <row r="1757" spans="1:5" x14ac:dyDescent="0.2">
      <c r="A1757" s="50">
        <v>41778</v>
      </c>
      <c r="B1757" s="51">
        <v>11298.5</v>
      </c>
      <c r="C1757" s="53">
        <f>(Table26[[#This Row],[M2 Money Stock, Billions of Dollars, Weekly, Seasonally Adjusted]]-B1756)/B1756</f>
        <v>1.4163177508877336E-4</v>
      </c>
      <c r="D1757" s="54">
        <f>((1+Table26[[#This Row],[Weekly change]])^52)-1</f>
        <v>7.3915141775597881E-3</v>
      </c>
      <c r="E1757" s="57">
        <f>(Table26[[#This Row],[M2 Money Stock, Billions of Dollars, Weekly, Seasonally Adjusted]]-B1705)/B1705</f>
        <v>6.5484105204590637E-2</v>
      </c>
    </row>
    <row r="1758" spans="1:5" x14ac:dyDescent="0.2">
      <c r="A1758" s="50">
        <v>41785</v>
      </c>
      <c r="B1758" s="51">
        <v>11334.5</v>
      </c>
      <c r="C1758" s="53">
        <f>(Table26[[#This Row],[M2 Money Stock, Billions of Dollars, Weekly, Seasonally Adjusted]]-B1757)/B1757</f>
        <v>3.1862636633181395E-3</v>
      </c>
      <c r="D1758" s="54">
        <f>((1+Table26[[#This Row],[Weekly change]])^52)-1</f>
        <v>0.17989129419729011</v>
      </c>
      <c r="E1758" s="57">
        <f>(Table26[[#This Row],[M2 Money Stock, Billions of Dollars, Weekly, Seasonally Adjusted]]-B1706)/B1706</f>
        <v>6.7077763133119944E-2</v>
      </c>
    </row>
    <row r="1759" spans="1:5" x14ac:dyDescent="0.2">
      <c r="A1759" s="50">
        <v>41792</v>
      </c>
      <c r="B1759" s="51">
        <v>11364.7</v>
      </c>
      <c r="C1759" s="53">
        <f>(Table26[[#This Row],[M2 Money Stock, Billions of Dollars, Weekly, Seasonally Adjusted]]-B1758)/B1758</f>
        <v>2.6644316026292053E-3</v>
      </c>
      <c r="D1759" s="54">
        <f>((1+Table26[[#This Row],[Weekly change]])^52)-1</f>
        <v>0.14839600609434944</v>
      </c>
      <c r="E1759" s="57">
        <f>(Table26[[#This Row],[M2 Money Stock, Billions of Dollars, Weekly, Seasonally Adjusted]]-B1707)/B1707</f>
        <v>6.8090825360425558E-2</v>
      </c>
    </row>
    <row r="1760" spans="1:5" x14ac:dyDescent="0.2">
      <c r="A1760" s="50">
        <v>41799</v>
      </c>
      <c r="B1760" s="51">
        <v>11347.7</v>
      </c>
      <c r="C1760" s="53">
        <f>(Table26[[#This Row],[M2 Money Stock, Billions of Dollars, Weekly, Seasonally Adjusted]]-B1759)/B1759</f>
        <v>-1.4958599875051694E-3</v>
      </c>
      <c r="D1760" s="54">
        <f>((1+Table26[[#This Row],[Weekly change]])^52)-1</f>
        <v>-7.4890300971498514E-2</v>
      </c>
      <c r="E1760" s="57">
        <f>(Table26[[#This Row],[M2 Money Stock, Billions of Dollars, Weekly, Seasonally Adjusted]]-B1708)/B1708</f>
        <v>6.4622052932291424E-2</v>
      </c>
    </row>
    <row r="1761" spans="1:5" x14ac:dyDescent="0.2">
      <c r="A1761" s="50">
        <v>41806</v>
      </c>
      <c r="B1761" s="51">
        <v>11356.6</v>
      </c>
      <c r="C1761" s="53">
        <f>(Table26[[#This Row],[M2 Money Stock, Billions of Dollars, Weekly, Seasonally Adjusted]]-B1760)/B1760</f>
        <v>7.8429990218278911E-4</v>
      </c>
      <c r="D1761" s="54">
        <f>((1+Table26[[#This Row],[Weekly change]])^52)-1</f>
        <v>4.1610017650779652E-2</v>
      </c>
      <c r="E1761" s="57">
        <f>(Table26[[#This Row],[M2 Money Stock, Billions of Dollars, Weekly, Seasonally Adjusted]]-B1709)/B1709</f>
        <v>6.543704440337364E-2</v>
      </c>
    </row>
    <row r="1762" spans="1:5" x14ac:dyDescent="0.2">
      <c r="A1762" s="50">
        <v>41813</v>
      </c>
      <c r="B1762" s="51">
        <v>11372.9</v>
      </c>
      <c r="C1762" s="53">
        <f>(Table26[[#This Row],[M2 Money Stock, Billions of Dollars, Weekly, Seasonally Adjusted]]-B1761)/B1761</f>
        <v>1.4352887307820361E-3</v>
      </c>
      <c r="D1762" s="54">
        <f>((1+Table26[[#This Row],[Weekly change]])^52)-1</f>
        <v>7.7433154839030793E-2</v>
      </c>
      <c r="E1762" s="57">
        <f>(Table26[[#This Row],[M2 Money Stock, Billions of Dollars, Weekly, Seasonally Adjusted]]-B1710)/B1710</f>
        <v>6.7366800874698429E-2</v>
      </c>
    </row>
    <row r="1763" spans="1:5" x14ac:dyDescent="0.2">
      <c r="A1763" s="50">
        <v>41820</v>
      </c>
      <c r="B1763" s="51">
        <v>11391.8</v>
      </c>
      <c r="C1763" s="53">
        <f>(Table26[[#This Row],[M2 Money Stock, Billions of Dollars, Weekly, Seasonally Adjusted]]-B1762)/B1762</f>
        <v>1.6618452637409665E-3</v>
      </c>
      <c r="D1763" s="54">
        <f>((1+Table26[[#This Row],[Weekly change]])^52)-1</f>
        <v>9.0181534946501163E-2</v>
      </c>
      <c r="E1763" s="57">
        <f>(Table26[[#This Row],[M2 Money Stock, Billions of Dollars, Weekly, Seasonally Adjusted]]-B1711)/B1711</f>
        <v>6.3948221273734146E-2</v>
      </c>
    </row>
    <row r="1764" spans="1:5" x14ac:dyDescent="0.2">
      <c r="A1764" s="50">
        <v>41827</v>
      </c>
      <c r="B1764" s="51">
        <v>11385.2</v>
      </c>
      <c r="C1764" s="53">
        <f>(Table26[[#This Row],[M2 Money Stock, Billions of Dollars, Weekly, Seasonally Adjusted]]-B1763)/B1763</f>
        <v>-5.7936410400450723E-4</v>
      </c>
      <c r="D1764" s="54">
        <f>((1+Table26[[#This Row],[Weekly change]])^52)-1</f>
        <v>-2.9686112056418912E-2</v>
      </c>
      <c r="E1764" s="57">
        <f>(Table26[[#This Row],[M2 Money Stock, Billions of Dollars, Weekly, Seasonally Adjusted]]-B1712)/B1712</f>
        <v>6.564082404365458E-2</v>
      </c>
    </row>
    <row r="1765" spans="1:5" x14ac:dyDescent="0.2">
      <c r="A1765" s="50">
        <v>41834</v>
      </c>
      <c r="B1765" s="51">
        <v>11417.4</v>
      </c>
      <c r="C1765" s="53">
        <f>(Table26[[#This Row],[M2 Money Stock, Billions of Dollars, Weekly, Seasonally Adjusted]]-B1764)/B1764</f>
        <v>2.828233144784361E-3</v>
      </c>
      <c r="D1765" s="54">
        <f>((1+Table26[[#This Row],[Weekly change]])^52)-1</f>
        <v>0.15819243413702511</v>
      </c>
      <c r="E1765" s="57">
        <f>(Table26[[#This Row],[M2 Money Stock, Billions of Dollars, Weekly, Seasonally Adjusted]]-B1713)/B1713</f>
        <v>6.5891183389969687E-2</v>
      </c>
    </row>
    <row r="1766" spans="1:5" x14ac:dyDescent="0.2">
      <c r="A1766" s="50">
        <v>41841</v>
      </c>
      <c r="B1766" s="51">
        <v>11441.3</v>
      </c>
      <c r="C1766" s="53">
        <f>(Table26[[#This Row],[M2 Money Stock, Billions of Dollars, Weekly, Seasonally Adjusted]]-B1765)/B1765</f>
        <v>2.0932961970325675E-3</v>
      </c>
      <c r="D1766" s="54">
        <f>((1+Table26[[#This Row],[Weekly change]])^52)-1</f>
        <v>0.11486980566528859</v>
      </c>
      <c r="E1766" s="57">
        <f>(Table26[[#This Row],[M2 Money Stock, Billions of Dollars, Weekly, Seasonally Adjusted]]-B1714)/B1714</f>
        <v>6.5615453393934889E-2</v>
      </c>
    </row>
    <row r="1767" spans="1:5" x14ac:dyDescent="0.2">
      <c r="A1767" s="50">
        <v>41848</v>
      </c>
      <c r="B1767" s="51">
        <v>11456.8</v>
      </c>
      <c r="C1767" s="53">
        <f>(Table26[[#This Row],[M2 Money Stock, Billions of Dollars, Weekly, Seasonally Adjusted]]-B1766)/B1766</f>
        <v>1.354741157036351E-3</v>
      </c>
      <c r="D1767" s="54">
        <f>((1+Table26[[#This Row],[Weekly change]])^52)-1</f>
        <v>7.2936052347422287E-2</v>
      </c>
      <c r="E1767" s="57">
        <f>(Table26[[#This Row],[M2 Money Stock, Billions of Dollars, Weekly, Seasonally Adjusted]]-B1715)/B1715</f>
        <v>6.6046338513073344E-2</v>
      </c>
    </row>
    <row r="1768" spans="1:5" x14ac:dyDescent="0.2">
      <c r="A1768" s="50">
        <v>41855</v>
      </c>
      <c r="B1768" s="51">
        <v>11458.2</v>
      </c>
      <c r="C1768" s="53">
        <f>(Table26[[#This Row],[M2 Money Stock, Billions of Dollars, Weekly, Seasonally Adjusted]]-B1767)/B1767</f>
        <v>1.2219817051894555E-4</v>
      </c>
      <c r="D1768" s="54">
        <f>((1+Table26[[#This Row],[Weekly change]])^52)-1</f>
        <v>6.3741456064871915E-3</v>
      </c>
      <c r="E1768" s="57">
        <f>(Table26[[#This Row],[M2 Money Stock, Billions of Dollars, Weekly, Seasonally Adjusted]]-B1716)/B1716</f>
        <v>6.5017148912043271E-2</v>
      </c>
    </row>
    <row r="1769" spans="1:5" x14ac:dyDescent="0.2">
      <c r="A1769" s="50">
        <v>41862</v>
      </c>
      <c r="B1769" s="51">
        <v>11436.3</v>
      </c>
      <c r="C1769" s="53">
        <f>(Table26[[#This Row],[M2 Money Stock, Billions of Dollars, Weekly, Seasonally Adjusted]]-B1768)/B1768</f>
        <v>-1.9112949677961158E-3</v>
      </c>
      <c r="D1769" s="54">
        <f>((1+Table26[[#This Row],[Weekly change]])^52)-1</f>
        <v>-9.4694151997008369E-2</v>
      </c>
      <c r="E1769" s="57">
        <f>(Table26[[#This Row],[M2 Money Stock, Billions of Dollars, Weekly, Seasonally Adjusted]]-B1717)/B1717</f>
        <v>6.1501619684973453E-2</v>
      </c>
    </row>
    <row r="1770" spans="1:5" x14ac:dyDescent="0.2">
      <c r="A1770" s="50">
        <v>41869</v>
      </c>
      <c r="B1770" s="51">
        <v>11451.3</v>
      </c>
      <c r="C1770" s="53">
        <f>(Table26[[#This Row],[M2 Money Stock, Billions of Dollars, Weekly, Seasonally Adjusted]]-B1769)/B1769</f>
        <v>1.3116130216940794E-3</v>
      </c>
      <c r="D1770" s="54">
        <f>((1+Table26[[#This Row],[Weekly change]])^52)-1</f>
        <v>7.0535710983786082E-2</v>
      </c>
      <c r="E1770" s="57">
        <f>(Table26[[#This Row],[M2 Money Stock, Billions of Dollars, Weekly, Seasonally Adjusted]]-B1718)/B1718</f>
        <v>6.3841844650272567E-2</v>
      </c>
    </row>
    <row r="1771" spans="1:5" x14ac:dyDescent="0.2">
      <c r="A1771" s="50">
        <v>41876</v>
      </c>
      <c r="B1771" s="51">
        <v>11466.3</v>
      </c>
      <c r="C1771" s="53">
        <f>(Table26[[#This Row],[M2 Money Stock, Billions of Dollars, Weekly, Seasonally Adjusted]]-B1770)/B1770</f>
        <v>1.3098949464252967E-3</v>
      </c>
      <c r="D1771" s="54">
        <f>((1+Table26[[#This Row],[Weekly change]])^52)-1</f>
        <v>7.0440198874914595E-2</v>
      </c>
      <c r="E1771" s="57">
        <f>(Table26[[#This Row],[M2 Money Stock, Billions of Dollars, Weekly, Seasonally Adjusted]]-B1719)/B1719</f>
        <v>6.2038623628027534E-2</v>
      </c>
    </row>
    <row r="1772" spans="1:5" x14ac:dyDescent="0.2">
      <c r="A1772" s="50">
        <v>41883</v>
      </c>
      <c r="B1772" s="51">
        <v>11479.1</v>
      </c>
      <c r="C1772" s="53">
        <f>(Table26[[#This Row],[M2 Money Stock, Billions of Dollars, Weekly, Seasonally Adjusted]]-B1771)/B1771</f>
        <v>1.1163147658792367E-3</v>
      </c>
      <c r="D1772" s="54">
        <f>((1+Table26[[#This Row],[Weekly change]])^52)-1</f>
        <v>5.9731942588616471E-2</v>
      </c>
      <c r="E1772" s="57">
        <f>(Table26[[#This Row],[M2 Money Stock, Billions of Dollars, Weekly, Seasonally Adjusted]]-B1720)/B1720</f>
        <v>6.1739243035258427E-2</v>
      </c>
    </row>
    <row r="1773" spans="1:5" x14ac:dyDescent="0.2">
      <c r="A1773" s="50">
        <v>41890</v>
      </c>
      <c r="B1773" s="51">
        <v>11469.3</v>
      </c>
      <c r="C1773" s="53">
        <f>(Table26[[#This Row],[M2 Money Stock, Billions of Dollars, Weekly, Seasonally Adjusted]]-B1772)/B1772</f>
        <v>-8.5372546628229484E-4</v>
      </c>
      <c r="D1773" s="54">
        <f>((1+Table26[[#This Row],[Weekly change]])^52)-1</f>
        <v>-4.3440881655834485E-2</v>
      </c>
      <c r="E1773" s="57">
        <f>(Table26[[#This Row],[M2 Money Stock, Billions of Dollars, Weekly, Seasonally Adjusted]]-B1721)/B1721</f>
        <v>6.1588870685585731E-2</v>
      </c>
    </row>
    <row r="1774" spans="1:5" x14ac:dyDescent="0.2">
      <c r="A1774" s="50">
        <v>41897</v>
      </c>
      <c r="B1774" s="51">
        <v>11485.8</v>
      </c>
      <c r="C1774" s="53">
        <f>(Table26[[#This Row],[M2 Money Stock, Billions of Dollars, Weekly, Seasonally Adjusted]]-B1773)/B1773</f>
        <v>1.4386231069027752E-3</v>
      </c>
      <c r="D1774" s="54">
        <f>((1+Table26[[#This Row],[Weekly change]])^52)-1</f>
        <v>7.7619716435434416E-2</v>
      </c>
      <c r="E1774" s="57">
        <f>(Table26[[#This Row],[M2 Money Stock, Billions of Dollars, Weekly, Seasonally Adjusted]]-B1722)/B1722</f>
        <v>6.2939004414336738E-2</v>
      </c>
    </row>
    <row r="1775" spans="1:5" x14ac:dyDescent="0.2">
      <c r="A1775" s="50">
        <v>41904</v>
      </c>
      <c r="B1775" s="51">
        <v>11495.7</v>
      </c>
      <c r="C1775" s="53">
        <f>(Table26[[#This Row],[M2 Money Stock, Billions of Dollars, Weekly, Seasonally Adjusted]]-B1774)/B1774</f>
        <v>8.6193386616530458E-4</v>
      </c>
      <c r="D1775" s="54">
        <f>((1+Table26[[#This Row],[Weekly change]])^52)-1</f>
        <v>4.5819988756043983E-2</v>
      </c>
      <c r="E1775" s="57">
        <f>(Table26[[#This Row],[M2 Money Stock, Billions of Dollars, Weekly, Seasonally Adjusted]]-B1723)/B1723</f>
        <v>6.0459581376899302E-2</v>
      </c>
    </row>
    <row r="1776" spans="1:5" x14ac:dyDescent="0.2">
      <c r="A1776" s="50">
        <v>41911</v>
      </c>
      <c r="B1776" s="51">
        <v>11513.6</v>
      </c>
      <c r="C1776" s="53">
        <f>(Table26[[#This Row],[M2 Money Stock, Billions of Dollars, Weekly, Seasonally Adjusted]]-B1775)/B1775</f>
        <v>1.5571039606113272E-3</v>
      </c>
      <c r="D1776" s="54">
        <f>((1+Table26[[#This Row],[Weekly change]])^52)-1</f>
        <v>8.4269439355863618E-2</v>
      </c>
      <c r="E1776" s="57">
        <f>(Table26[[#This Row],[M2 Money Stock, Billions of Dollars, Weekly, Seasonally Adjusted]]-B1724)/B1724</f>
        <v>5.7428616037398045E-2</v>
      </c>
    </row>
    <row r="1777" spans="1:5" x14ac:dyDescent="0.2">
      <c r="A1777" s="50">
        <v>41918</v>
      </c>
      <c r="B1777" s="51">
        <v>11528.6</v>
      </c>
      <c r="C1777" s="53">
        <f>(Table26[[#This Row],[M2 Money Stock, Billions of Dollars, Weekly, Seasonally Adjusted]]-B1776)/B1776</f>
        <v>1.3028071150639243E-3</v>
      </c>
      <c r="D1777" s="54">
        <f>((1+Table26[[#This Row],[Weekly change]])^52)-1</f>
        <v>7.0046256923069539E-2</v>
      </c>
      <c r="E1777" s="57">
        <f>(Table26[[#This Row],[M2 Money Stock, Billions of Dollars, Weekly, Seasonally Adjusted]]-B1725)/B1725</f>
        <v>5.8368830787309152E-2</v>
      </c>
    </row>
    <row r="1778" spans="1:5" x14ac:dyDescent="0.2">
      <c r="A1778" s="50">
        <v>41925</v>
      </c>
      <c r="B1778" s="51">
        <v>11527</v>
      </c>
      <c r="C1778" s="53">
        <f>(Table26[[#This Row],[M2 Money Stock, Billions of Dollars, Weekly, Seasonally Adjusted]]-B1777)/B1777</f>
        <v>-1.3878528182089444E-4</v>
      </c>
      <c r="D1778" s="54">
        <f>((1+Table26[[#This Row],[Weekly change]])^52)-1</f>
        <v>-7.1913530759356581E-3</v>
      </c>
      <c r="E1778" s="57">
        <f>(Table26[[#This Row],[M2 Money Stock, Billions of Dollars, Weekly, Seasonally Adjusted]]-B1726)/B1726</f>
        <v>5.4610662299521467E-2</v>
      </c>
    </row>
    <row r="1779" spans="1:5" x14ac:dyDescent="0.2">
      <c r="A1779" s="50">
        <v>41932</v>
      </c>
      <c r="B1779" s="51">
        <v>11556</v>
      </c>
      <c r="C1779" s="53">
        <f>(Table26[[#This Row],[M2 Money Stock, Billions of Dollars, Weekly, Seasonally Adjusted]]-B1778)/B1778</f>
        <v>2.5158323935108875E-3</v>
      </c>
      <c r="D1779" s="54">
        <f>((1+Table26[[#This Row],[Weekly change]])^52)-1</f>
        <v>0.13957911312884841</v>
      </c>
      <c r="E1779" s="57">
        <f>(Table26[[#This Row],[M2 Money Stock, Billions of Dollars, Weekly, Seasonally Adjusted]]-B1727)/B1727</f>
        <v>5.1644901487919191E-2</v>
      </c>
    </row>
    <row r="1780" spans="1:5" x14ac:dyDescent="0.2">
      <c r="A1780" s="50">
        <v>41939</v>
      </c>
      <c r="B1780" s="51">
        <v>11590.7</v>
      </c>
      <c r="C1780" s="53">
        <f>(Table26[[#This Row],[M2 Money Stock, Billions of Dollars, Weekly, Seasonally Adjusted]]-B1779)/B1779</f>
        <v>3.0027691242645142E-3</v>
      </c>
      <c r="D1780" s="54">
        <f>((1+Table26[[#This Row],[Weekly change]])^52)-1</f>
        <v>0.16872104913664177</v>
      </c>
      <c r="E1780" s="57">
        <f>(Table26[[#This Row],[M2 Money Stock, Billions of Dollars, Weekly, Seasonally Adjusted]]-B1728)/B1728</f>
        <v>5.67935228578203E-2</v>
      </c>
    </row>
    <row r="1781" spans="1:5" x14ac:dyDescent="0.2">
      <c r="A1781" s="50">
        <v>41946</v>
      </c>
      <c r="B1781" s="51">
        <v>11551.3</v>
      </c>
      <c r="C1781" s="53">
        <f>(Table26[[#This Row],[M2 Money Stock, Billions of Dollars, Weekly, Seasonally Adjusted]]-B1780)/B1780</f>
        <v>-3.3992770065657341E-3</v>
      </c>
      <c r="D1781" s="54">
        <f>((1+Table26[[#This Row],[Weekly change]])^52)-1</f>
        <v>-0.1622734288091251</v>
      </c>
      <c r="E1781" s="57">
        <f>(Table26[[#This Row],[M2 Money Stock, Billions of Dollars, Weekly, Seasonally Adjusted]]-B1729)/B1729</f>
        <v>5.4903608186226506E-2</v>
      </c>
    </row>
    <row r="1782" spans="1:5" x14ac:dyDescent="0.2">
      <c r="A1782" s="50">
        <v>41953</v>
      </c>
      <c r="B1782" s="51">
        <v>11582.1</v>
      </c>
      <c r="C1782" s="53">
        <f>(Table26[[#This Row],[M2 Money Stock, Billions of Dollars, Weekly, Seasonally Adjusted]]-B1781)/B1781</f>
        <v>2.6663665561452903E-3</v>
      </c>
      <c r="D1782" s="54">
        <f>((1+Table26[[#This Row],[Weekly change]])^52)-1</f>
        <v>0.14851125354204431</v>
      </c>
      <c r="E1782" s="57">
        <f>(Table26[[#This Row],[M2 Money Stock, Billions of Dollars, Weekly, Seasonally Adjusted]]-B1730)/B1730</f>
        <v>5.9419163045963903E-2</v>
      </c>
    </row>
    <row r="1783" spans="1:5" x14ac:dyDescent="0.2">
      <c r="A1783" s="50">
        <v>41960</v>
      </c>
      <c r="B1783" s="51">
        <v>11583.4</v>
      </c>
      <c r="C1783" s="53">
        <f>(Table26[[#This Row],[M2 Money Stock, Billions of Dollars, Weekly, Seasonally Adjusted]]-B1782)/B1782</f>
        <v>1.1224216679179702E-4</v>
      </c>
      <c r="D1783" s="54">
        <f>((1+Table26[[#This Row],[Weekly change]])^52)-1</f>
        <v>5.8533293180487167E-3</v>
      </c>
      <c r="E1783" s="57">
        <f>(Table26[[#This Row],[M2 Money Stock, Billions of Dollars, Weekly, Seasonally Adjusted]]-B1731)/B1731</f>
        <v>5.8966576464565205E-2</v>
      </c>
    </row>
    <row r="1784" spans="1:5" x14ac:dyDescent="0.2">
      <c r="A1784" s="50">
        <v>41967</v>
      </c>
      <c r="B1784" s="51">
        <v>11593.5</v>
      </c>
      <c r="C1784" s="53">
        <f>(Table26[[#This Row],[M2 Money Stock, Billions of Dollars, Weekly, Seasonally Adjusted]]-B1783)/B1783</f>
        <v>8.7193742769828926E-4</v>
      </c>
      <c r="D1784" s="54">
        <f>((1+Table26[[#This Row],[Weekly change]])^52)-1</f>
        <v>4.6363678888929893E-2</v>
      </c>
      <c r="E1784" s="57">
        <f>(Table26[[#This Row],[M2 Money Stock, Billions of Dollars, Weekly, Seasonally Adjusted]]-B1732)/B1732</f>
        <v>5.7203042074738669E-2</v>
      </c>
    </row>
    <row r="1785" spans="1:5" x14ac:dyDescent="0.2">
      <c r="A1785" s="50">
        <v>41974</v>
      </c>
      <c r="B1785" s="51">
        <v>11625.2</v>
      </c>
      <c r="C1785" s="53">
        <f>(Table26[[#This Row],[M2 Money Stock, Billions of Dollars, Weekly, Seasonally Adjusted]]-B1784)/B1784</f>
        <v>2.7342907663777745E-3</v>
      </c>
      <c r="D1785" s="54">
        <f>((1+Table26[[#This Row],[Weekly change]])^52)-1</f>
        <v>0.15256407222800528</v>
      </c>
      <c r="E1785" s="57">
        <f>(Table26[[#This Row],[M2 Money Stock, Billions of Dollars, Weekly, Seasonally Adjusted]]-B1733)/B1733</f>
        <v>5.8173510162842168E-2</v>
      </c>
    </row>
    <row r="1786" spans="1:5" x14ac:dyDescent="0.2">
      <c r="A1786" s="50">
        <v>41981</v>
      </c>
      <c r="B1786" s="51">
        <v>11642.7</v>
      </c>
      <c r="C1786" s="53">
        <f>(Table26[[#This Row],[M2 Money Stock, Billions of Dollars, Weekly, Seasonally Adjusted]]-B1785)/B1785</f>
        <v>1.5053504455837317E-3</v>
      </c>
      <c r="D1786" s="54">
        <f>((1+Table26[[#This Row],[Weekly change]])^52)-1</f>
        <v>8.1359844240287638E-2</v>
      </c>
      <c r="E1786" s="57">
        <f>(Table26[[#This Row],[M2 Money Stock, Billions of Dollars, Weekly, Seasonally Adjusted]]-B1734)/B1734</f>
        <v>5.8090607533966533E-2</v>
      </c>
    </row>
    <row r="1787" spans="1:5" x14ac:dyDescent="0.2">
      <c r="A1787" s="50">
        <v>41988</v>
      </c>
      <c r="B1787" s="51">
        <v>11660.2</v>
      </c>
      <c r="C1787" s="53">
        <f>(Table26[[#This Row],[M2 Money Stock, Billions of Dollars, Weekly, Seasonally Adjusted]]-B1786)/B1786</f>
        <v>1.5030877717367964E-3</v>
      </c>
      <c r="D1787" s="54">
        <f>((1+Table26[[#This Row],[Weekly change]])^52)-1</f>
        <v>8.1232811038289388E-2</v>
      </c>
      <c r="E1787" s="57">
        <f>(Table26[[#This Row],[M2 Money Stock, Billions of Dollars, Weekly, Seasonally Adjusted]]-B1735)/B1735</f>
        <v>5.9392177349747943E-2</v>
      </c>
    </row>
    <row r="1788" spans="1:5" x14ac:dyDescent="0.2">
      <c r="A1788" s="50">
        <v>41995</v>
      </c>
      <c r="B1788" s="51">
        <v>11679.7</v>
      </c>
      <c r="C1788" s="53">
        <f>(Table26[[#This Row],[M2 Money Stock, Billions of Dollars, Weekly, Seasonally Adjusted]]-B1787)/B1787</f>
        <v>1.6723555342103907E-3</v>
      </c>
      <c r="D1788" s="54">
        <f>((1+Table26[[#This Row],[Weekly change]])^52)-1</f>
        <v>9.0776526957242476E-2</v>
      </c>
      <c r="E1788" s="57">
        <f>(Table26[[#This Row],[M2 Money Stock, Billions of Dollars, Weekly, Seasonally Adjusted]]-B1736)/B1736</f>
        <v>5.9037411820176661E-2</v>
      </c>
    </row>
    <row r="1789" spans="1:5" x14ac:dyDescent="0.2">
      <c r="A1789" s="50">
        <v>42002</v>
      </c>
      <c r="B1789" s="51">
        <v>11692.7</v>
      </c>
      <c r="C1789" s="53">
        <f>(Table26[[#This Row],[M2 Money Stock, Billions of Dollars, Weekly, Seasonally Adjusted]]-B1788)/B1788</f>
        <v>1.1130422870450438E-3</v>
      </c>
      <c r="D1789" s="54">
        <f>((1+Table26[[#This Row],[Weekly change]])^52)-1</f>
        <v>5.9551825268837622E-2</v>
      </c>
      <c r="E1789" s="57">
        <f>(Table26[[#This Row],[M2 Money Stock, Billions of Dollars, Weekly, Seasonally Adjusted]]-B1737)/B1737</f>
        <v>6.0398850063935715E-2</v>
      </c>
    </row>
    <row r="1790" spans="1:5" x14ac:dyDescent="0.2">
      <c r="A1790" s="50">
        <v>42009</v>
      </c>
      <c r="B1790" s="51">
        <v>11677.5</v>
      </c>
      <c r="C1790" s="53">
        <f>(Table26[[#This Row],[M2 Money Stock, Billions of Dollars, Weekly, Seasonally Adjusted]]-B1789)/B1789</f>
        <v>-1.2999563830424733E-3</v>
      </c>
      <c r="D1790" s="54">
        <f>((1+Table26[[#This Row],[Weekly change]])^52)-1</f>
        <v>-6.5404727539341234E-2</v>
      </c>
      <c r="E1790" s="57">
        <f>(Table26[[#This Row],[M2 Money Stock, Billions of Dollars, Weekly, Seasonally Adjusted]]-B1738)/B1738</f>
        <v>5.8108769322774076E-2</v>
      </c>
    </row>
    <row r="1791" spans="1:5" x14ac:dyDescent="0.2">
      <c r="A1791" s="50">
        <v>42016</v>
      </c>
      <c r="B1791" s="51">
        <v>11703.9</v>
      </c>
      <c r="C1791" s="53">
        <f>(Table26[[#This Row],[M2 Money Stock, Billions of Dollars, Weekly, Seasonally Adjusted]]-B1790)/B1790</f>
        <v>2.2607578676942528E-3</v>
      </c>
      <c r="D1791" s="54">
        <f>((1+Table26[[#This Row],[Weekly change]])^52)-1</f>
        <v>0.12459921897533821</v>
      </c>
      <c r="E1791" s="57">
        <f>(Table26[[#This Row],[M2 Money Stock, Billions of Dollars, Weekly, Seasonally Adjusted]]-B1739)/B1739</f>
        <v>6.0625832585705357E-2</v>
      </c>
    </row>
    <row r="1792" spans="1:5" x14ac:dyDescent="0.2">
      <c r="A1792" s="50">
        <v>42023</v>
      </c>
      <c r="B1792" s="51">
        <v>11714.3</v>
      </c>
      <c r="C1792" s="53">
        <f>(Table26[[#This Row],[M2 Money Stock, Billions of Dollars, Weekly, Seasonally Adjusted]]-B1791)/B1791</f>
        <v>8.885926913250828E-4</v>
      </c>
      <c r="D1792" s="54">
        <f>((1+Table26[[#This Row],[Weekly change]])^52)-1</f>
        <v>4.7269501794753754E-2</v>
      </c>
      <c r="E1792" s="57">
        <f>(Table26[[#This Row],[M2 Money Stock, Billions of Dollars, Weekly, Seasonally Adjusted]]-B1740)/B1740</f>
        <v>5.867095643057893E-2</v>
      </c>
    </row>
    <row r="1793" spans="1:5" x14ac:dyDescent="0.2">
      <c r="A1793" s="50">
        <v>42030</v>
      </c>
      <c r="B1793" s="51">
        <v>11756.7</v>
      </c>
      <c r="C1793" s="53">
        <f>(Table26[[#This Row],[M2 Money Stock, Billions of Dollars, Weekly, Seasonally Adjusted]]-B1792)/B1792</f>
        <v>3.6195077810881964E-3</v>
      </c>
      <c r="D1793" s="54">
        <f>((1+Table26[[#This Row],[Weekly change]])^52)-1</f>
        <v>0.20668219100775276</v>
      </c>
      <c r="E1793" s="57">
        <f>(Table26[[#This Row],[M2 Money Stock, Billions of Dollars, Weekly, Seasonally Adjusted]]-B1741)/B1741</f>
        <v>5.8952279728342126E-2</v>
      </c>
    </row>
    <row r="1794" spans="1:5" x14ac:dyDescent="0.2">
      <c r="A1794" s="50">
        <v>42037</v>
      </c>
      <c r="B1794" s="51">
        <v>11816.6</v>
      </c>
      <c r="C1794" s="53">
        <f>(Table26[[#This Row],[M2 Money Stock, Billions of Dollars, Weekly, Seasonally Adjusted]]-B1793)/B1793</f>
        <v>5.094967125128619E-3</v>
      </c>
      <c r="D1794" s="54">
        <f>((1+Table26[[#This Row],[Weekly change]])^52)-1</f>
        <v>0.30247415042504033</v>
      </c>
      <c r="E1794" s="57">
        <f>(Table26[[#This Row],[M2 Money Stock, Billions of Dollars, Weekly, Seasonally Adjusted]]-B1742)/B1742</f>
        <v>6.4539377668870801E-2</v>
      </c>
    </row>
    <row r="1795" spans="1:5" x14ac:dyDescent="0.2">
      <c r="A1795" s="50">
        <v>42044</v>
      </c>
      <c r="B1795" s="51">
        <v>11824.9</v>
      </c>
      <c r="C1795" s="53">
        <f>(Table26[[#This Row],[M2 Money Stock, Billions of Dollars, Weekly, Seasonally Adjusted]]-B1794)/B1794</f>
        <v>7.0240170607444377E-4</v>
      </c>
      <c r="D1795" s="54">
        <f>((1+Table26[[#This Row],[Weekly change]])^52)-1</f>
        <v>3.7186819828442186E-2</v>
      </c>
      <c r="E1795" s="57">
        <f>(Table26[[#This Row],[M2 Money Stock, Billions of Dollars, Weekly, Seasonally Adjusted]]-B1743)/B1743</f>
        <v>6.187196364909886E-2</v>
      </c>
    </row>
    <row r="1796" spans="1:5" x14ac:dyDescent="0.2">
      <c r="A1796" s="50">
        <v>42051</v>
      </c>
      <c r="B1796" s="51">
        <v>11846</v>
      </c>
      <c r="C1796" s="53">
        <f>(Table26[[#This Row],[M2 Money Stock, Billions of Dollars, Weekly, Seasonally Adjusted]]-B1795)/B1795</f>
        <v>1.784370269516052E-3</v>
      </c>
      <c r="D1796" s="54">
        <f>((1+Table26[[#This Row],[Weekly change]])^52)-1</f>
        <v>9.7137558885735942E-2</v>
      </c>
      <c r="E1796" s="57">
        <f>(Table26[[#This Row],[M2 Money Stock, Billions of Dollars, Weekly, Seasonally Adjusted]]-B1744)/B1744</f>
        <v>6.0766158640328131E-2</v>
      </c>
    </row>
    <row r="1797" spans="1:5" x14ac:dyDescent="0.2">
      <c r="A1797" s="50">
        <v>42058</v>
      </c>
      <c r="B1797" s="51">
        <v>11875.5</v>
      </c>
      <c r="C1797" s="53">
        <f>(Table26[[#This Row],[M2 Money Stock, Billions of Dollars, Weekly, Seasonally Adjusted]]-B1796)/B1796</f>
        <v>2.490292081715347E-3</v>
      </c>
      <c r="D1797" s="54">
        <f>((1+Table26[[#This Row],[Weekly change]])^52)-1</f>
        <v>0.13807042083994969</v>
      </c>
      <c r="E1797" s="57">
        <f>(Table26[[#This Row],[M2 Money Stock, Billions of Dollars, Weekly, Seasonally Adjusted]]-B1745)/B1745</f>
        <v>6.3836458268012833E-2</v>
      </c>
    </row>
    <row r="1798" spans="1:5" x14ac:dyDescent="0.2">
      <c r="A1798" s="50">
        <v>42065</v>
      </c>
      <c r="B1798" s="51">
        <v>11882.5</v>
      </c>
      <c r="C1798" s="53">
        <f>(Table26[[#This Row],[M2 Money Stock, Billions of Dollars, Weekly, Seasonally Adjusted]]-B1797)/B1797</f>
        <v>5.8944886531093425E-4</v>
      </c>
      <c r="D1798" s="54">
        <f>((1+Table26[[#This Row],[Weekly change]])^52)-1</f>
        <v>3.1116618685754993E-2</v>
      </c>
      <c r="E1798" s="57">
        <f>(Table26[[#This Row],[M2 Money Stock, Billions of Dollars, Weekly, Seasonally Adjusted]]-B1746)/B1746</f>
        <v>6.5695067264573997E-2</v>
      </c>
    </row>
    <row r="1799" spans="1:5" x14ac:dyDescent="0.2">
      <c r="A1799" s="50">
        <v>42072</v>
      </c>
      <c r="B1799" s="51">
        <v>11855.2</v>
      </c>
      <c r="C1799" s="53">
        <f>(Table26[[#This Row],[M2 Money Stock, Billions of Dollars, Weekly, Seasonally Adjusted]]-B1798)/B1798</f>
        <v>-2.2974963181148136E-3</v>
      </c>
      <c r="D1799" s="54">
        <f>((1+Table26[[#This Row],[Weekly change]])^52)-1</f>
        <v>-0.11273116559305063</v>
      </c>
      <c r="E1799" s="57">
        <f>(Table26[[#This Row],[M2 Money Stock, Billions of Dollars, Weekly, Seasonally Adjusted]]-B1747)/B1747</f>
        <v>6.1513941369244818E-2</v>
      </c>
    </row>
    <row r="1800" spans="1:5" x14ac:dyDescent="0.2">
      <c r="A1800" s="50">
        <v>42079</v>
      </c>
      <c r="B1800" s="51">
        <v>11864.2</v>
      </c>
      <c r="C1800" s="53">
        <f>(Table26[[#This Row],[M2 Money Stock, Billions of Dollars, Weekly, Seasonally Adjusted]]-B1799)/B1799</f>
        <v>7.5916053714825561E-4</v>
      </c>
      <c r="D1800" s="54">
        <f>((1+Table26[[#This Row],[Weekly change]])^52)-1</f>
        <v>4.0250314350547711E-2</v>
      </c>
      <c r="E1800" s="57">
        <f>(Table26[[#This Row],[M2 Money Stock, Billions of Dollars, Weekly, Seasonally Adjusted]]-B1748)/B1748</f>
        <v>6.0430278599583519E-2</v>
      </c>
    </row>
    <row r="1801" spans="1:5" x14ac:dyDescent="0.2">
      <c r="A1801" s="50">
        <v>42086</v>
      </c>
      <c r="B1801" s="51">
        <v>11868.2</v>
      </c>
      <c r="C1801" s="53">
        <f>(Table26[[#This Row],[M2 Money Stock, Billions of Dollars, Weekly, Seasonally Adjusted]]-B1800)/B1800</f>
        <v>3.3714873316363511E-4</v>
      </c>
      <c r="D1801" s="54">
        <f>((1+Table26[[#This Row],[Weekly change]])^52)-1</f>
        <v>1.7683310031786137E-2</v>
      </c>
      <c r="E1801" s="57">
        <f>(Table26[[#This Row],[M2 Money Stock, Billions of Dollars, Weekly, Seasonally Adjusted]]-B1749)/B1749</f>
        <v>5.8658769378980638E-2</v>
      </c>
    </row>
    <row r="1802" spans="1:5" x14ac:dyDescent="0.2">
      <c r="A1802" s="50">
        <v>42093</v>
      </c>
      <c r="B1802" s="51">
        <v>11880.3</v>
      </c>
      <c r="C1802" s="53">
        <f>(Table26[[#This Row],[M2 Money Stock, Billions of Dollars, Weekly, Seasonally Adjusted]]-B1801)/B1801</f>
        <v>1.0195311841727089E-3</v>
      </c>
      <c r="D1802" s="54">
        <f>((1+Table26[[#This Row],[Weekly change]])^52)-1</f>
        <v>5.4417639865248946E-2</v>
      </c>
      <c r="E1802" s="57">
        <f>(Table26[[#This Row],[M2 Money Stock, Billions of Dollars, Weekly, Seasonally Adjusted]]-B1750)/B1750</f>
        <v>5.9653034830308101E-2</v>
      </c>
    </row>
    <row r="1803" spans="1:5" x14ac:dyDescent="0.2">
      <c r="A1803" s="50">
        <v>42100</v>
      </c>
      <c r="B1803" s="51">
        <v>11909.3</v>
      </c>
      <c r="C1803" s="53">
        <f>(Table26[[#This Row],[M2 Money Stock, Billions of Dollars, Weekly, Seasonally Adjusted]]-B1802)/B1802</f>
        <v>2.4410157992643287E-3</v>
      </c>
      <c r="D1803" s="54">
        <f>((1+Table26[[#This Row],[Weekly change]])^52)-1</f>
        <v>0.13516515425188214</v>
      </c>
      <c r="E1803" s="57">
        <f>(Table26[[#This Row],[M2 Money Stock, Billions of Dollars, Weekly, Seasonally Adjusted]]-B1751)/B1751</f>
        <v>6.1851349905488684E-2</v>
      </c>
    </row>
    <row r="1804" spans="1:5" x14ac:dyDescent="0.2">
      <c r="A1804" s="50">
        <v>42107</v>
      </c>
      <c r="B1804" s="51">
        <v>11918.8</v>
      </c>
      <c r="C1804" s="53">
        <f>(Table26[[#This Row],[M2 Money Stock, Billions of Dollars, Weekly, Seasonally Adjusted]]-B1803)/B1803</f>
        <v>7.9769591831593801E-4</v>
      </c>
      <c r="D1804" s="54">
        <f>((1+Table26[[#This Row],[Weekly change]])^52)-1</f>
        <v>4.2335274628394481E-2</v>
      </c>
      <c r="E1804" s="57">
        <f>(Table26[[#This Row],[M2 Money Stock, Billions of Dollars, Weekly, Seasonally Adjusted]]-B1752)/B1752</f>
        <v>6.0683996475896347E-2</v>
      </c>
    </row>
    <row r="1805" spans="1:5" x14ac:dyDescent="0.2">
      <c r="A1805" s="50">
        <v>42114</v>
      </c>
      <c r="B1805" s="51">
        <v>11924.5</v>
      </c>
      <c r="C1805" s="53">
        <f>(Table26[[#This Row],[M2 Money Stock, Billions of Dollars, Weekly, Seasonally Adjusted]]-B1804)/B1804</f>
        <v>4.7823606403335299E-4</v>
      </c>
      <c r="D1805" s="54">
        <f>((1+Table26[[#This Row],[Weekly change]])^52)-1</f>
        <v>2.5173975899057455E-2</v>
      </c>
      <c r="E1805" s="57">
        <f>(Table26[[#This Row],[M2 Money Stock, Billions of Dollars, Weekly, Seasonally Adjusted]]-B1753)/B1753</f>
        <v>6.0926893066540852E-2</v>
      </c>
    </row>
    <row r="1806" spans="1:5" x14ac:dyDescent="0.2">
      <c r="A1806" s="50">
        <v>42121</v>
      </c>
      <c r="B1806" s="51">
        <v>11913</v>
      </c>
      <c r="C1806" s="53">
        <f>(Table26[[#This Row],[M2 Money Stock, Billions of Dollars, Weekly, Seasonally Adjusted]]-B1805)/B1805</f>
        <v>-9.6440102310369413E-4</v>
      </c>
      <c r="D1806" s="54">
        <f>((1+Table26[[#This Row],[Weekly change]])^52)-1</f>
        <v>-4.8935172044200725E-2</v>
      </c>
      <c r="E1806" s="57">
        <f>(Table26[[#This Row],[M2 Money Stock, Billions of Dollars, Weekly, Seasonally Adjusted]]-B1754)/B1754</f>
        <v>5.5836213772932727E-2</v>
      </c>
    </row>
    <row r="1807" spans="1:5" x14ac:dyDescent="0.2">
      <c r="A1807" s="50">
        <v>42128</v>
      </c>
      <c r="B1807" s="51">
        <v>11916.2</v>
      </c>
      <c r="C1807" s="53">
        <f>(Table26[[#This Row],[M2 Money Stock, Billions of Dollars, Weekly, Seasonally Adjusted]]-B1806)/B1806</f>
        <v>2.686141190296926E-4</v>
      </c>
      <c r="D1807" s="54">
        <f>((1+Table26[[#This Row],[Weekly change]])^52)-1</f>
        <v>1.4064039533499439E-2</v>
      </c>
      <c r="E1807" s="57">
        <f>(Table26[[#This Row],[M2 Money Stock, Billions of Dollars, Weekly, Seasonally Adjusted]]-B1755)/B1755</f>
        <v>5.5913940382093359E-2</v>
      </c>
    </row>
    <row r="1808" spans="1:5" x14ac:dyDescent="0.2">
      <c r="A1808" s="50">
        <v>42135</v>
      </c>
      <c r="B1808" s="51">
        <v>11930.2</v>
      </c>
      <c r="C1808" s="53">
        <f>(Table26[[#This Row],[M2 Money Stock, Billions of Dollars, Weekly, Seasonally Adjusted]]-B1807)/B1807</f>
        <v>1.174871183766637E-3</v>
      </c>
      <c r="D1808" s="54">
        <f>((1+Table26[[#This Row],[Weekly change]])^52)-1</f>
        <v>6.2959970194528037E-2</v>
      </c>
      <c r="E1808" s="57">
        <f>(Table26[[#This Row],[M2 Money Stock, Billions of Dollars, Weekly, Seasonally Adjusted]]-B1756)/B1756</f>
        <v>5.6059626977312461E-2</v>
      </c>
    </row>
    <row r="1809" spans="1:5" x14ac:dyDescent="0.2">
      <c r="A1809" s="50">
        <v>42142</v>
      </c>
      <c r="B1809" s="51">
        <v>11942.2</v>
      </c>
      <c r="C1809" s="53">
        <f>(Table26[[#This Row],[M2 Money Stock, Billions of Dollars, Weekly, Seasonally Adjusted]]-B1808)/B1808</f>
        <v>1.0058506982280264E-3</v>
      </c>
      <c r="D1809" s="54">
        <f>((1+Table26[[#This Row],[Weekly change]])^52)-1</f>
        <v>5.3668567738284656E-2</v>
      </c>
      <c r="E1809" s="57">
        <f>(Table26[[#This Row],[M2 Money Stock, Billions of Dollars, Weekly, Seasonally Adjusted]]-B1757)/B1757</f>
        <v>5.697216444660802E-2</v>
      </c>
    </row>
    <row r="1810" spans="1:5" x14ac:dyDescent="0.2">
      <c r="A1810" s="50">
        <v>42149</v>
      </c>
      <c r="B1810" s="51">
        <v>11967.6</v>
      </c>
      <c r="C1810" s="53">
        <f>(Table26[[#This Row],[M2 Money Stock, Billions of Dollars, Weekly, Seasonally Adjusted]]-B1809)/B1809</f>
        <v>2.126911289377136E-3</v>
      </c>
      <c r="D1810" s="54">
        <f>((1+Table26[[#This Row],[Weekly change]])^52)-1</f>
        <v>0.11681617471848305</v>
      </c>
      <c r="E1810" s="57">
        <f>(Table26[[#This Row],[M2 Money Stock, Billions of Dollars, Weekly, Seasonally Adjusted]]-B1758)/B1758</f>
        <v>5.5856014822003648E-2</v>
      </c>
    </row>
    <row r="1811" spans="1:5" x14ac:dyDescent="0.2">
      <c r="A1811" s="50">
        <v>42156</v>
      </c>
      <c r="B1811" s="51">
        <v>11980.7</v>
      </c>
      <c r="C1811" s="53">
        <f>(Table26[[#This Row],[M2 Money Stock, Billions of Dollars, Weekly, Seasonally Adjusted]]-B1810)/B1810</f>
        <v>1.0946221464621447E-3</v>
      </c>
      <c r="D1811" s="54">
        <f>((1+Table26[[#This Row],[Weekly change]])^52)-1</f>
        <v>5.853854026301053E-2</v>
      </c>
      <c r="E1811" s="57">
        <f>(Table26[[#This Row],[M2 Money Stock, Billions of Dollars, Weekly, Seasonally Adjusted]]-B1759)/B1759</f>
        <v>5.4202926606069665E-2</v>
      </c>
    </row>
    <row r="1812" spans="1:5" x14ac:dyDescent="0.2">
      <c r="A1812" s="50">
        <v>42163</v>
      </c>
      <c r="B1812" s="51">
        <v>11960.4</v>
      </c>
      <c r="C1812" s="53">
        <f>(Table26[[#This Row],[M2 Money Stock, Billions of Dollars, Weekly, Seasonally Adjusted]]-B1811)/B1811</f>
        <v>-1.694391813500137E-3</v>
      </c>
      <c r="D1812" s="54">
        <f>((1+Table26[[#This Row],[Weekly change]])^52)-1</f>
        <v>-8.4406787206203426E-2</v>
      </c>
      <c r="E1812" s="57">
        <f>(Table26[[#This Row],[M2 Money Stock, Billions of Dollars, Weekly, Seasonally Adjusted]]-B1760)/B1760</f>
        <v>5.3993320232293668E-2</v>
      </c>
    </row>
    <row r="1813" spans="1:5" x14ac:dyDescent="0.2">
      <c r="A1813" s="50">
        <v>42170</v>
      </c>
      <c r="B1813" s="51">
        <v>11971.8</v>
      </c>
      <c r="C1813" s="53">
        <f>(Table26[[#This Row],[M2 Money Stock, Billions of Dollars, Weekly, Seasonally Adjusted]]-B1812)/B1812</f>
        <v>9.5314537975315511E-4</v>
      </c>
      <c r="D1813" s="54">
        <f>((1+Table26[[#This Row],[Weekly change]])^52)-1</f>
        <v>5.0787574655032808E-2</v>
      </c>
      <c r="E1813" s="57">
        <f>(Table26[[#This Row],[M2 Money Stock, Billions of Dollars, Weekly, Seasonally Adjusted]]-B1761)/B1761</f>
        <v>5.4171142771604078E-2</v>
      </c>
    </row>
    <row r="1814" spans="1:5" x14ac:dyDescent="0.2">
      <c r="A1814" s="50">
        <v>42177</v>
      </c>
      <c r="B1814" s="51">
        <v>12011.3</v>
      </c>
      <c r="C1814" s="53">
        <f>(Table26[[#This Row],[M2 Money Stock, Billions of Dollars, Weekly, Seasonally Adjusted]]-B1813)/B1813</f>
        <v>3.2994203043819645E-3</v>
      </c>
      <c r="D1814" s="54">
        <f>((1+Table26[[#This Row],[Weekly change]])^52)-1</f>
        <v>0.18683183859623975</v>
      </c>
      <c r="E1814" s="57">
        <f>(Table26[[#This Row],[M2 Money Stock, Billions of Dollars, Weekly, Seasonally Adjusted]]-B1762)/B1762</f>
        <v>5.6133440019695911E-2</v>
      </c>
    </row>
    <row r="1815" spans="1:5" x14ac:dyDescent="0.2">
      <c r="A1815" s="50">
        <v>42184</v>
      </c>
      <c r="B1815" s="51">
        <v>12029.2</v>
      </c>
      <c r="C1815" s="53">
        <f>(Table26[[#This Row],[M2 Money Stock, Billions of Dollars, Weekly, Seasonally Adjusted]]-B1814)/B1814</f>
        <v>1.4902633353593246E-3</v>
      </c>
      <c r="D1815" s="54">
        <f>((1+Table26[[#This Row],[Weekly change]])^52)-1</f>
        <v>8.0513085769464698E-2</v>
      </c>
      <c r="E1815" s="57">
        <f>(Table26[[#This Row],[M2 Money Stock, Billions of Dollars, Weekly, Seasonally Adjusted]]-B1763)/B1763</f>
        <v>5.5952527256447754E-2</v>
      </c>
    </row>
    <row r="1816" spans="1:5" x14ac:dyDescent="0.2">
      <c r="A1816" s="50">
        <v>42191</v>
      </c>
      <c r="B1816" s="51">
        <v>12048</v>
      </c>
      <c r="C1816" s="53">
        <f>(Table26[[#This Row],[M2 Money Stock, Billions of Dollars, Weekly, Seasonally Adjusted]]-B1815)/B1815</f>
        <v>1.5628636983339931E-3</v>
      </c>
      <c r="D1816" s="54">
        <f>((1+Table26[[#This Row],[Weekly change]])^52)-1</f>
        <v>8.4593727626939508E-2</v>
      </c>
      <c r="E1816" s="57">
        <f>(Table26[[#This Row],[M2 Money Stock, Billions of Dollars, Weekly, Seasonally Adjusted]]-B1764)/B1764</f>
        <v>5.8215929452271303E-2</v>
      </c>
    </row>
    <row r="1817" spans="1:5" x14ac:dyDescent="0.2">
      <c r="A1817" s="50">
        <v>42198</v>
      </c>
      <c r="B1817" s="51">
        <v>12039.1</v>
      </c>
      <c r="C1817" s="53">
        <f>(Table26[[#This Row],[M2 Money Stock, Billions of Dollars, Weekly, Seasonally Adjusted]]-B1816)/B1816</f>
        <v>-7.3871181938907999E-4</v>
      </c>
      <c r="D1817" s="54">
        <f>((1+Table26[[#This Row],[Weekly change]])^52)-1</f>
        <v>-3.7698251550839168E-2</v>
      </c>
      <c r="E1817" s="57">
        <f>(Table26[[#This Row],[M2 Money Stock, Billions of Dollars, Weekly, Seasonally Adjusted]]-B1765)/B1765</f>
        <v>5.445197680732923E-2</v>
      </c>
    </row>
    <row r="1818" spans="1:5" x14ac:dyDescent="0.2">
      <c r="A1818" s="50">
        <v>42205</v>
      </c>
      <c r="B1818" s="51">
        <v>12041.7</v>
      </c>
      <c r="C1818" s="53">
        <f>(Table26[[#This Row],[M2 Money Stock, Billions of Dollars, Weekly, Seasonally Adjusted]]-B1817)/B1817</f>
        <v>2.1596298726652023E-4</v>
      </c>
      <c r="D1818" s="54">
        <f>((1+Table26[[#This Row],[Weekly change]])^52)-1</f>
        <v>1.1292143186330206E-2</v>
      </c>
      <c r="E1818" s="57">
        <f>(Table26[[#This Row],[M2 Money Stock, Billions of Dollars, Weekly, Seasonally Adjusted]]-B1766)/B1766</f>
        <v>5.2476554237717875E-2</v>
      </c>
    </row>
    <row r="1819" spans="1:5" x14ac:dyDescent="0.2">
      <c r="A1819" s="50">
        <v>42212</v>
      </c>
      <c r="B1819" s="51">
        <v>12057.8</v>
      </c>
      <c r="C1819" s="53">
        <f>(Table26[[#This Row],[M2 Money Stock, Billions of Dollars, Weekly, Seasonally Adjusted]]-B1818)/B1818</f>
        <v>1.3370205203583002E-3</v>
      </c>
      <c r="D1819" s="54">
        <f>((1+Table26[[#This Row],[Weekly change]])^52)-1</f>
        <v>7.1949153647443476E-2</v>
      </c>
      <c r="E1819" s="57">
        <f>(Table26[[#This Row],[M2 Money Stock, Billions of Dollars, Weekly, Seasonally Adjusted]]-B1767)/B1767</f>
        <v>5.2457928915578524E-2</v>
      </c>
    </row>
    <row r="1820" spans="1:5" x14ac:dyDescent="0.2">
      <c r="A1820" s="50">
        <v>42219</v>
      </c>
      <c r="B1820" s="51">
        <v>12046.6</v>
      </c>
      <c r="C1820" s="53">
        <f>(Table26[[#This Row],[M2 Money Stock, Billions of Dollars, Weekly, Seasonally Adjusted]]-B1819)/B1819</f>
        <v>-9.2885932757210343E-4</v>
      </c>
      <c r="D1820" s="54">
        <f>((1+Table26[[#This Row],[Weekly change]])^52)-1</f>
        <v>-4.7174150437132467E-2</v>
      </c>
      <c r="E1820" s="57">
        <f>(Table26[[#This Row],[M2 Money Stock, Billions of Dollars, Weekly, Seasonally Adjusted]]-B1768)/B1768</f>
        <v>5.1351870276308637E-2</v>
      </c>
    </row>
    <row r="1821" spans="1:5" x14ac:dyDescent="0.2">
      <c r="A1821" s="50">
        <v>42226</v>
      </c>
      <c r="B1821" s="51">
        <v>12067.2</v>
      </c>
      <c r="C1821" s="53">
        <f>(Table26[[#This Row],[M2 Money Stock, Billions of Dollars, Weekly, Seasonally Adjusted]]-B1820)/B1820</f>
        <v>1.7100260654458821E-3</v>
      </c>
      <c r="D1821" s="54">
        <f>((1+Table26[[#This Row],[Weekly change]])^52)-1</f>
        <v>9.2911693380225424E-2</v>
      </c>
      <c r="E1821" s="57">
        <f>(Table26[[#This Row],[M2 Money Stock, Billions of Dollars, Weekly, Seasonally Adjusted]]-B1769)/B1769</f>
        <v>5.5166443692453111E-2</v>
      </c>
    </row>
    <row r="1822" spans="1:5" x14ac:dyDescent="0.2">
      <c r="A1822" s="50">
        <v>42233</v>
      </c>
      <c r="B1822" s="51">
        <v>12099.5</v>
      </c>
      <c r="C1822" s="53">
        <f>(Table26[[#This Row],[M2 Money Stock, Billions of Dollars, Weekly, Seasonally Adjusted]]-B1821)/B1821</f>
        <v>2.6766772739325834E-3</v>
      </c>
      <c r="D1822" s="54">
        <f>((1+Table26[[#This Row],[Weekly change]])^52)-1</f>
        <v>0.14912555979850972</v>
      </c>
      <c r="E1822" s="57">
        <f>(Table26[[#This Row],[M2 Money Stock, Billions of Dollars, Weekly, Seasonally Adjusted]]-B1770)/B1770</f>
        <v>5.660492695152522E-2</v>
      </c>
    </row>
    <row r="1823" spans="1:5" x14ac:dyDescent="0.2">
      <c r="A1823" s="50">
        <v>42240</v>
      </c>
      <c r="B1823" s="51">
        <v>12117.6</v>
      </c>
      <c r="C1823" s="53">
        <f>(Table26[[#This Row],[M2 Money Stock, Billions of Dollars, Weekly, Seasonally Adjusted]]-B1822)/B1822</f>
        <v>1.495929583867132E-3</v>
      </c>
      <c r="D1823" s="54">
        <f>((1+Table26[[#This Row],[Weekly change]])^52)-1</f>
        <v>8.0831025586354244E-2</v>
      </c>
      <c r="E1823" s="57">
        <f>(Table26[[#This Row],[M2 Money Stock, Billions of Dollars, Weekly, Seasonally Adjusted]]-B1771)/B1771</f>
        <v>5.6801234923209855E-2</v>
      </c>
    </row>
    <row r="1824" spans="1:5" x14ac:dyDescent="0.2">
      <c r="A1824" s="50">
        <v>42247</v>
      </c>
      <c r="B1824" s="51">
        <v>12128</v>
      </c>
      <c r="C1824" s="53">
        <f>(Table26[[#This Row],[M2 Money Stock, Billions of Dollars, Weekly, Seasonally Adjusted]]-B1823)/B1823</f>
        <v>8.5825576021651446E-4</v>
      </c>
      <c r="D1824" s="54">
        <f>((1+Table26[[#This Row],[Weekly change]])^52)-1</f>
        <v>4.5620154633692067E-2</v>
      </c>
      <c r="E1824" s="57">
        <f>(Table26[[#This Row],[M2 Money Stock, Billions of Dollars, Weekly, Seasonally Adjusted]]-B1772)/B1772</f>
        <v>5.6528821945971343E-2</v>
      </c>
    </row>
    <row r="1825" spans="1:5" x14ac:dyDescent="0.2">
      <c r="A1825" s="50">
        <v>42254</v>
      </c>
      <c r="B1825" s="51">
        <v>12128.4</v>
      </c>
      <c r="C1825" s="53">
        <f>(Table26[[#This Row],[M2 Money Stock, Billions of Dollars, Weekly, Seasonally Adjusted]]-B1824)/B1824</f>
        <v>3.2981530342977916E-5</v>
      </c>
      <c r="D1825" s="54">
        <f>((1+Table26[[#This Row],[Weekly change]])^52)-1</f>
        <v>1.7164827690967499E-3</v>
      </c>
      <c r="E1825" s="57">
        <f>(Table26[[#This Row],[M2 Money Stock, Billions of Dollars, Weekly, Seasonally Adjusted]]-B1773)/B1773</f>
        <v>5.7466453924825439E-2</v>
      </c>
    </row>
    <row r="1826" spans="1:5" x14ac:dyDescent="0.2">
      <c r="A1826" s="50">
        <v>42261</v>
      </c>
      <c r="B1826" s="51">
        <v>12151.6</v>
      </c>
      <c r="C1826" s="53">
        <f>(Table26[[#This Row],[M2 Money Stock, Billions of Dollars, Weekly, Seasonally Adjusted]]-B1825)/B1825</f>
        <v>1.9128656706573603E-3</v>
      </c>
      <c r="D1826" s="54">
        <f>((1+Table26[[#This Row],[Weekly change]])^52)-1</f>
        <v>0.10447929823164492</v>
      </c>
      <c r="E1826" s="57">
        <f>(Table26[[#This Row],[M2 Money Stock, Billions of Dollars, Weekly, Seasonally Adjusted]]-B1774)/B1774</f>
        <v>5.7967229100280446E-2</v>
      </c>
    </row>
    <row r="1827" spans="1:5" x14ac:dyDescent="0.2">
      <c r="A1827" s="50">
        <v>42268</v>
      </c>
      <c r="B1827" s="51">
        <v>12174.5</v>
      </c>
      <c r="C1827" s="53">
        <f>(Table26[[#This Row],[M2 Money Stock, Billions of Dollars, Weekly, Seasonally Adjusted]]-B1826)/B1826</f>
        <v>1.8845254945850452E-3</v>
      </c>
      <c r="D1827" s="54">
        <f>((1+Table26[[#This Row],[Weekly change]])^52)-1</f>
        <v>0.10285591784441395</v>
      </c>
      <c r="E1827" s="57">
        <f>(Table26[[#This Row],[M2 Money Stock, Billions of Dollars, Weekly, Seasonally Adjusted]]-B1775)/B1775</f>
        <v>5.9048165835921193E-2</v>
      </c>
    </row>
    <row r="1828" spans="1:5" x14ac:dyDescent="0.2">
      <c r="A1828" s="50">
        <v>42275</v>
      </c>
      <c r="B1828" s="51">
        <v>12158.5</v>
      </c>
      <c r="C1828" s="53">
        <f>(Table26[[#This Row],[M2 Money Stock, Billions of Dollars, Weekly, Seasonally Adjusted]]-B1827)/B1827</f>
        <v>-1.3142223499938396E-3</v>
      </c>
      <c r="D1828" s="54">
        <f>((1+Table26[[#This Row],[Weekly change]])^52)-1</f>
        <v>-6.6098688249643156E-2</v>
      </c>
      <c r="E1828" s="57">
        <f>(Table26[[#This Row],[M2 Money Stock, Billions of Dollars, Weekly, Seasonally Adjusted]]-B1776)/B1776</f>
        <v>5.6012020566981624E-2</v>
      </c>
    </row>
    <row r="1829" spans="1:5" x14ac:dyDescent="0.2">
      <c r="A1829" s="50">
        <v>42282</v>
      </c>
      <c r="B1829" s="51">
        <v>12151.2</v>
      </c>
      <c r="C1829" s="53">
        <f>(Table26[[#This Row],[M2 Money Stock, Billions of Dollars, Weekly, Seasonally Adjusted]]-B1828)/B1828</f>
        <v>-6.0040301023969018E-4</v>
      </c>
      <c r="D1829" s="54">
        <f>((1+Table26[[#This Row],[Weekly change]])^52)-1</f>
        <v>-3.0747703294217166E-2</v>
      </c>
      <c r="E1829" s="57">
        <f>(Table26[[#This Row],[M2 Money Stock, Billions of Dollars, Weekly, Seasonally Adjusted]]-B1777)/B1777</f>
        <v>5.4004822788543308E-2</v>
      </c>
    </row>
    <row r="1830" spans="1:5" x14ac:dyDescent="0.2">
      <c r="A1830" s="50">
        <v>42289</v>
      </c>
      <c r="B1830" s="51">
        <v>12151.9</v>
      </c>
      <c r="C1830" s="53">
        <f>(Table26[[#This Row],[M2 Money Stock, Billions of Dollars, Weekly, Seasonally Adjusted]]-B1829)/B1829</f>
        <v>5.7607479096624907E-5</v>
      </c>
      <c r="D1830" s="54">
        <f>((1+Table26[[#This Row],[Weekly change]])^52)-1</f>
        <v>2.9999936333291455E-3</v>
      </c>
      <c r="E1830" s="57">
        <f>(Table26[[#This Row],[M2 Money Stock, Billions of Dollars, Weekly, Seasonally Adjusted]]-B1778)/B1778</f>
        <v>5.4211850438101818E-2</v>
      </c>
    </row>
    <row r="1831" spans="1:5" x14ac:dyDescent="0.2">
      <c r="A1831" s="50">
        <v>42296</v>
      </c>
      <c r="B1831" s="51">
        <v>12157.9</v>
      </c>
      <c r="C1831" s="53">
        <f>(Table26[[#This Row],[M2 Money Stock, Billions of Dollars, Weekly, Seasonally Adjusted]]-B1830)/B1830</f>
        <v>4.9374994856771367E-4</v>
      </c>
      <c r="D1831" s="54">
        <f>((1+Table26[[#This Row],[Weekly change]])^52)-1</f>
        <v>2.6000937916580869E-2</v>
      </c>
      <c r="E1831" s="57">
        <f>(Table26[[#This Row],[M2 Money Stock, Billions of Dollars, Weekly, Seasonally Adjusted]]-B1779)/B1779</f>
        <v>5.2085496711664903E-2</v>
      </c>
    </row>
    <row r="1832" spans="1:5" x14ac:dyDescent="0.2">
      <c r="A1832" s="50">
        <v>42303</v>
      </c>
      <c r="B1832" s="51">
        <v>12217.4</v>
      </c>
      <c r="C1832" s="53">
        <f>(Table26[[#This Row],[M2 Money Stock, Billions of Dollars, Weekly, Seasonally Adjusted]]-B1831)/B1831</f>
        <v>4.8939372753518291E-3</v>
      </c>
      <c r="D1832" s="54">
        <f>((1+Table26[[#This Row],[Weekly change]])^52)-1</f>
        <v>0.28899654864129598</v>
      </c>
      <c r="E1832" s="57">
        <f>(Table26[[#This Row],[M2 Money Stock, Billions of Dollars, Weekly, Seasonally Adjusted]]-B1780)/B1780</f>
        <v>5.4069210660270636E-2</v>
      </c>
    </row>
    <row r="1833" spans="1:5" x14ac:dyDescent="0.2">
      <c r="A1833" s="50">
        <v>42310</v>
      </c>
      <c r="B1833" s="51">
        <v>12257.7</v>
      </c>
      <c r="C1833" s="53">
        <f>(Table26[[#This Row],[M2 Money Stock, Billions of Dollars, Weekly, Seasonally Adjusted]]-B1832)/B1832</f>
        <v>3.2985741647159864E-3</v>
      </c>
      <c r="D1833" s="54">
        <f>((1+Table26[[#This Row],[Weekly change]])^52)-1</f>
        <v>0.18677979171801384</v>
      </c>
      <c r="E1833" s="57">
        <f>(Table26[[#This Row],[M2 Money Stock, Billions of Dollars, Weekly, Seasonally Adjusted]]-B1781)/B1781</f>
        <v>6.1153290105875661E-2</v>
      </c>
    </row>
    <row r="1834" spans="1:5" x14ac:dyDescent="0.2">
      <c r="A1834" s="50">
        <v>42317</v>
      </c>
      <c r="B1834" s="51">
        <v>12262.1</v>
      </c>
      <c r="C1834" s="53">
        <f>(Table26[[#This Row],[M2 Money Stock, Billions of Dollars, Weekly, Seasonally Adjusted]]-B1833)/B1833</f>
        <v>3.5895804269966112E-4</v>
      </c>
      <c r="D1834" s="54">
        <f>((1+Table26[[#This Row],[Weekly change]])^52)-1</f>
        <v>1.8837701163264331E-2</v>
      </c>
      <c r="E1834" s="57">
        <f>(Table26[[#This Row],[M2 Money Stock, Billions of Dollars, Weekly, Seasonally Adjusted]]-B1782)/B1782</f>
        <v>5.8711287244972842E-2</v>
      </c>
    </row>
    <row r="1835" spans="1:5" x14ac:dyDescent="0.2">
      <c r="A1835" s="50">
        <v>42324</v>
      </c>
      <c r="B1835" s="51">
        <v>12273.6</v>
      </c>
      <c r="C1835" s="53">
        <f>(Table26[[#This Row],[M2 Money Stock, Billions of Dollars, Weekly, Seasonally Adjusted]]-B1834)/B1834</f>
        <v>9.3784914492623609E-4</v>
      </c>
      <c r="D1835" s="54">
        <f>((1+Table26[[#This Row],[Weekly change]])^52)-1</f>
        <v>4.995289497845512E-2</v>
      </c>
      <c r="E1835" s="57">
        <f>(Table26[[#This Row],[M2 Money Stock, Billions of Dollars, Weekly, Seasonally Adjusted]]-B1783)/B1783</f>
        <v>5.9585268573993884E-2</v>
      </c>
    </row>
    <row r="1836" spans="1:5" x14ac:dyDescent="0.2">
      <c r="A1836" s="50">
        <v>42331</v>
      </c>
      <c r="B1836" s="51">
        <v>12284.7</v>
      </c>
      <c r="C1836" s="53">
        <f>(Table26[[#This Row],[M2 Money Stock, Billions of Dollars, Weekly, Seasonally Adjusted]]-B1835)/B1835</f>
        <v>9.0438013296835192E-4</v>
      </c>
      <c r="D1836" s="54">
        <f>((1+Table26[[#This Row],[Weekly change]])^52)-1</f>
        <v>4.8128836818130516E-2</v>
      </c>
      <c r="E1836" s="57">
        <f>(Table26[[#This Row],[M2 Money Stock, Billions of Dollars, Weekly, Seasonally Adjusted]]-B1784)/B1784</f>
        <v>5.9619614439125432E-2</v>
      </c>
    </row>
    <row r="1837" spans="1:5" x14ac:dyDescent="0.2">
      <c r="A1837" s="50">
        <v>42338</v>
      </c>
      <c r="B1837" s="51">
        <v>12280.8</v>
      </c>
      <c r="C1837" s="53">
        <f>(Table26[[#This Row],[M2 Money Stock, Billions of Dollars, Weekly, Seasonally Adjusted]]-B1836)/B1836</f>
        <v>-3.1746807003845881E-4</v>
      </c>
      <c r="D1837" s="54">
        <f>((1+Table26[[#This Row],[Weekly change]])^52)-1</f>
        <v>-1.6375401815752477E-2</v>
      </c>
      <c r="E1837" s="57">
        <f>(Table26[[#This Row],[M2 Money Stock, Billions of Dollars, Weekly, Seasonally Adjusted]]-B1785)/B1785</f>
        <v>5.6394728692839562E-2</v>
      </c>
    </row>
    <row r="1838" spans="1:5" x14ac:dyDescent="0.2">
      <c r="A1838" s="50">
        <v>42345</v>
      </c>
      <c r="B1838" s="51">
        <v>12292.8</v>
      </c>
      <c r="C1838" s="53">
        <f>(Table26[[#This Row],[M2 Money Stock, Billions of Dollars, Weekly, Seasonally Adjusted]]-B1837)/B1837</f>
        <v>9.7713504006253669E-4</v>
      </c>
      <c r="D1838" s="54">
        <f>((1+Table26[[#This Row],[Weekly change]])^52)-1</f>
        <v>5.2097945035643134E-2</v>
      </c>
      <c r="E1838" s="57">
        <f>(Table26[[#This Row],[M2 Money Stock, Billions of Dollars, Weekly, Seasonally Adjusted]]-B1786)/B1786</f>
        <v>5.5837563451776519E-2</v>
      </c>
    </row>
    <row r="1839" spans="1:5" x14ac:dyDescent="0.2">
      <c r="A1839" s="50">
        <v>42352</v>
      </c>
      <c r="B1839" s="51">
        <v>12307.6</v>
      </c>
      <c r="C1839" s="53">
        <f>(Table26[[#This Row],[M2 Money Stock, Billions of Dollars, Weekly, Seasonally Adjusted]]-B1838)/B1838</f>
        <v>1.2039567877132216E-3</v>
      </c>
      <c r="D1839" s="54">
        <f>((1+Table26[[#This Row],[Weekly change]])^52)-1</f>
        <v>6.4566949064862378E-2</v>
      </c>
      <c r="E1839" s="57">
        <f>(Table26[[#This Row],[M2 Money Stock, Billions of Dollars, Weekly, Seasonally Adjusted]]-B1787)/B1787</f>
        <v>5.5522203735784946E-2</v>
      </c>
    </row>
    <row r="1840" spans="1:5" x14ac:dyDescent="0.2">
      <c r="A1840" s="50">
        <v>42359</v>
      </c>
      <c r="B1840" s="51">
        <v>12357.8</v>
      </c>
      <c r="C1840" s="53">
        <f>(Table26[[#This Row],[M2 Money Stock, Billions of Dollars, Weekly, Seasonally Adjusted]]-B1839)/B1839</f>
        <v>4.0787805908543426E-3</v>
      </c>
      <c r="D1840" s="54">
        <f>((1+Table26[[#This Row],[Weekly change]])^52)-1</f>
        <v>0.2357341113013669</v>
      </c>
      <c r="E1840" s="57">
        <f>(Table26[[#This Row],[M2 Money Stock, Billions of Dollars, Weekly, Seasonally Adjusted]]-B1788)/B1788</f>
        <v>5.8057998065018664E-2</v>
      </c>
    </row>
    <row r="1841" spans="1:5" x14ac:dyDescent="0.2">
      <c r="A1841" s="50">
        <v>42366</v>
      </c>
      <c r="B1841" s="51">
        <v>12356.1</v>
      </c>
      <c r="C1841" s="53">
        <f>(Table26[[#This Row],[M2 Money Stock, Billions of Dollars, Weekly, Seasonally Adjusted]]-B1840)/B1840</f>
        <v>-1.3756493874305368E-4</v>
      </c>
      <c r="D1841" s="54">
        <f>((1+Table26[[#This Row],[Weekly change]])^52)-1</f>
        <v>-7.128340877615269E-3</v>
      </c>
      <c r="E1841" s="57">
        <f>(Table26[[#This Row],[M2 Money Stock, Billions of Dollars, Weekly, Seasonally Adjusted]]-B1789)/B1789</f>
        <v>5.6736254244100982E-2</v>
      </c>
    </row>
    <row r="1842" spans="1:5" x14ac:dyDescent="0.2">
      <c r="A1842" s="50">
        <v>42373</v>
      </c>
      <c r="B1842" s="51">
        <v>12342.8</v>
      </c>
      <c r="C1842" s="53">
        <f>(Table26[[#This Row],[M2 Money Stock, Billions of Dollars, Weekly, Seasonally Adjusted]]-B1841)/B1841</f>
        <v>-1.0763914180041512E-3</v>
      </c>
      <c r="D1842" s="54">
        <f>((1+Table26[[#This Row],[Weekly change]])^52)-1</f>
        <v>-5.4463227435536776E-2</v>
      </c>
      <c r="E1842" s="57">
        <f>(Table26[[#This Row],[M2 Money Stock, Billions of Dollars, Weekly, Seasonally Adjusted]]-B1790)/B1790</f>
        <v>5.6972810961250203E-2</v>
      </c>
    </row>
    <row r="1843" spans="1:5" x14ac:dyDescent="0.2">
      <c r="A1843" s="50">
        <v>42380</v>
      </c>
      <c r="B1843" s="51">
        <v>12442.2</v>
      </c>
      <c r="C1843" s="53">
        <f>(Table26[[#This Row],[M2 Money Stock, Billions of Dollars, Weekly, Seasonally Adjusted]]-B1842)/B1842</f>
        <v>8.053278024435416E-3</v>
      </c>
      <c r="D1843" s="54">
        <f>((1+Table26[[#This Row],[Weekly change]])^52)-1</f>
        <v>0.51754396972502881</v>
      </c>
      <c r="E1843" s="57">
        <f>(Table26[[#This Row],[M2 Money Stock, Billions of Dollars, Weekly, Seasonally Adjusted]]-B1791)/B1791</f>
        <v>6.3081536923589671E-2</v>
      </c>
    </row>
    <row r="1844" spans="1:5" x14ac:dyDescent="0.2">
      <c r="A1844" s="50">
        <v>42387</v>
      </c>
      <c r="B1844" s="51">
        <v>12453.7</v>
      </c>
      <c r="C1844" s="53">
        <f>(Table26[[#This Row],[M2 Money Stock, Billions of Dollars, Weekly, Seasonally Adjusted]]-B1843)/B1843</f>
        <v>9.2427384224654798E-4</v>
      </c>
      <c r="D1844" s="54">
        <f>((1+Table26[[#This Row],[Weekly change]])^52)-1</f>
        <v>4.9212667201816052E-2</v>
      </c>
      <c r="E1844" s="57">
        <f>(Table26[[#This Row],[M2 Money Stock, Billions of Dollars, Weekly, Seasonally Adjusted]]-B1792)/B1792</f>
        <v>6.3119435220201081E-2</v>
      </c>
    </row>
    <row r="1845" spans="1:5" x14ac:dyDescent="0.2">
      <c r="A1845" s="50">
        <v>42394</v>
      </c>
      <c r="B1845" s="51">
        <v>12492.1</v>
      </c>
      <c r="C1845" s="53">
        <f>(Table26[[#This Row],[M2 Money Stock, Billions of Dollars, Weekly, Seasonally Adjusted]]-B1844)/B1844</f>
        <v>3.0834209913519384E-3</v>
      </c>
      <c r="D1845" s="54">
        <f>((1+Table26[[#This Row],[Weekly change]])^52)-1</f>
        <v>0.17361790464612925</v>
      </c>
      <c r="E1845" s="57">
        <f>(Table26[[#This Row],[M2 Money Stock, Billions of Dollars, Weekly, Seasonally Adjusted]]-B1793)/B1793</f>
        <v>6.255156634089494E-2</v>
      </c>
    </row>
    <row r="1846" spans="1:5" x14ac:dyDescent="0.2">
      <c r="A1846" s="50">
        <v>42401</v>
      </c>
      <c r="B1846" s="51">
        <v>12518</v>
      </c>
      <c r="C1846" s="53">
        <f>(Table26[[#This Row],[M2 Money Stock, Billions of Dollars, Weekly, Seasonally Adjusted]]-B1845)/B1845</f>
        <v>2.0733103321298771E-3</v>
      </c>
      <c r="D1846" s="54">
        <f>((1+Table26[[#This Row],[Weekly change]])^52)-1</f>
        <v>0.11371416867724071</v>
      </c>
      <c r="E1846" s="57">
        <f>(Table26[[#This Row],[M2 Money Stock, Billions of Dollars, Weekly, Seasonally Adjusted]]-B1794)/B1794</f>
        <v>5.9357175498874433E-2</v>
      </c>
    </row>
    <row r="1847" spans="1:5" x14ac:dyDescent="0.2">
      <c r="A1847" s="50">
        <v>42408</v>
      </c>
      <c r="B1847" s="51">
        <v>12490</v>
      </c>
      <c r="C1847" s="53">
        <f>(Table26[[#This Row],[M2 Money Stock, Billions of Dollars, Weekly, Seasonally Adjusted]]-B1846)/B1846</f>
        <v>-2.2367790381850137E-3</v>
      </c>
      <c r="D1847" s="54">
        <f>((1+Table26[[#This Row],[Weekly change]])^52)-1</f>
        <v>-0.10991898025795543</v>
      </c>
      <c r="E1847" s="57">
        <f>(Table26[[#This Row],[M2 Money Stock, Billions of Dollars, Weekly, Seasonally Adjusted]]-B1795)/B1795</f>
        <v>5.6245718779862862E-2</v>
      </c>
    </row>
    <row r="1848" spans="1:5" x14ac:dyDescent="0.2">
      <c r="A1848" s="50">
        <v>42415</v>
      </c>
      <c r="B1848" s="51">
        <v>12534</v>
      </c>
      <c r="C1848" s="53">
        <f>(Table26[[#This Row],[M2 Money Stock, Billions of Dollars, Weekly, Seasonally Adjusted]]-B1847)/B1847</f>
        <v>3.5228182546036828E-3</v>
      </c>
      <c r="D1848" s="54">
        <f>((1+Table26[[#This Row],[Weekly change]])^52)-1</f>
        <v>0.20065187513782567</v>
      </c>
      <c r="E1848" s="57">
        <f>(Table26[[#This Row],[M2 Money Stock, Billions of Dollars, Weekly, Seasonally Adjusted]]-B1796)/B1796</f>
        <v>5.8078676346446055E-2</v>
      </c>
    </row>
    <row r="1849" spans="1:5" x14ac:dyDescent="0.2">
      <c r="A1849" s="50">
        <v>42422</v>
      </c>
      <c r="B1849" s="51">
        <v>12559.2</v>
      </c>
      <c r="C1849" s="53">
        <f>(Table26[[#This Row],[M2 Money Stock, Billions of Dollars, Weekly, Seasonally Adjusted]]-B1848)/B1848</f>
        <v>2.0105313547152327E-3</v>
      </c>
      <c r="D1849" s="54">
        <f>((1+Table26[[#This Row],[Weekly change]])^52)-1</f>
        <v>0.11009175376474212</v>
      </c>
      <c r="E1849" s="57">
        <f>(Table26[[#This Row],[M2 Money Stock, Billions of Dollars, Weekly, Seasonally Adjusted]]-B1797)/B1797</f>
        <v>5.75723127447266E-2</v>
      </c>
    </row>
    <row r="1850" spans="1:5" x14ac:dyDescent="0.2">
      <c r="A1850" s="50">
        <v>42429</v>
      </c>
      <c r="B1850" s="51">
        <v>12556.2</v>
      </c>
      <c r="C1850" s="53">
        <f>(Table26[[#This Row],[M2 Money Stock, Billions of Dollars, Weekly, Seasonally Adjusted]]-B1849)/B1849</f>
        <v>-2.3886871775272308E-4</v>
      </c>
      <c r="D1850" s="54">
        <f>((1+Table26[[#This Row],[Weekly change]])^52)-1</f>
        <v>-1.2345814395783639E-2</v>
      </c>
      <c r="E1850" s="57">
        <f>(Table26[[#This Row],[M2 Money Stock, Billions of Dollars, Weekly, Seasonally Adjusted]]-B1798)/B1798</f>
        <v>5.6696823059120618E-2</v>
      </c>
    </row>
    <row r="1851" spans="1:5" x14ac:dyDescent="0.2">
      <c r="A1851" s="50">
        <v>42436</v>
      </c>
      <c r="B1851" s="51">
        <v>12561.1</v>
      </c>
      <c r="C1851" s="53">
        <f>(Table26[[#This Row],[M2 Money Stock, Billions of Dollars, Weekly, Seasonally Adjusted]]-B1850)/B1850</f>
        <v>3.9024545642787114E-4</v>
      </c>
      <c r="D1851" s="54">
        <f>((1+Table26[[#This Row],[Weekly change]])^52)-1</f>
        <v>2.0496022013955617E-2</v>
      </c>
      <c r="E1851" s="57">
        <f>(Table26[[#This Row],[M2 Money Stock, Billions of Dollars, Weekly, Seasonally Adjusted]]-B1799)/B1799</f>
        <v>5.9543491463661481E-2</v>
      </c>
    </row>
    <row r="1852" spans="1:5" x14ac:dyDescent="0.2">
      <c r="A1852" s="50">
        <v>42443</v>
      </c>
      <c r="B1852" s="51">
        <v>12567</v>
      </c>
      <c r="C1852" s="53">
        <f>(Table26[[#This Row],[M2 Money Stock, Billions of Dollars, Weekly, Seasonally Adjusted]]-B1851)/B1851</f>
        <v>4.6970408642552292E-4</v>
      </c>
      <c r="D1852" s="54">
        <f>((1+Table26[[#This Row],[Weekly change]])^52)-1</f>
        <v>2.4719460565806761E-2</v>
      </c>
      <c r="E1852" s="57">
        <f>(Table26[[#This Row],[M2 Money Stock, Billions of Dollars, Weekly, Seasonally Adjusted]]-B1800)/B1800</f>
        <v>5.9237032416850625E-2</v>
      </c>
    </row>
    <row r="1853" spans="1:5" x14ac:dyDescent="0.2">
      <c r="A1853" s="50">
        <v>42450</v>
      </c>
      <c r="B1853" s="51">
        <v>12602.2</v>
      </c>
      <c r="C1853" s="53">
        <f>(Table26[[#This Row],[M2 Money Stock, Billions of Dollars, Weekly, Seasonally Adjusted]]-B1852)/B1852</f>
        <v>2.8009867112278766E-3</v>
      </c>
      <c r="D1853" s="54">
        <f>((1+Table26[[#This Row],[Weekly change]])^52)-1</f>
        <v>0.15655725130042919</v>
      </c>
      <c r="E1853" s="57">
        <f>(Table26[[#This Row],[M2 Money Stock, Billions of Dollars, Weekly, Seasonally Adjusted]]-B1801)/B1801</f>
        <v>6.1845941254781683E-2</v>
      </c>
    </row>
    <row r="1854" spans="1:5" x14ac:dyDescent="0.2">
      <c r="A1854" s="50">
        <v>42457</v>
      </c>
      <c r="B1854" s="51">
        <v>12642.1</v>
      </c>
      <c r="C1854" s="53">
        <f>(Table26[[#This Row],[M2 Money Stock, Billions of Dollars, Weekly, Seasonally Adjusted]]-B1853)/B1853</f>
        <v>3.1661138531367248E-3</v>
      </c>
      <c r="D1854" s="54">
        <f>((1+Table26[[#This Row],[Weekly change]])^52)-1</f>
        <v>0.17865957332816906</v>
      </c>
      <c r="E1854" s="57">
        <f>(Table26[[#This Row],[M2 Money Stock, Billions of Dollars, Weekly, Seasonally Adjusted]]-B1802)/B1802</f>
        <v>6.4122959857916148E-2</v>
      </c>
    </row>
    <row r="1855" spans="1:5" x14ac:dyDescent="0.2">
      <c r="A1855" s="50">
        <v>42464</v>
      </c>
      <c r="B1855" s="51">
        <v>12642.8</v>
      </c>
      <c r="C1855" s="53">
        <f>(Table26[[#This Row],[M2 Money Stock, Billions of Dollars, Weekly, Seasonally Adjusted]]-B1854)/B1854</f>
        <v>5.537054761462958E-5</v>
      </c>
      <c r="D1855" s="54">
        <f>((1+Table26[[#This Row],[Weekly change]])^52)-1</f>
        <v>2.8833376103587494E-3</v>
      </c>
      <c r="E1855" s="57">
        <f>(Table26[[#This Row],[M2 Money Stock, Billions of Dollars, Weekly, Seasonally Adjusted]]-B1803)/B1803</f>
        <v>6.1590521693130583E-2</v>
      </c>
    </row>
    <row r="1856" spans="1:5" x14ac:dyDescent="0.2">
      <c r="A1856" s="50">
        <v>42471</v>
      </c>
      <c r="B1856" s="51">
        <v>12655.4</v>
      </c>
      <c r="C1856" s="53">
        <f>(Table26[[#This Row],[M2 Money Stock, Billions of Dollars, Weekly, Seasonally Adjusted]]-B1855)/B1855</f>
        <v>9.9661467396465692E-4</v>
      </c>
      <c r="D1856" s="54">
        <f>((1+Table26[[#This Row],[Weekly change]])^52)-1</f>
        <v>5.3163146322847687E-2</v>
      </c>
      <c r="E1856" s="57">
        <f>(Table26[[#This Row],[M2 Money Stock, Billions of Dollars, Weekly, Seasonally Adjusted]]-B1804)/B1804</f>
        <v>6.1801523643319832E-2</v>
      </c>
    </row>
    <row r="1857" spans="1:5" x14ac:dyDescent="0.2">
      <c r="A1857" s="50">
        <v>42478</v>
      </c>
      <c r="B1857" s="51">
        <v>12676.9</v>
      </c>
      <c r="C1857" s="53">
        <f>(Table26[[#This Row],[M2 Money Stock, Billions of Dollars, Weekly, Seasonally Adjusted]]-B1856)/B1856</f>
        <v>1.698879529686932E-3</v>
      </c>
      <c r="D1857" s="54">
        <f>((1+Table26[[#This Row],[Weekly change]])^52)-1</f>
        <v>9.227948087358917E-2</v>
      </c>
      <c r="E1857" s="57">
        <f>(Table26[[#This Row],[M2 Money Stock, Billions of Dollars, Weekly, Seasonally Adjusted]]-B1805)/B1805</f>
        <v>6.3096985198540789E-2</v>
      </c>
    </row>
    <row r="1858" spans="1:5" x14ac:dyDescent="0.2">
      <c r="A1858" s="50">
        <v>42485</v>
      </c>
      <c r="B1858" s="51">
        <v>12716.1</v>
      </c>
      <c r="C1858" s="53">
        <f>(Table26[[#This Row],[M2 Money Stock, Billions of Dollars, Weekly, Seasonally Adjusted]]-B1857)/B1857</f>
        <v>3.0922386387839873E-3</v>
      </c>
      <c r="D1858" s="54">
        <f>((1+Table26[[#This Row],[Weekly change]])^52)-1</f>
        <v>0.17415449529725491</v>
      </c>
      <c r="E1858" s="57">
        <f>(Table26[[#This Row],[M2 Money Stock, Billions of Dollars, Weekly, Seasonally Adjusted]]-B1806)/B1806</f>
        <v>6.7413749685217864E-2</v>
      </c>
    </row>
    <row r="1859" spans="1:5" x14ac:dyDescent="0.2">
      <c r="A1859" s="50">
        <v>42492</v>
      </c>
      <c r="B1859" s="51">
        <v>12740.9</v>
      </c>
      <c r="C1859" s="53">
        <f>(Table26[[#This Row],[M2 Money Stock, Billions of Dollars, Weekly, Seasonally Adjusted]]-B1858)/B1858</f>
        <v>1.9502834988714521E-3</v>
      </c>
      <c r="D1859" s="54">
        <f>((1+Table26[[#This Row],[Weekly change]])^52)-1</f>
        <v>0.10662625451080365</v>
      </c>
      <c r="E1859" s="57">
        <f>(Table26[[#This Row],[M2 Money Stock, Billions of Dollars, Weekly, Seasonally Adjusted]]-B1807)/B1807</f>
        <v>6.9208304660881723E-2</v>
      </c>
    </row>
    <row r="1860" spans="1:5" x14ac:dyDescent="0.2">
      <c r="A1860" s="50">
        <v>42499</v>
      </c>
      <c r="B1860" s="51">
        <v>12743.9</v>
      </c>
      <c r="C1860" s="53">
        <f>(Table26[[#This Row],[M2 Money Stock, Billions of Dollars, Weekly, Seasonally Adjusted]]-B1859)/B1859</f>
        <v>2.3546217300190726E-4</v>
      </c>
      <c r="D1860" s="54">
        <f>((1+Table26[[#This Row],[Weekly change]])^52)-1</f>
        <v>1.2317839005422382E-2</v>
      </c>
      <c r="E1860" s="57">
        <f>(Table26[[#This Row],[M2 Money Stock, Billions of Dollars, Weekly, Seasonally Adjusted]]-B1808)/B1808</f>
        <v>6.8205059429011991E-2</v>
      </c>
    </row>
    <row r="1861" spans="1:5" x14ac:dyDescent="0.2">
      <c r="A1861" s="50">
        <v>42506</v>
      </c>
      <c r="B1861" s="51">
        <v>12752.6</v>
      </c>
      <c r="C1861" s="53">
        <f>(Table26[[#This Row],[M2 Money Stock, Billions of Dollars, Weekly, Seasonally Adjusted]]-B1860)/B1860</f>
        <v>6.8267955649375218E-4</v>
      </c>
      <c r="D1861" s="54">
        <f>((1+Table26[[#This Row],[Weekly change]])^52)-1</f>
        <v>3.6124411672168177E-2</v>
      </c>
      <c r="E1861" s="57">
        <f>(Table26[[#This Row],[M2 Money Stock, Billions of Dollars, Weekly, Seasonally Adjusted]]-B1809)/B1809</f>
        <v>6.7860193264222643E-2</v>
      </c>
    </row>
    <row r="1862" spans="1:5" x14ac:dyDescent="0.2">
      <c r="A1862" s="50">
        <v>42513</v>
      </c>
      <c r="B1862" s="51">
        <v>12772.1</v>
      </c>
      <c r="C1862" s="53">
        <f>(Table26[[#This Row],[M2 Money Stock, Billions of Dollars, Weekly, Seasonally Adjusted]]-B1861)/B1861</f>
        <v>1.5290999482458479E-3</v>
      </c>
      <c r="D1862" s="54">
        <f>((1+Table26[[#This Row],[Weekly change]])^52)-1</f>
        <v>8.2694095036680126E-2</v>
      </c>
      <c r="E1862" s="57">
        <f>(Table26[[#This Row],[M2 Money Stock, Billions of Dollars, Weekly, Seasonally Adjusted]]-B1810)/B1810</f>
        <v>6.72231692235703E-2</v>
      </c>
    </row>
    <row r="1863" spans="1:5" x14ac:dyDescent="0.2">
      <c r="A1863" s="50">
        <v>42520</v>
      </c>
      <c r="B1863" s="51">
        <v>12757</v>
      </c>
      <c r="C1863" s="53">
        <f>(Table26[[#This Row],[M2 Money Stock, Billions of Dollars, Weekly, Seasonally Adjusted]]-B1862)/B1862</f>
        <v>-1.1822644670806183E-3</v>
      </c>
      <c r="D1863" s="54">
        <f>((1+Table26[[#This Row],[Weekly change]])^52)-1</f>
        <v>-5.9660334243095248E-2</v>
      </c>
      <c r="E1863" s="57">
        <f>(Table26[[#This Row],[M2 Money Stock, Billions of Dollars, Weekly, Seasonally Adjusted]]-B1811)/B1811</f>
        <v>6.479588004039824E-2</v>
      </c>
    </row>
    <row r="1864" spans="1:5" x14ac:dyDescent="0.2">
      <c r="A1864" s="50">
        <v>42527</v>
      </c>
      <c r="B1864" s="51">
        <v>12774.8</v>
      </c>
      <c r="C1864" s="53">
        <f>(Table26[[#This Row],[M2 Money Stock, Billions of Dollars, Weekly, Seasonally Adjusted]]-B1863)/B1863</f>
        <v>1.3953123775181683E-3</v>
      </c>
      <c r="D1864" s="54">
        <f>((1+Table26[[#This Row],[Weekly change]])^52)-1</f>
        <v>7.519890390842443E-2</v>
      </c>
      <c r="E1864" s="57">
        <f>(Table26[[#This Row],[M2 Money Stock, Billions of Dollars, Weekly, Seasonally Adjusted]]-B1812)/B1812</f>
        <v>6.809136818166614E-2</v>
      </c>
    </row>
    <row r="1865" spans="1:5" x14ac:dyDescent="0.2">
      <c r="A1865" s="50">
        <v>42534</v>
      </c>
      <c r="B1865" s="51">
        <v>12822.7</v>
      </c>
      <c r="C1865" s="53">
        <f>(Table26[[#This Row],[M2 Money Stock, Billions of Dollars, Weekly, Seasonally Adjusted]]-B1864)/B1864</f>
        <v>3.7495694648841046E-3</v>
      </c>
      <c r="D1865" s="54">
        <f>((1+Table26[[#This Row],[Weekly change]])^52)-1</f>
        <v>0.21484073064275755</v>
      </c>
      <c r="E1865" s="57">
        <f>(Table26[[#This Row],[M2 Money Stock, Billions of Dollars, Weekly, Seasonally Adjusted]]-B1813)/B1813</f>
        <v>7.1075360430344764E-2</v>
      </c>
    </row>
    <row r="1866" spans="1:5" x14ac:dyDescent="0.2">
      <c r="A1866" s="50">
        <v>42541</v>
      </c>
      <c r="B1866" s="51">
        <v>12839.1</v>
      </c>
      <c r="C1866" s="53">
        <f>(Table26[[#This Row],[M2 Money Stock, Billions of Dollars, Weekly, Seasonally Adjusted]]-B1865)/B1865</f>
        <v>1.2789818057039185E-3</v>
      </c>
      <c r="D1866" s="54">
        <f>((1+Table26[[#This Row],[Weekly change]])^52)-1</f>
        <v>6.8723087291212348E-2</v>
      </c>
      <c r="E1866" s="57">
        <f>(Table26[[#This Row],[M2 Money Stock, Billions of Dollars, Weekly, Seasonally Adjusted]]-B1814)/B1814</f>
        <v>6.891843514024304E-2</v>
      </c>
    </row>
    <row r="1867" spans="1:5" x14ac:dyDescent="0.2">
      <c r="A1867" s="50">
        <v>42548</v>
      </c>
      <c r="B1867" s="51">
        <v>12844.2</v>
      </c>
      <c r="C1867" s="53">
        <f>(Table26[[#This Row],[M2 Money Stock, Billions of Dollars, Weekly, Seasonally Adjusted]]-B1866)/B1866</f>
        <v>3.9722410449333391E-4</v>
      </c>
      <c r="D1867" s="54">
        <f>((1+Table26[[#This Row],[Weekly change]])^52)-1</f>
        <v>2.0866270904456474E-2</v>
      </c>
      <c r="E1867" s="57">
        <f>(Table26[[#This Row],[M2 Money Stock, Billions of Dollars, Weekly, Seasonally Adjusted]]-B1815)/B1815</f>
        <v>6.7751803943736907E-2</v>
      </c>
    </row>
    <row r="1868" spans="1:5" x14ac:dyDescent="0.2">
      <c r="A1868" s="50">
        <v>42555</v>
      </c>
      <c r="B1868" s="51">
        <v>12839.9</v>
      </c>
      <c r="C1868" s="53">
        <f>(Table26[[#This Row],[M2 Money Stock, Billions of Dollars, Weekly, Seasonally Adjusted]]-B1867)/B1867</f>
        <v>-3.3478145777869319E-4</v>
      </c>
      <c r="D1868" s="54">
        <f>((1+Table26[[#This Row],[Weekly change]])^52)-1</f>
        <v>-1.7260845391377955E-2</v>
      </c>
      <c r="E1868" s="57">
        <f>(Table26[[#This Row],[M2 Money Stock, Billions of Dollars, Weekly, Seasonally Adjusted]]-B1816)/B1816</f>
        <v>6.5728751660026535E-2</v>
      </c>
    </row>
    <row r="1869" spans="1:5" x14ac:dyDescent="0.2">
      <c r="A1869" s="50">
        <v>42562</v>
      </c>
      <c r="B1869" s="51">
        <v>12852.9</v>
      </c>
      <c r="C1869" s="53">
        <f>(Table26[[#This Row],[M2 Money Stock, Billions of Dollars, Weekly, Seasonally Adjusted]]-B1868)/B1868</f>
        <v>1.0124689444621843E-3</v>
      </c>
      <c r="D1869" s="54">
        <f>((1+Table26[[#This Row],[Weekly change]])^52)-1</f>
        <v>5.4030883223289417E-2</v>
      </c>
      <c r="E1869" s="57">
        <f>(Table26[[#This Row],[M2 Money Stock, Billions of Dollars, Weekly, Seasonally Adjusted]]-B1817)/B1817</f>
        <v>6.7596415014411312E-2</v>
      </c>
    </row>
    <row r="1870" spans="1:5" x14ac:dyDescent="0.2">
      <c r="A1870" s="50">
        <v>42569</v>
      </c>
      <c r="B1870" s="51">
        <v>12877.4</v>
      </c>
      <c r="C1870" s="53">
        <f>(Table26[[#This Row],[M2 Money Stock, Billions of Dollars, Weekly, Seasonally Adjusted]]-B1869)/B1869</f>
        <v>1.9061845964723914E-3</v>
      </c>
      <c r="D1870" s="54">
        <f>((1+Table26[[#This Row],[Weekly change]])^52)-1</f>
        <v>0.1040963823159613</v>
      </c>
      <c r="E1870" s="57">
        <f>(Table26[[#This Row],[M2 Money Stock, Billions of Dollars, Weekly, Seasonally Adjusted]]-B1818)/B1818</f>
        <v>6.9400499929411871E-2</v>
      </c>
    </row>
    <row r="1871" spans="1:5" x14ac:dyDescent="0.2">
      <c r="A1871" s="50">
        <v>42576</v>
      </c>
      <c r="B1871" s="51">
        <v>12902.8</v>
      </c>
      <c r="C1871" s="53">
        <f>(Table26[[#This Row],[M2 Money Stock, Billions of Dollars, Weekly, Seasonally Adjusted]]-B1870)/B1870</f>
        <v>1.9724478543805143E-3</v>
      </c>
      <c r="D1871" s="54">
        <f>((1+Table26[[#This Row],[Weekly change]])^52)-1</f>
        <v>0.10789992841553042</v>
      </c>
      <c r="E1871" s="57">
        <f>(Table26[[#This Row],[M2 Money Stock, Billions of Dollars, Weekly, Seasonally Adjusted]]-B1819)/B1819</f>
        <v>7.0079118910580704E-2</v>
      </c>
    </row>
    <row r="1872" spans="1:5" x14ac:dyDescent="0.2">
      <c r="A1872" s="50">
        <v>42583</v>
      </c>
      <c r="B1872" s="51">
        <v>12926.8</v>
      </c>
      <c r="C1872" s="53">
        <f>(Table26[[#This Row],[M2 Money Stock, Billions of Dollars, Weekly, Seasonally Adjusted]]-B1871)/B1871</f>
        <v>1.860061382025607E-3</v>
      </c>
      <c r="D1872" s="54">
        <f>((1+Table26[[#This Row],[Weekly change]])^52)-1</f>
        <v>0.1014564480591067</v>
      </c>
      <c r="E1872" s="57">
        <f>(Table26[[#This Row],[M2 Money Stock, Billions of Dollars, Weekly, Seasonally Adjusted]]-B1820)/B1820</f>
        <v>7.3066259359487226E-2</v>
      </c>
    </row>
    <row r="1873" spans="1:5" x14ac:dyDescent="0.2">
      <c r="A1873" s="50">
        <v>42590</v>
      </c>
      <c r="B1873" s="51">
        <v>12945.6</v>
      </c>
      <c r="C1873" s="53">
        <f>(Table26[[#This Row],[M2 Money Stock, Billions of Dollars, Weekly, Seasonally Adjusted]]-B1872)/B1872</f>
        <v>1.4543429154934781E-3</v>
      </c>
      <c r="D1873" s="54">
        <f>((1+Table26[[#This Row],[Weekly change]])^52)-1</f>
        <v>7.849968192165413E-2</v>
      </c>
      <c r="E1873" s="57">
        <f>(Table26[[#This Row],[M2 Money Stock, Billions of Dollars, Weekly, Seasonally Adjusted]]-B1821)/B1821</f>
        <v>7.2792362768496391E-2</v>
      </c>
    </row>
    <row r="1874" spans="1:5" x14ac:dyDescent="0.2">
      <c r="A1874" s="50">
        <v>42597</v>
      </c>
      <c r="B1874" s="51">
        <v>12957.3</v>
      </c>
      <c r="C1874" s="53">
        <f>(Table26[[#This Row],[M2 Money Stock, Billions of Dollars, Weekly, Seasonally Adjusted]]-B1873)/B1873</f>
        <v>9.0378197997766877E-4</v>
      </c>
      <c r="D1874" s="54">
        <f>((1+Table26[[#This Row],[Weekly change]])^52)-1</f>
        <v>4.8096265818777573E-2</v>
      </c>
      <c r="E1874" s="57">
        <f>(Table26[[#This Row],[M2 Money Stock, Billions of Dollars, Weekly, Seasonally Adjusted]]-B1822)/B1822</f>
        <v>7.0895491549237508E-2</v>
      </c>
    </row>
    <row r="1875" spans="1:5" x14ac:dyDescent="0.2">
      <c r="A1875" s="50">
        <v>42604</v>
      </c>
      <c r="B1875" s="51">
        <v>12984.8</v>
      </c>
      <c r="C1875" s="53">
        <f>(Table26[[#This Row],[M2 Money Stock, Billions of Dollars, Weekly, Seasonally Adjusted]]-B1874)/B1874</f>
        <v>2.1223557376922665E-3</v>
      </c>
      <c r="D1875" s="54">
        <f>((1+Table26[[#This Row],[Weekly change]])^52)-1</f>
        <v>0.11655220570483604</v>
      </c>
      <c r="E1875" s="57">
        <f>(Table26[[#This Row],[M2 Money Stock, Billions of Dollars, Weekly, Seasonally Adjusted]]-B1823)/B1823</f>
        <v>7.1565326467287166E-2</v>
      </c>
    </row>
    <row r="1876" spans="1:5" x14ac:dyDescent="0.2">
      <c r="A1876" s="50">
        <v>42611</v>
      </c>
      <c r="B1876" s="51">
        <v>12988.6</v>
      </c>
      <c r="C1876" s="53">
        <f>(Table26[[#This Row],[M2 Money Stock, Billions of Dollars, Weekly, Seasonally Adjusted]]-B1875)/B1875</f>
        <v>2.9264986753751245E-4</v>
      </c>
      <c r="D1876" s="54">
        <f>((1+Table26[[#This Row],[Weekly change]])^52)-1</f>
        <v>1.5331912881842324E-2</v>
      </c>
      <c r="E1876" s="57">
        <f>(Table26[[#This Row],[M2 Money Stock, Billions of Dollars, Weekly, Seasonally Adjusted]]-B1824)/B1824</f>
        <v>7.0959762532981557E-2</v>
      </c>
    </row>
    <row r="1877" spans="1:5" x14ac:dyDescent="0.2">
      <c r="A1877" s="50">
        <v>42618</v>
      </c>
      <c r="B1877" s="51">
        <v>12998.8</v>
      </c>
      <c r="C1877" s="53">
        <f>(Table26[[#This Row],[M2 Money Stock, Billions of Dollars, Weekly, Seasonally Adjusted]]-B1876)/B1876</f>
        <v>7.8530403584673543E-4</v>
      </c>
      <c r="D1877" s="54">
        <f>((1+Table26[[#This Row],[Weekly change]])^52)-1</f>
        <v>4.1664364034006196E-2</v>
      </c>
      <c r="E1877" s="57">
        <f>(Table26[[#This Row],[M2 Money Stock, Billions of Dollars, Weekly, Seasonally Adjusted]]-B1825)/B1825</f>
        <v>7.1765443092246264E-2</v>
      </c>
    </row>
    <row r="1878" spans="1:5" x14ac:dyDescent="0.2">
      <c r="A1878" s="50">
        <v>42625</v>
      </c>
      <c r="B1878" s="51">
        <v>13034.4</v>
      </c>
      <c r="C1878" s="53">
        <f>(Table26[[#This Row],[M2 Money Stock, Billions of Dollars, Weekly, Seasonally Adjusted]]-B1877)/B1877</f>
        <v>2.7387143428624461E-3</v>
      </c>
      <c r="D1878" s="54">
        <f>((1+Table26[[#This Row],[Weekly change]])^52)-1</f>
        <v>0.15282849871257609</v>
      </c>
      <c r="E1878" s="57">
        <f>(Table26[[#This Row],[M2 Money Stock, Billions of Dollars, Weekly, Seasonally Adjusted]]-B1826)/B1826</f>
        <v>7.2648869284703183E-2</v>
      </c>
    </row>
    <row r="1879" spans="1:5" x14ac:dyDescent="0.2">
      <c r="A1879" s="50">
        <v>42632</v>
      </c>
      <c r="B1879" s="51">
        <v>13030.5</v>
      </c>
      <c r="C1879" s="53">
        <f>(Table26[[#This Row],[M2 Money Stock, Billions of Dollars, Weekly, Seasonally Adjusted]]-B1878)/B1878</f>
        <v>-2.9920824894123522E-4</v>
      </c>
      <c r="D1879" s="54">
        <f>((1+Table26[[#This Row],[Weekly change]])^52)-1</f>
        <v>-1.544070785534013E-2</v>
      </c>
      <c r="E1879" s="57">
        <f>(Table26[[#This Row],[M2 Money Stock, Billions of Dollars, Weekly, Seasonally Adjusted]]-B1827)/B1827</f>
        <v>7.0310895724670419E-2</v>
      </c>
    </row>
    <row r="1880" spans="1:5" x14ac:dyDescent="0.2">
      <c r="A1880" s="50">
        <v>42639</v>
      </c>
      <c r="B1880" s="51">
        <v>13044</v>
      </c>
      <c r="C1880" s="53">
        <f>(Table26[[#This Row],[M2 Money Stock, Billions of Dollars, Weekly, Seasonally Adjusted]]-B1879)/B1879</f>
        <v>1.036030850696443E-3</v>
      </c>
      <c r="D1880" s="54">
        <f>((1+Table26[[#This Row],[Weekly change]])^52)-1</f>
        <v>5.5321770476374654E-2</v>
      </c>
      <c r="E1880" s="57">
        <f>(Table26[[#This Row],[M2 Money Stock, Billions of Dollars, Weekly, Seasonally Adjusted]]-B1828)/B1828</f>
        <v>7.2829707611958713E-2</v>
      </c>
    </row>
    <row r="1881" spans="1:5" x14ac:dyDescent="0.2">
      <c r="A1881" s="50">
        <v>42646</v>
      </c>
      <c r="B1881" s="51">
        <v>13041.9</v>
      </c>
      <c r="C1881" s="53">
        <f>(Table26[[#This Row],[M2 Money Stock, Billions of Dollars, Weekly, Seasonally Adjusted]]-B1880)/B1880</f>
        <v>-1.609935602576176E-4</v>
      </c>
      <c r="D1881" s="54">
        <f>((1+Table26[[#This Row],[Weekly change]])^52)-1</f>
        <v>-8.3373886737864167E-3</v>
      </c>
      <c r="E1881" s="57">
        <f>(Table26[[#This Row],[M2 Money Stock, Billions of Dollars, Weekly, Seasonally Adjusted]]-B1829)/B1829</f>
        <v>7.3301402330633911E-2</v>
      </c>
    </row>
    <row r="1882" spans="1:5" x14ac:dyDescent="0.2">
      <c r="A1882" s="50">
        <v>42653</v>
      </c>
      <c r="B1882" s="51">
        <v>13097.4</v>
      </c>
      <c r="C1882" s="53">
        <f>(Table26[[#This Row],[M2 Money Stock, Billions of Dollars, Weekly, Seasonally Adjusted]]-B1881)/B1881</f>
        <v>4.2555149173049943E-3</v>
      </c>
      <c r="D1882" s="54">
        <f>((1+Table26[[#This Row],[Weekly change]])^52)-1</f>
        <v>0.24709551881568914</v>
      </c>
      <c r="E1882" s="57">
        <f>(Table26[[#This Row],[M2 Money Stock, Billions of Dollars, Weekly, Seasonally Adjusted]]-B1830)/B1830</f>
        <v>7.7806762728462223E-2</v>
      </c>
    </row>
    <row r="1883" spans="1:5" x14ac:dyDescent="0.2">
      <c r="A1883" s="50">
        <v>42660</v>
      </c>
      <c r="B1883" s="51">
        <v>13093.8</v>
      </c>
      <c r="C1883" s="53">
        <f>(Table26[[#This Row],[M2 Money Stock, Billions of Dollars, Weekly, Seasonally Adjusted]]-B1882)/B1882</f>
        <v>-2.7486371340879593E-4</v>
      </c>
      <c r="D1883" s="54">
        <f>((1+Table26[[#This Row],[Weekly change]])^52)-1</f>
        <v>-1.4193191103203273E-2</v>
      </c>
      <c r="E1883" s="57">
        <f>(Table26[[#This Row],[M2 Money Stock, Billions of Dollars, Weekly, Seasonally Adjusted]]-B1831)/B1831</f>
        <v>7.6978754554651682E-2</v>
      </c>
    </row>
    <row r="1884" spans="1:5" x14ac:dyDescent="0.2">
      <c r="A1884" s="50">
        <v>42667</v>
      </c>
      <c r="B1884" s="51">
        <v>13103</v>
      </c>
      <c r="C1884" s="53">
        <f>(Table26[[#This Row],[M2 Money Stock, Billions of Dollars, Weekly, Seasonally Adjusted]]-B1883)/B1883</f>
        <v>7.0262261528362491E-4</v>
      </c>
      <c r="D1884" s="54">
        <f>((1+Table26[[#This Row],[Weekly change]])^52)-1</f>
        <v>3.7198725986851366E-2</v>
      </c>
      <c r="E1884" s="57">
        <f>(Table26[[#This Row],[M2 Money Stock, Billions of Dollars, Weekly, Seasonally Adjusted]]-B1832)/B1832</f>
        <v>7.2486781148198509E-2</v>
      </c>
    </row>
    <row r="1885" spans="1:5" x14ac:dyDescent="0.2">
      <c r="A1885" s="50">
        <v>42674</v>
      </c>
      <c r="B1885" s="51">
        <v>13128</v>
      </c>
      <c r="C1885" s="53">
        <f>(Table26[[#This Row],[M2 Money Stock, Billions of Dollars, Weekly, Seasonally Adjusted]]-B1884)/B1884</f>
        <v>1.907960009158208E-3</v>
      </c>
      <c r="D1885" s="54">
        <f>((1+Table26[[#This Row],[Weekly change]])^52)-1</f>
        <v>0.10419812477180934</v>
      </c>
      <c r="E1885" s="57">
        <f>(Table26[[#This Row],[M2 Money Stock, Billions of Dollars, Weekly, Seasonally Adjusted]]-B1833)/B1833</f>
        <v>7.1000269218531961E-2</v>
      </c>
    </row>
    <row r="1886" spans="1:5" x14ac:dyDescent="0.2">
      <c r="A1886" s="50">
        <v>42681</v>
      </c>
      <c r="B1886" s="51">
        <v>13121.4</v>
      </c>
      <c r="C1886" s="53">
        <f>(Table26[[#This Row],[M2 Money Stock, Billions of Dollars, Weekly, Seasonally Adjusted]]-B1885)/B1885</f>
        <v>-5.0274223034737684E-4</v>
      </c>
      <c r="D1886" s="54">
        <f>((1+Table26[[#This Row],[Weekly change]])^52)-1</f>
        <v>-2.5810240800109518E-2</v>
      </c>
      <c r="E1886" s="57">
        <f>(Table26[[#This Row],[M2 Money Stock, Billions of Dollars, Weekly, Seasonally Adjusted]]-B1834)/B1834</f>
        <v>7.0077719150879472E-2</v>
      </c>
    </row>
    <row r="1887" spans="1:5" x14ac:dyDescent="0.2">
      <c r="A1887" s="50">
        <v>42688</v>
      </c>
      <c r="B1887" s="51">
        <v>13162.3</v>
      </c>
      <c r="C1887" s="53">
        <f>(Table26[[#This Row],[M2 Money Stock, Billions of Dollars, Weekly, Seasonally Adjusted]]-B1886)/B1886</f>
        <v>3.117045437224659E-3</v>
      </c>
      <c r="D1887" s="54">
        <f>((1+Table26[[#This Row],[Weekly change]])^52)-1</f>
        <v>0.17566538353210248</v>
      </c>
      <c r="E1887" s="57">
        <f>(Table26[[#This Row],[M2 Money Stock, Billions of Dollars, Weekly, Seasonally Adjusted]]-B1835)/B1835</f>
        <v>7.2407443618824049E-2</v>
      </c>
    </row>
    <row r="1888" spans="1:5" x14ac:dyDescent="0.2">
      <c r="A1888" s="50">
        <v>42695</v>
      </c>
      <c r="B1888" s="51">
        <v>13199.6</v>
      </c>
      <c r="C1888" s="53">
        <f>(Table26[[#This Row],[M2 Money Stock, Billions of Dollars, Weekly, Seasonally Adjusted]]-B1887)/B1887</f>
        <v>2.8338512266094145E-3</v>
      </c>
      <c r="D1888" s="54">
        <f>((1+Table26[[#This Row],[Weekly change]])^52)-1</f>
        <v>0.1585298827275321</v>
      </c>
      <c r="E1888" s="57">
        <f>(Table26[[#This Row],[M2 Money Stock, Billions of Dollars, Weekly, Seasonally Adjusted]]-B1836)/B1836</f>
        <v>7.4474753148224992E-2</v>
      </c>
    </row>
    <row r="1889" spans="1:5" x14ac:dyDescent="0.2">
      <c r="A1889" s="50">
        <v>42702</v>
      </c>
      <c r="B1889" s="51">
        <v>13189.5</v>
      </c>
      <c r="C1889" s="53">
        <f>(Table26[[#This Row],[M2 Money Stock, Billions of Dollars, Weekly, Seasonally Adjusted]]-B1888)/B1888</f>
        <v>-7.6517470226373249E-4</v>
      </c>
      <c r="D1889" s="54">
        <f>((1+Table26[[#This Row],[Weekly change]])^52)-1</f>
        <v>-3.9022530454096094E-2</v>
      </c>
      <c r="E1889" s="57">
        <f>(Table26[[#This Row],[M2 Money Stock, Billions of Dollars, Weekly, Seasonally Adjusted]]-B1837)/B1837</f>
        <v>7.3993550908735647E-2</v>
      </c>
    </row>
    <row r="1890" spans="1:5" x14ac:dyDescent="0.2">
      <c r="A1890" s="50">
        <v>42709</v>
      </c>
      <c r="B1890" s="51">
        <v>13189.3</v>
      </c>
      <c r="C1890" s="53">
        <f>(Table26[[#This Row],[M2 Money Stock, Billions of Dollars, Weekly, Seasonally Adjusted]]-B1889)/B1889</f>
        <v>-1.5163577087890185E-5</v>
      </c>
      <c r="D1890" s="54">
        <f>((1+Table26[[#This Row],[Weekly change]])^52)-1</f>
        <v>-7.882011930325783E-4</v>
      </c>
      <c r="E1890" s="57">
        <f>(Table26[[#This Row],[M2 Money Stock, Billions of Dollars, Weekly, Seasonally Adjusted]]-B1838)/B1838</f>
        <v>7.2928868931407001E-2</v>
      </c>
    </row>
    <row r="1891" spans="1:5" x14ac:dyDescent="0.2">
      <c r="A1891" s="50">
        <v>42716</v>
      </c>
      <c r="B1891" s="51">
        <v>13191.6</v>
      </c>
      <c r="C1891" s="53">
        <f>(Table26[[#This Row],[M2 Money Stock, Billions of Dollars, Weekly, Seasonally Adjusted]]-B1890)/B1890</f>
        <v>1.7438378079208839E-4</v>
      </c>
      <c r="D1891" s="54">
        <f>((1+Table26[[#This Row],[Weekly change]])^52)-1</f>
        <v>9.1083973135384078E-3</v>
      </c>
      <c r="E1891" s="57">
        <f>(Table26[[#This Row],[M2 Money Stock, Billions of Dollars, Weekly, Seasonally Adjusted]]-B1839)/B1839</f>
        <v>7.1825538691540181E-2</v>
      </c>
    </row>
    <row r="1892" spans="1:5" x14ac:dyDescent="0.2">
      <c r="A1892" s="50">
        <v>42723</v>
      </c>
      <c r="B1892" s="51">
        <v>13197.9</v>
      </c>
      <c r="C1892" s="53">
        <f>(Table26[[#This Row],[M2 Money Stock, Billions of Dollars, Weekly, Seasonally Adjusted]]-B1891)/B1891</f>
        <v>4.7757663967974104E-4</v>
      </c>
      <c r="D1892" s="54">
        <f>((1+Table26[[#This Row],[Weekly change]])^52)-1</f>
        <v>2.5138840009439223E-2</v>
      </c>
      <c r="E1892" s="57">
        <f>(Table26[[#This Row],[M2 Money Stock, Billions of Dollars, Weekly, Seasonally Adjusted]]-B1840)/B1840</f>
        <v>6.7981355904772722E-2</v>
      </c>
    </row>
    <row r="1893" spans="1:5" x14ac:dyDescent="0.2">
      <c r="A1893" s="50">
        <v>42730</v>
      </c>
      <c r="B1893" s="51">
        <v>13203.3</v>
      </c>
      <c r="C1893" s="53">
        <f>(Table26[[#This Row],[M2 Money Stock, Billions of Dollars, Weekly, Seasonally Adjusted]]-B1892)/B1892</f>
        <v>4.0915600209121423E-4</v>
      </c>
      <c r="D1893" s="54">
        <f>((1+Table26[[#This Row],[Weekly change]])^52)-1</f>
        <v>2.1499617341697697E-2</v>
      </c>
      <c r="E1893" s="57">
        <f>(Table26[[#This Row],[M2 Money Stock, Billions of Dollars, Weekly, Seasonally Adjusted]]-B1841)/B1841</f>
        <v>6.8565324010003065E-2</v>
      </c>
    </row>
    <row r="1894" spans="1:5" x14ac:dyDescent="0.2">
      <c r="A1894" s="50">
        <v>42737</v>
      </c>
      <c r="B1894" s="51">
        <v>13214.2</v>
      </c>
      <c r="C1894" s="53">
        <f>(Table26[[#This Row],[M2 Money Stock, Billions of Dollars, Weekly, Seasonally Adjusted]]-B1893)/B1893</f>
        <v>8.2555118796069583E-4</v>
      </c>
      <c r="D1894" s="54">
        <f>((1+Table26[[#This Row],[Weekly change]])^52)-1</f>
        <v>4.3844938007510548E-2</v>
      </c>
      <c r="E1894" s="57">
        <f>(Table26[[#This Row],[M2 Money Stock, Billions of Dollars, Weekly, Seasonally Adjusted]]-B1842)/B1842</f>
        <v>7.0599863888258868E-2</v>
      </c>
    </row>
    <row r="1895" spans="1:5" x14ac:dyDescent="0.2">
      <c r="A1895" s="50">
        <v>42744</v>
      </c>
      <c r="B1895" s="51">
        <v>13257.3</v>
      </c>
      <c r="C1895" s="53">
        <f>(Table26[[#This Row],[M2 Money Stock, Billions of Dollars, Weekly, Seasonally Adjusted]]-B1894)/B1894</f>
        <v>3.261642778223316E-3</v>
      </c>
      <c r="D1895" s="54">
        <f>((1+Table26[[#This Row],[Weekly change]])^52)-1</f>
        <v>0.18451028584953844</v>
      </c>
      <c r="E1895" s="57">
        <f>(Table26[[#This Row],[M2 Money Stock, Billions of Dollars, Weekly, Seasonally Adjusted]]-B1843)/B1843</f>
        <v>6.5510922505666078E-2</v>
      </c>
    </row>
    <row r="1896" spans="1:5" x14ac:dyDescent="0.2">
      <c r="A1896" s="50">
        <v>42751</v>
      </c>
      <c r="B1896" s="51">
        <v>13274.1</v>
      </c>
      <c r="C1896" s="53">
        <f>(Table26[[#This Row],[M2 Money Stock, Billions of Dollars, Weekly, Seasonally Adjusted]]-B1895)/B1895</f>
        <v>1.2672263583083352E-3</v>
      </c>
      <c r="D1896" s="54">
        <f>((1+Table26[[#This Row],[Weekly change]])^52)-1</f>
        <v>6.8070824530797047E-2</v>
      </c>
      <c r="E1896" s="57">
        <f>(Table26[[#This Row],[M2 Money Stock, Billions of Dollars, Weekly, Seasonally Adjusted]]-B1844)/B1844</f>
        <v>6.5876004721488357E-2</v>
      </c>
    </row>
    <row r="1897" spans="1:5" x14ac:dyDescent="0.2">
      <c r="A1897" s="50">
        <v>42758</v>
      </c>
      <c r="B1897" s="51">
        <v>13292.6</v>
      </c>
      <c r="C1897" s="53">
        <f>(Table26[[#This Row],[M2 Money Stock, Billions of Dollars, Weekly, Seasonally Adjusted]]-B1896)/B1896</f>
        <v>1.3936914743749105E-3</v>
      </c>
      <c r="D1897" s="54">
        <f>((1+Table26[[#This Row],[Weekly change]])^52)-1</f>
        <v>7.5108408667336812E-2</v>
      </c>
      <c r="E1897" s="57">
        <f>(Table26[[#This Row],[M2 Money Stock, Billions of Dollars, Weekly, Seasonally Adjusted]]-B1845)/B1845</f>
        <v>6.4080498875289174E-2</v>
      </c>
    </row>
    <row r="1898" spans="1:5" x14ac:dyDescent="0.2">
      <c r="A1898" s="50">
        <v>42765</v>
      </c>
      <c r="B1898" s="51">
        <v>13289.6</v>
      </c>
      <c r="C1898" s="53">
        <f>(Table26[[#This Row],[M2 Money Stock, Billions of Dollars, Weekly, Seasonally Adjusted]]-B1897)/B1897</f>
        <v>-2.2568948136557181E-4</v>
      </c>
      <c r="D1898" s="54">
        <f>((1+Table26[[#This Row],[Weekly change]])^52)-1</f>
        <v>-1.1668565590369884E-2</v>
      </c>
      <c r="E1898" s="57">
        <f>(Table26[[#This Row],[M2 Money Stock, Billions of Dollars, Weekly, Seasonally Adjusted]]-B1846)/B1846</f>
        <v>6.1639239495127049E-2</v>
      </c>
    </row>
    <row r="1899" spans="1:5" x14ac:dyDescent="0.2">
      <c r="A1899" s="50">
        <v>42772</v>
      </c>
      <c r="B1899" s="51">
        <v>13313.8</v>
      </c>
      <c r="C1899" s="53">
        <f>(Table26[[#This Row],[M2 Money Stock, Billions of Dollars, Weekly, Seasonally Adjusted]]-B1898)/B1898</f>
        <v>1.8209727907535899E-3</v>
      </c>
      <c r="D1899" s="54">
        <f>((1+Table26[[#This Row],[Weekly change]])^52)-1</f>
        <v>9.922399872603882E-2</v>
      </c>
      <c r="E1899" s="57">
        <f>(Table26[[#This Row],[M2 Money Stock, Billions of Dollars, Weekly, Seasonally Adjusted]]-B1847)/B1847</f>
        <v>6.595676541232981E-2</v>
      </c>
    </row>
    <row r="1900" spans="1:5" x14ac:dyDescent="0.2">
      <c r="A1900" s="50">
        <v>42779</v>
      </c>
      <c r="B1900" s="51">
        <v>13324.7</v>
      </c>
      <c r="C1900" s="53">
        <f>(Table26[[#This Row],[M2 Money Stock, Billions of Dollars, Weekly, Seasonally Adjusted]]-B1899)/B1899</f>
        <v>8.1869939461321753E-4</v>
      </c>
      <c r="D1900" s="54">
        <f>((1+Table26[[#This Row],[Weekly change]])^52)-1</f>
        <v>4.3473394746025518E-2</v>
      </c>
      <c r="E1900" s="57">
        <f>(Table26[[#This Row],[M2 Money Stock, Billions of Dollars, Weekly, Seasonally Adjusted]]-B1848)/B1848</f>
        <v>6.3084410403701982E-2</v>
      </c>
    </row>
    <row r="1901" spans="1:5" x14ac:dyDescent="0.2">
      <c r="A1901" s="50">
        <v>42786</v>
      </c>
      <c r="B1901" s="51">
        <v>13342.1</v>
      </c>
      <c r="C1901" s="53">
        <f>(Table26[[#This Row],[M2 Money Stock, Billions of Dollars, Weekly, Seasonally Adjusted]]-B1900)/B1900</f>
        <v>1.3058455349838746E-3</v>
      </c>
      <c r="D1901" s="54">
        <f>((1+Table26[[#This Row],[Weekly change]])^52)-1</f>
        <v>7.0215115009113482E-2</v>
      </c>
      <c r="E1901" s="57">
        <f>(Table26[[#This Row],[M2 Money Stock, Billions of Dollars, Weekly, Seasonally Adjusted]]-B1849)/B1849</f>
        <v>6.2336773042868943E-2</v>
      </c>
    </row>
    <row r="1902" spans="1:5" x14ac:dyDescent="0.2">
      <c r="A1902" s="50">
        <v>42793</v>
      </c>
      <c r="B1902" s="51">
        <v>13375.6</v>
      </c>
      <c r="C1902" s="53">
        <f>(Table26[[#This Row],[M2 Money Stock, Billions of Dollars, Weekly, Seasonally Adjusted]]-B1901)/B1901</f>
        <v>2.510849116705766E-3</v>
      </c>
      <c r="D1902" s="54">
        <f>((1+Table26[[#This Row],[Weekly change]])^52)-1</f>
        <v>0.13928459193788534</v>
      </c>
      <c r="E1902" s="57">
        <f>(Table26[[#This Row],[M2 Money Stock, Billions of Dollars, Weekly, Seasonally Adjusted]]-B1850)/B1850</f>
        <v>6.5258597346330868E-2</v>
      </c>
    </row>
    <row r="1903" spans="1:5" x14ac:dyDescent="0.2">
      <c r="A1903" s="50">
        <v>42800</v>
      </c>
      <c r="B1903" s="51">
        <v>13371.7</v>
      </c>
      <c r="C1903" s="53">
        <f>(Table26[[#This Row],[M2 Money Stock, Billions of Dollars, Weekly, Seasonally Adjusted]]-B1902)/B1902</f>
        <v>-2.9157570501507494E-4</v>
      </c>
      <c r="D1903" s="54">
        <f>((1+Table26[[#This Row],[Weekly change]])^52)-1</f>
        <v>-1.5049750804626227E-2</v>
      </c>
      <c r="E1903" s="57">
        <f>(Table26[[#This Row],[M2 Money Stock, Billions of Dollars, Weekly, Seasonally Adjusted]]-B1851)/B1851</f>
        <v>6.4532564823144498E-2</v>
      </c>
    </row>
    <row r="1904" spans="1:5" x14ac:dyDescent="0.2">
      <c r="A1904" s="50">
        <v>42807</v>
      </c>
      <c r="B1904" s="51">
        <v>13406.8</v>
      </c>
      <c r="C1904" s="53">
        <f>(Table26[[#This Row],[M2 Money Stock, Billions of Dollars, Weekly, Seasonally Adjusted]]-B1903)/B1903</f>
        <v>2.624946715825104E-3</v>
      </c>
      <c r="D1904" s="54">
        <f>((1+Table26[[#This Row],[Weekly change]])^52)-1</f>
        <v>0.14604672892162252</v>
      </c>
      <c r="E1904" s="57">
        <f>(Table26[[#This Row],[M2 Money Stock, Billions of Dollars, Weekly, Seasonally Adjusted]]-B1852)/B1852</f>
        <v>6.6825813638895462E-2</v>
      </c>
    </row>
    <row r="1905" spans="1:5" x14ac:dyDescent="0.2">
      <c r="A1905" s="50">
        <v>42814</v>
      </c>
      <c r="B1905" s="51">
        <v>13422.9</v>
      </c>
      <c r="C1905" s="53">
        <f>(Table26[[#This Row],[M2 Money Stock, Billions of Dollars, Weekly, Seasonally Adjusted]]-B1904)/B1904</f>
        <v>1.2008831339320617E-3</v>
      </c>
      <c r="D1905" s="54">
        <f>((1+Table26[[#This Row],[Weekly change]])^52)-1</f>
        <v>6.4397017242874721E-2</v>
      </c>
      <c r="E1905" s="57">
        <f>(Table26[[#This Row],[M2 Money Stock, Billions of Dollars, Weekly, Seasonally Adjusted]]-B1853)/B1853</f>
        <v>6.5123549856374197E-2</v>
      </c>
    </row>
    <row r="1906" spans="1:5" x14ac:dyDescent="0.2">
      <c r="A1906" s="50">
        <v>42821</v>
      </c>
      <c r="B1906" s="51">
        <v>13431.8</v>
      </c>
      <c r="C1906" s="53">
        <f>(Table26[[#This Row],[M2 Money Stock, Billions of Dollars, Weekly, Seasonally Adjusted]]-B1905)/B1905</f>
        <v>6.6304598857174206E-4</v>
      </c>
      <c r="D1906" s="54">
        <f>((1+Table26[[#This Row],[Weekly change]])^52)-1</f>
        <v>3.5067835459386298E-2</v>
      </c>
      <c r="E1906" s="57">
        <f>(Table26[[#This Row],[M2 Money Stock, Billions of Dollars, Weekly, Seasonally Adjusted]]-B1854)/B1854</f>
        <v>6.2465887787630132E-2</v>
      </c>
    </row>
    <row r="1907" spans="1:5" x14ac:dyDescent="0.2">
      <c r="A1907" s="50">
        <v>42828</v>
      </c>
      <c r="B1907" s="51">
        <v>13423.7</v>
      </c>
      <c r="C1907" s="53">
        <f>(Table26[[#This Row],[M2 Money Stock, Billions of Dollars, Weekly, Seasonally Adjusted]]-B1906)/B1906</f>
        <v>-6.0304650158568064E-4</v>
      </c>
      <c r="D1907" s="54">
        <f>((1+Table26[[#This Row],[Weekly change]])^52)-1</f>
        <v>-3.0881009268332038E-2</v>
      </c>
      <c r="E1907" s="57">
        <f>(Table26[[#This Row],[M2 Money Stock, Billions of Dollars, Weekly, Seasonally Adjusted]]-B1855)/B1855</f>
        <v>6.1766380864998381E-2</v>
      </c>
    </row>
    <row r="1908" spans="1:5" x14ac:dyDescent="0.2">
      <c r="A1908" s="50">
        <v>42835</v>
      </c>
      <c r="B1908" s="51">
        <v>13461.7</v>
      </c>
      <c r="C1908" s="53">
        <f>(Table26[[#This Row],[M2 Money Stock, Billions of Dollars, Weekly, Seasonally Adjusted]]-B1907)/B1907</f>
        <v>2.8308141570505896E-3</v>
      </c>
      <c r="D1908" s="54">
        <f>((1+Table26[[#This Row],[Weekly change]])^52)-1</f>
        <v>0.15834744998004924</v>
      </c>
      <c r="E1908" s="57">
        <f>(Table26[[#This Row],[M2 Money Stock, Billions of Dollars, Weekly, Seasonally Adjusted]]-B1856)/B1856</f>
        <v>6.3711933245887226E-2</v>
      </c>
    </row>
    <row r="1909" spans="1:5" x14ac:dyDescent="0.2">
      <c r="A1909" s="50">
        <v>42842</v>
      </c>
      <c r="B1909" s="51">
        <v>13465.9</v>
      </c>
      <c r="C1909" s="53">
        <f>(Table26[[#This Row],[M2 Money Stock, Billions of Dollars, Weekly, Seasonally Adjusted]]-B1908)/B1908</f>
        <v>3.1199625604484639E-4</v>
      </c>
      <c r="D1909" s="54">
        <f>((1+Table26[[#This Row],[Weekly change]])^52)-1</f>
        <v>1.6353554115633884E-2</v>
      </c>
      <c r="E1909" s="57">
        <f>(Table26[[#This Row],[M2 Money Stock, Billions of Dollars, Weekly, Seasonally Adjusted]]-B1857)/B1857</f>
        <v>6.2239190969401038E-2</v>
      </c>
    </row>
    <row r="1910" spans="1:5" x14ac:dyDescent="0.2">
      <c r="A1910" s="50">
        <v>42849</v>
      </c>
      <c r="B1910" s="51">
        <v>13492</v>
      </c>
      <c r="C1910" s="53">
        <f>(Table26[[#This Row],[M2 Money Stock, Billions of Dollars, Weekly, Seasonally Adjusted]]-B1909)/B1909</f>
        <v>1.938229156610428E-3</v>
      </c>
      <c r="D1910" s="54">
        <f>((1+Table26[[#This Row],[Weekly change]])^52)-1</f>
        <v>0.10593415518017535</v>
      </c>
      <c r="E1910" s="57">
        <f>(Table26[[#This Row],[M2 Money Stock, Billions of Dollars, Weekly, Seasonally Adjusted]]-B1858)/B1858</f>
        <v>6.1017135757032395E-2</v>
      </c>
    </row>
    <row r="1911" spans="1:5" x14ac:dyDescent="0.2">
      <c r="A1911" s="50">
        <v>42856</v>
      </c>
      <c r="B1911" s="51">
        <v>13516.3</v>
      </c>
      <c r="C1911" s="53">
        <f>(Table26[[#This Row],[M2 Money Stock, Billions of Dollars, Weekly, Seasonally Adjusted]]-B1910)/B1910</f>
        <v>1.8010672991401774E-3</v>
      </c>
      <c r="D1911" s="54">
        <f>((1+Table26[[#This Row],[Weekly change]])^52)-1</f>
        <v>9.8088851196938442E-2</v>
      </c>
      <c r="E1911" s="57">
        <f>(Table26[[#This Row],[M2 Money Stock, Billions of Dollars, Weekly, Seasonally Adjusted]]-B1859)/B1859</f>
        <v>6.085912298189293E-2</v>
      </c>
    </row>
    <row r="1912" spans="1:5" x14ac:dyDescent="0.2">
      <c r="A1912" s="50">
        <v>42863</v>
      </c>
      <c r="B1912" s="51">
        <v>13502.3</v>
      </c>
      <c r="C1912" s="53">
        <f>(Table26[[#This Row],[M2 Money Stock, Billions of Dollars, Weekly, Seasonally Adjusted]]-B1911)/B1911</f>
        <v>-1.0357864208400229E-3</v>
      </c>
      <c r="D1912" s="54">
        <f>((1+Table26[[#This Row],[Weekly change]])^52)-1</f>
        <v>-5.2462540155876258E-2</v>
      </c>
      <c r="E1912" s="57">
        <f>(Table26[[#This Row],[M2 Money Stock, Billions of Dollars, Weekly, Seasonally Adjusted]]-B1860)/B1860</f>
        <v>5.9510824786760695E-2</v>
      </c>
    </row>
    <row r="1913" spans="1:5" x14ac:dyDescent="0.2">
      <c r="A1913" s="50">
        <v>42870</v>
      </c>
      <c r="B1913" s="51">
        <v>13516.6</v>
      </c>
      <c r="C1913" s="53">
        <f>(Table26[[#This Row],[M2 Money Stock, Billions of Dollars, Weekly, Seasonally Adjusted]]-B1912)/B1912</f>
        <v>1.0590788236079106E-3</v>
      </c>
      <c r="D1913" s="54">
        <f>((1+Table26[[#This Row],[Weekly change]])^52)-1</f>
        <v>5.6586000995284547E-2</v>
      </c>
      <c r="E1913" s="57">
        <f>(Table26[[#This Row],[M2 Money Stock, Billions of Dollars, Weekly, Seasonally Adjusted]]-B1861)/B1861</f>
        <v>5.9909351818452708E-2</v>
      </c>
    </row>
    <row r="1914" spans="1:5" x14ac:dyDescent="0.2">
      <c r="A1914" s="50">
        <v>42877</v>
      </c>
      <c r="B1914" s="51">
        <v>13547.2</v>
      </c>
      <c r="C1914" s="53">
        <f>(Table26[[#This Row],[M2 Money Stock, Billions of Dollars, Weekly, Seasonally Adjusted]]-B1913)/B1913</f>
        <v>2.2638829291390114E-3</v>
      </c>
      <c r="D1914" s="54">
        <f>((1+Table26[[#This Row],[Weekly change]])^52)-1</f>
        <v>0.12478157221629238</v>
      </c>
      <c r="E1914" s="57">
        <f>(Table26[[#This Row],[M2 Money Stock, Billions of Dollars, Weekly, Seasonally Adjusted]]-B1862)/B1862</f>
        <v>6.0686966121467914E-2</v>
      </c>
    </row>
    <row r="1915" spans="1:5" x14ac:dyDescent="0.2">
      <c r="A1915" s="50">
        <v>42884</v>
      </c>
      <c r="B1915" s="51">
        <v>13553.5</v>
      </c>
      <c r="C1915" s="53">
        <f>(Table26[[#This Row],[M2 Money Stock, Billions of Dollars, Weekly, Seasonally Adjusted]]-B1914)/B1914</f>
        <v>4.6504074642725226E-4</v>
      </c>
      <c r="D1915" s="54">
        <f>((1+Table26[[#This Row],[Weekly change]])^52)-1</f>
        <v>2.4471118752936061E-2</v>
      </c>
      <c r="E1915" s="57">
        <f>(Table26[[#This Row],[M2 Money Stock, Billions of Dollars, Weekly, Seasonally Adjusted]]-B1863)/B1863</f>
        <v>6.2436309477149801E-2</v>
      </c>
    </row>
    <row r="1916" spans="1:5" x14ac:dyDescent="0.2">
      <c r="A1916" s="50">
        <v>42891</v>
      </c>
      <c r="B1916" s="51">
        <v>13545.6</v>
      </c>
      <c r="C1916" s="53">
        <f>(Table26[[#This Row],[M2 Money Stock, Billions of Dollars, Weekly, Seasonally Adjusted]]-B1915)/B1915</f>
        <v>-5.828752720699182E-4</v>
      </c>
      <c r="D1916" s="54">
        <f>((1+Table26[[#This Row],[Weekly change]])^52)-1</f>
        <v>-2.9863359504035181E-2</v>
      </c>
      <c r="E1916" s="57">
        <f>(Table26[[#This Row],[M2 Money Stock, Billions of Dollars, Weekly, Seasonally Adjusted]]-B1864)/B1864</f>
        <v>6.0337539530951646E-2</v>
      </c>
    </row>
    <row r="1917" spans="1:5" x14ac:dyDescent="0.2">
      <c r="A1917" s="50">
        <v>42898</v>
      </c>
      <c r="B1917" s="51">
        <v>13549</v>
      </c>
      <c r="C1917" s="53">
        <f>(Table26[[#This Row],[M2 Money Stock, Billions of Dollars, Weekly, Seasonally Adjusted]]-B1916)/B1916</f>
        <v>2.5100401606423017E-4</v>
      </c>
      <c r="D1917" s="54">
        <f>((1+Table26[[#This Row],[Weekly change]])^52)-1</f>
        <v>1.3136101401487688E-2</v>
      </c>
      <c r="E1917" s="57">
        <f>(Table26[[#This Row],[M2 Money Stock, Billions of Dollars, Weekly, Seasonally Adjusted]]-B1865)/B1865</f>
        <v>5.664173691968144E-2</v>
      </c>
    </row>
    <row r="1918" spans="1:5" x14ac:dyDescent="0.2">
      <c r="A1918" s="50">
        <v>42905</v>
      </c>
      <c r="B1918" s="51">
        <v>13551.2</v>
      </c>
      <c r="C1918" s="53">
        <f>(Table26[[#This Row],[M2 Money Stock, Billions of Dollars, Weekly, Seasonally Adjusted]]-B1917)/B1917</f>
        <v>1.6237360690831261E-4</v>
      </c>
      <c r="D1918" s="54">
        <f>((1+Table26[[#This Row],[Weekly change]])^52)-1</f>
        <v>8.4784825976282896E-3</v>
      </c>
      <c r="E1918" s="57">
        <f>(Table26[[#This Row],[M2 Money Stock, Billions of Dollars, Weekly, Seasonally Adjusted]]-B1866)/B1866</f>
        <v>5.5463389178369224E-2</v>
      </c>
    </row>
    <row r="1919" spans="1:5" x14ac:dyDescent="0.2">
      <c r="A1919" s="50">
        <v>42912</v>
      </c>
      <c r="B1919" s="51">
        <v>13581.1</v>
      </c>
      <c r="C1919" s="53">
        <f>(Table26[[#This Row],[M2 Money Stock, Billions of Dollars, Weekly, Seasonally Adjusted]]-B1918)/B1918</f>
        <v>2.2064466615502416E-3</v>
      </c>
      <c r="D1919" s="54">
        <f>((1+Table26[[#This Row],[Weekly change]])^52)-1</f>
        <v>0.12143468431648996</v>
      </c>
      <c r="E1919" s="57">
        <f>(Table26[[#This Row],[M2 Money Stock, Billions of Dollars, Weekly, Seasonally Adjusted]]-B1867)/B1867</f>
        <v>5.7372199124896807E-2</v>
      </c>
    </row>
    <row r="1920" spans="1:5" x14ac:dyDescent="0.2">
      <c r="A1920" s="50">
        <v>42919</v>
      </c>
      <c r="B1920" s="51">
        <v>13562.1</v>
      </c>
      <c r="C1920" s="53">
        <f>(Table26[[#This Row],[M2 Money Stock, Billions of Dollars, Weekly, Seasonally Adjusted]]-B1919)/B1919</f>
        <v>-1.3990030262644409E-3</v>
      </c>
      <c r="D1920" s="54">
        <f>((1+Table26[[#This Row],[Weekly change]])^52)-1</f>
        <v>-7.0212387268392074E-2</v>
      </c>
      <c r="E1920" s="57">
        <f>(Table26[[#This Row],[M2 Money Stock, Billions of Dollars, Weekly, Seasonally Adjusted]]-B1868)/B1868</f>
        <v>5.6246543976199249E-2</v>
      </c>
    </row>
    <row r="1921" spans="1:5" x14ac:dyDescent="0.2">
      <c r="A1921" s="50">
        <v>42926</v>
      </c>
      <c r="B1921" s="51">
        <v>13607.5</v>
      </c>
      <c r="C1921" s="53">
        <f>(Table26[[#This Row],[M2 Money Stock, Billions of Dollars, Weekly, Seasonally Adjusted]]-B1920)/B1920</f>
        <v>3.3475641677910969E-3</v>
      </c>
      <c r="D1921" s="54">
        <f>((1+Table26[[#This Row],[Weekly change]])^52)-1</f>
        <v>0.18979690500790558</v>
      </c>
      <c r="E1921" s="57">
        <f>(Table26[[#This Row],[M2 Money Stock, Billions of Dollars, Weekly, Seasonally Adjusted]]-B1869)/B1869</f>
        <v>5.871048557134969E-2</v>
      </c>
    </row>
    <row r="1922" spans="1:5" x14ac:dyDescent="0.2">
      <c r="A1922" s="50">
        <v>42933</v>
      </c>
      <c r="B1922" s="51">
        <v>13620</v>
      </c>
      <c r="C1922" s="53">
        <f>(Table26[[#This Row],[M2 Money Stock, Billions of Dollars, Weekly, Seasonally Adjusted]]-B1921)/B1921</f>
        <v>9.1861106007716335E-4</v>
      </c>
      <c r="D1922" s="54">
        <f>((1+Table26[[#This Row],[Weekly change]])^52)-1</f>
        <v>4.8904040960371598E-2</v>
      </c>
      <c r="E1922" s="57">
        <f>(Table26[[#This Row],[M2 Money Stock, Billions of Dollars, Weekly, Seasonally Adjusted]]-B1870)/B1870</f>
        <v>5.7666920341062668E-2</v>
      </c>
    </row>
    <row r="1923" spans="1:5" x14ac:dyDescent="0.2">
      <c r="A1923" s="50">
        <v>42940</v>
      </c>
      <c r="B1923" s="51">
        <v>13628.5</v>
      </c>
      <c r="C1923" s="53">
        <f>(Table26[[#This Row],[M2 Money Stock, Billions of Dollars, Weekly, Seasonally Adjusted]]-B1922)/B1922</f>
        <v>6.2408223201174747E-4</v>
      </c>
      <c r="D1923" s="54">
        <f>((1+Table26[[#This Row],[Weekly change]])^52)-1</f>
        <v>3.2974137819501426E-2</v>
      </c>
      <c r="E1923" s="57">
        <f>(Table26[[#This Row],[M2 Money Stock, Billions of Dollars, Weekly, Seasonally Adjusted]]-B1871)/B1871</f>
        <v>5.6243606038999347E-2</v>
      </c>
    </row>
    <row r="1924" spans="1:5" x14ac:dyDescent="0.2">
      <c r="A1924" s="50">
        <v>42947</v>
      </c>
      <c r="B1924" s="51">
        <v>13640.8</v>
      </c>
      <c r="C1924" s="53">
        <f>(Table26[[#This Row],[M2 Money Stock, Billions of Dollars, Weekly, Seasonally Adjusted]]-B1923)/B1923</f>
        <v>9.0252045346144274E-4</v>
      </c>
      <c r="D1924" s="54">
        <f>((1+Table26[[#This Row],[Weekly change]])^52)-1</f>
        <v>4.802757564542337E-2</v>
      </c>
      <c r="E1924" s="57">
        <f>(Table26[[#This Row],[M2 Money Stock, Billions of Dollars, Weekly, Seasonally Adjusted]]-B1872)/B1872</f>
        <v>5.5234087322461864E-2</v>
      </c>
    </row>
    <row r="1925" spans="1:5" x14ac:dyDescent="0.2">
      <c r="A1925" s="50">
        <v>42954</v>
      </c>
      <c r="B1925" s="51">
        <v>13646.9</v>
      </c>
      <c r="C1925" s="53">
        <f>(Table26[[#This Row],[M2 Money Stock, Billions of Dollars, Weekly, Seasonally Adjusted]]-B1924)/B1924</f>
        <v>4.4718784822007245E-4</v>
      </c>
      <c r="D1925" s="54">
        <f>((1+Table26[[#This Row],[Weekly change]])^52)-1</f>
        <v>2.3520924787638675E-2</v>
      </c>
      <c r="E1925" s="57">
        <f>(Table26[[#This Row],[M2 Money Stock, Billions of Dollars, Weekly, Seasonally Adjusted]]-B1873)/B1873</f>
        <v>5.4172846372512608E-2</v>
      </c>
    </row>
    <row r="1926" spans="1:5" x14ac:dyDescent="0.2">
      <c r="A1926" s="50">
        <v>42961</v>
      </c>
      <c r="B1926" s="51">
        <v>13651</v>
      </c>
      <c r="C1926" s="53">
        <f>(Table26[[#This Row],[M2 Money Stock, Billions of Dollars, Weekly, Seasonally Adjusted]]-B1925)/B1925</f>
        <v>3.0043453091913648E-4</v>
      </c>
      <c r="D1926" s="54">
        <f>((1+Table26[[#This Row],[Weekly change]])^52)-1</f>
        <v>1.5742883079555403E-2</v>
      </c>
      <c r="E1926" s="57">
        <f>(Table26[[#This Row],[M2 Money Stock, Billions of Dollars, Weekly, Seasonally Adjusted]]-B1874)/B1874</f>
        <v>5.3537388190440967E-2</v>
      </c>
    </row>
    <row r="1927" spans="1:5" x14ac:dyDescent="0.2">
      <c r="A1927" s="50">
        <v>42968</v>
      </c>
      <c r="B1927" s="51">
        <v>13687.3</v>
      </c>
      <c r="C1927" s="53">
        <f>(Table26[[#This Row],[M2 Money Stock, Billions of Dollars, Weekly, Seasonally Adjusted]]-B1926)/B1926</f>
        <v>2.659145850120817E-3</v>
      </c>
      <c r="D1927" s="54">
        <f>((1+Table26[[#This Row],[Weekly change]])^52)-1</f>
        <v>0.14808124006751444</v>
      </c>
      <c r="E1927" s="57">
        <f>(Table26[[#This Row],[M2 Money Stock, Billions of Dollars, Weekly, Seasonally Adjusted]]-B1875)/B1875</f>
        <v>5.4101718932906169E-2</v>
      </c>
    </row>
    <row r="1928" spans="1:5" x14ac:dyDescent="0.2">
      <c r="A1928" s="50">
        <v>42975</v>
      </c>
      <c r="B1928" s="51">
        <v>13702</v>
      </c>
      <c r="C1928" s="53">
        <f>(Table26[[#This Row],[M2 Money Stock, Billions of Dollars, Weekly, Seasonally Adjusted]]-B1927)/B1927</f>
        <v>1.0739882957194428E-3</v>
      </c>
      <c r="D1928" s="54">
        <f>((1+Table26[[#This Row],[Weekly change]])^52)-1</f>
        <v>5.7404608466920415E-2</v>
      </c>
      <c r="E1928" s="57">
        <f>(Table26[[#This Row],[M2 Money Stock, Billions of Dollars, Weekly, Seasonally Adjusted]]-B1876)/B1876</f>
        <v>5.4925088154227523E-2</v>
      </c>
    </row>
    <row r="1929" spans="1:5" x14ac:dyDescent="0.2">
      <c r="A1929" s="50">
        <v>42982</v>
      </c>
      <c r="B1929" s="51">
        <v>13692</v>
      </c>
      <c r="C1929" s="53">
        <f>(Table26[[#This Row],[M2 Money Stock, Billions of Dollars, Weekly, Seasonally Adjusted]]-B1928)/B1928</f>
        <v>-7.2982046416581522E-4</v>
      </c>
      <c r="D1929" s="54">
        <f>((1+Table26[[#This Row],[Weekly change]])^52)-1</f>
        <v>-3.7252900931632138E-2</v>
      </c>
      <c r="E1929" s="57">
        <f>(Table26[[#This Row],[M2 Money Stock, Billions of Dollars, Weekly, Seasonally Adjusted]]-B1877)/B1877</f>
        <v>5.3327999507646918E-2</v>
      </c>
    </row>
    <row r="1930" spans="1:5" x14ac:dyDescent="0.2">
      <c r="A1930" s="50">
        <v>42989</v>
      </c>
      <c r="B1930" s="51">
        <v>13706.8</v>
      </c>
      <c r="C1930" s="53">
        <f>(Table26[[#This Row],[M2 Money Stock, Billions of Dollars, Weekly, Seasonally Adjusted]]-B1929)/B1929</f>
        <v>1.0809231668126842E-3</v>
      </c>
      <c r="D1930" s="54">
        <f>((1+Table26[[#This Row],[Weekly change]])^52)-1</f>
        <v>5.7785580835757244E-2</v>
      </c>
      <c r="E1930" s="57">
        <f>(Table26[[#This Row],[M2 Money Stock, Billions of Dollars, Weekly, Seasonally Adjusted]]-B1878)/B1878</f>
        <v>5.1586570920026976E-2</v>
      </c>
    </row>
    <row r="1931" spans="1:5" x14ac:dyDescent="0.2">
      <c r="A1931" s="50">
        <v>42996</v>
      </c>
      <c r="B1931" s="51">
        <v>13708</v>
      </c>
      <c r="C1931" s="53">
        <f>(Table26[[#This Row],[M2 Money Stock, Billions of Dollars, Weekly, Seasonally Adjusted]]-B1930)/B1930</f>
        <v>8.7547786500184404E-5</v>
      </c>
      <c r="D1931" s="54">
        <f>((1+Table26[[#This Row],[Weekly change]])^52)-1</f>
        <v>4.5626630228532417E-3</v>
      </c>
      <c r="E1931" s="57">
        <f>(Table26[[#This Row],[M2 Money Stock, Billions of Dollars, Weekly, Seasonally Adjusted]]-B1879)/B1879</f>
        <v>5.1993400099765934E-2</v>
      </c>
    </row>
    <row r="1932" spans="1:5" x14ac:dyDescent="0.2">
      <c r="A1932" s="50">
        <v>43003</v>
      </c>
      <c r="B1932" s="51">
        <v>13725.4</v>
      </c>
      <c r="C1932" s="53">
        <f>(Table26[[#This Row],[M2 Money Stock, Billions of Dollars, Weekly, Seasonally Adjusted]]-B1931)/B1931</f>
        <v>1.2693317770644614E-3</v>
      </c>
      <c r="D1932" s="54">
        <f>((1+Table26[[#This Row],[Weekly change]])^52)-1</f>
        <v>6.8187617088496966E-2</v>
      </c>
      <c r="E1932" s="57">
        <f>(Table26[[#This Row],[M2 Money Stock, Billions of Dollars, Weekly, Seasonally Adjusted]]-B1880)/B1880</f>
        <v>5.2238577123581695E-2</v>
      </c>
    </row>
    <row r="1933" spans="1:5" x14ac:dyDescent="0.2">
      <c r="A1933" s="50">
        <v>43010</v>
      </c>
      <c r="B1933" s="51">
        <v>13748.2</v>
      </c>
      <c r="C1933" s="53">
        <f>(Table26[[#This Row],[M2 Money Stock, Billions of Dollars, Weekly, Seasonally Adjusted]]-B1932)/B1932</f>
        <v>1.661153773296304E-3</v>
      </c>
      <c r="D1933" s="54">
        <f>((1+Table26[[#This Row],[Weekly change]])^52)-1</f>
        <v>9.0142400466064476E-2</v>
      </c>
      <c r="E1933" s="57">
        <f>(Table26[[#This Row],[M2 Money Stock, Billions of Dollars, Weekly, Seasonally Adjusted]]-B1881)/B1881</f>
        <v>5.415621956923463E-2</v>
      </c>
    </row>
    <row r="1934" spans="1:5" x14ac:dyDescent="0.2">
      <c r="A1934" s="50">
        <v>43017</v>
      </c>
      <c r="B1934" s="51">
        <v>13773.7</v>
      </c>
      <c r="C1934" s="53">
        <f>(Table26[[#This Row],[M2 Money Stock, Billions of Dollars, Weekly, Seasonally Adjusted]]-B1933)/B1933</f>
        <v>1.8547882631908177E-3</v>
      </c>
      <c r="D1934" s="54">
        <f>((1+Table26[[#This Row],[Weekly change]])^52)-1</f>
        <v>0.10115502749352889</v>
      </c>
      <c r="E1934" s="57">
        <f>(Table26[[#This Row],[M2 Money Stock, Billions of Dollars, Weekly, Seasonally Adjusted]]-B1882)/B1882</f>
        <v>5.1636202605097277E-2</v>
      </c>
    </row>
    <row r="1935" spans="1:5" x14ac:dyDescent="0.2">
      <c r="A1935" s="50">
        <v>43024</v>
      </c>
      <c r="B1935" s="51">
        <v>13762.3</v>
      </c>
      <c r="C1935" s="53">
        <f>(Table26[[#This Row],[M2 Money Stock, Billions of Dollars, Weekly, Seasonally Adjusted]]-B1934)/B1934</f>
        <v>-8.276643167777325E-4</v>
      </c>
      <c r="D1935" s="54">
        <f>((1+Table26[[#This Row],[Weekly change]])^52)-1</f>
        <v>-4.214260112500956E-2</v>
      </c>
      <c r="E1935" s="57">
        <f>(Table26[[#This Row],[M2 Money Stock, Billions of Dollars, Weekly, Seasonally Adjusted]]-B1883)/B1883</f>
        <v>5.1054697643159362E-2</v>
      </c>
    </row>
    <row r="1936" spans="1:5" x14ac:dyDescent="0.2">
      <c r="A1936" s="50">
        <v>43031</v>
      </c>
      <c r="B1936" s="51">
        <v>13765.8</v>
      </c>
      <c r="C1936" s="53">
        <f>(Table26[[#This Row],[M2 Money Stock, Billions of Dollars, Weekly, Seasonally Adjusted]]-B1935)/B1935</f>
        <v>2.5431795557428631E-4</v>
      </c>
      <c r="D1936" s="54">
        <f>((1+Table26[[#This Row],[Weekly change]])^52)-1</f>
        <v>1.3310660868446567E-2</v>
      </c>
      <c r="E1936" s="57">
        <f>(Table26[[#This Row],[M2 Money Stock, Billions of Dollars, Weekly, Seasonally Adjusted]]-B1884)/B1884</f>
        <v>5.0583835762802357E-2</v>
      </c>
    </row>
    <row r="1937" spans="1:5" x14ac:dyDescent="0.2">
      <c r="A1937" s="50">
        <v>43038</v>
      </c>
      <c r="B1937" s="51">
        <v>13778</v>
      </c>
      <c r="C1937" s="53">
        <f>(Table26[[#This Row],[M2 Money Stock, Billions of Dollars, Weekly, Seasonally Adjusted]]-B1936)/B1936</f>
        <v>8.8625434046700729E-4</v>
      </c>
      <c r="D1937" s="54">
        <f>((1+Table26[[#This Row],[Weekly change]])^52)-1</f>
        <v>4.714228048480007E-2</v>
      </c>
      <c r="E1937" s="57">
        <f>(Table26[[#This Row],[M2 Money Stock, Billions of Dollars, Weekly, Seasonally Adjusted]]-B1885)/B1885</f>
        <v>4.9512492382693479E-2</v>
      </c>
    </row>
    <row r="1938" spans="1:5" x14ac:dyDescent="0.2">
      <c r="A1938" s="50">
        <v>43045</v>
      </c>
      <c r="B1938" s="51">
        <v>13781.4</v>
      </c>
      <c r="C1938" s="53">
        <f>(Table26[[#This Row],[M2 Money Stock, Billions of Dollars, Weekly, Seasonally Adjusted]]-B1937)/B1937</f>
        <v>2.4677021338362869E-4</v>
      </c>
      <c r="D1938" s="54">
        <f>((1+Table26[[#This Row],[Weekly change]])^52)-1</f>
        <v>1.2913131687156687E-2</v>
      </c>
      <c r="E1938" s="57">
        <f>(Table26[[#This Row],[M2 Money Stock, Billions of Dollars, Weekly, Seasonally Adjusted]]-B1886)/B1886</f>
        <v>5.029951072294115E-2</v>
      </c>
    </row>
    <row r="1939" spans="1:5" x14ac:dyDescent="0.2">
      <c r="A1939" s="50">
        <v>43052</v>
      </c>
      <c r="B1939" s="51">
        <v>13787.4</v>
      </c>
      <c r="C1939" s="53">
        <f>(Table26[[#This Row],[M2 Money Stock, Billions of Dollars, Weekly, Seasonally Adjusted]]-B1938)/B1938</f>
        <v>4.3536941094518702E-4</v>
      </c>
      <c r="D1939" s="54">
        <f>((1+Table26[[#This Row],[Weekly change]])^52)-1</f>
        <v>2.289238158028617E-2</v>
      </c>
      <c r="E1939" s="57">
        <f>(Table26[[#This Row],[M2 Money Stock, Billions of Dollars, Weekly, Seasonally Adjusted]]-B1887)/B1887</f>
        <v>4.749169977891405E-2</v>
      </c>
    </row>
    <row r="1940" spans="1:5" x14ac:dyDescent="0.2">
      <c r="A1940" s="50">
        <v>43059</v>
      </c>
      <c r="B1940" s="51">
        <v>13785.5</v>
      </c>
      <c r="C1940" s="53">
        <f>(Table26[[#This Row],[M2 Money Stock, Billions of Dollars, Weekly, Seasonally Adjusted]]-B1939)/B1939</f>
        <v>-1.3780698318752166E-4</v>
      </c>
      <c r="D1940" s="54">
        <f>((1+Table26[[#This Row],[Weekly change]])^52)-1</f>
        <v>-7.1408391113905179E-3</v>
      </c>
      <c r="E1940" s="57">
        <f>(Table26[[#This Row],[M2 Money Stock, Billions of Dollars, Weekly, Seasonally Adjusted]]-B1888)/B1888</f>
        <v>4.4387708718445988E-2</v>
      </c>
    </row>
    <row r="1941" spans="1:5" x14ac:dyDescent="0.2">
      <c r="A1941" s="50">
        <v>43066</v>
      </c>
      <c r="B1941" s="51">
        <v>13814.6</v>
      </c>
      <c r="C1941" s="53">
        <f>(Table26[[#This Row],[M2 Money Stock, Billions of Dollars, Weekly, Seasonally Adjusted]]-B1940)/B1940</f>
        <v>2.1109136411447075E-3</v>
      </c>
      <c r="D1941" s="54">
        <f>((1+Table26[[#This Row],[Weekly change]])^52)-1</f>
        <v>0.11588946935233935</v>
      </c>
      <c r="E1941" s="57">
        <f>(Table26[[#This Row],[M2 Money Stock, Billions of Dollars, Weekly, Seasonally Adjusted]]-B1889)/B1889</f>
        <v>4.7393760188028385E-2</v>
      </c>
    </row>
    <row r="1942" spans="1:5" x14ac:dyDescent="0.2">
      <c r="A1942" s="50">
        <v>43073</v>
      </c>
      <c r="B1942" s="51">
        <v>13806.2</v>
      </c>
      <c r="C1942" s="53">
        <f>(Table26[[#This Row],[M2 Money Stock, Billions of Dollars, Weekly, Seasonally Adjusted]]-B1941)/B1941</f>
        <v>-6.0805235041185674E-4</v>
      </c>
      <c r="D1942" s="54">
        <f>((1+Table26[[#This Row],[Weekly change]])^52)-1</f>
        <v>-3.1133394934815262E-2</v>
      </c>
      <c r="E1942" s="57">
        <f>(Table26[[#This Row],[M2 Money Stock, Billions of Dollars, Weekly, Seasonally Adjusted]]-B1890)/B1890</f>
        <v>4.6772762769821105E-2</v>
      </c>
    </row>
    <row r="1943" spans="1:5" x14ac:dyDescent="0.2">
      <c r="A1943" s="50">
        <v>43080</v>
      </c>
      <c r="B1943" s="51">
        <v>13841.9</v>
      </c>
      <c r="C1943" s="53">
        <f>(Table26[[#This Row],[M2 Money Stock, Billions of Dollars, Weekly, Seasonally Adjusted]]-B1942)/B1942</f>
        <v>2.5857947878488584E-3</v>
      </c>
      <c r="D1943" s="54">
        <f>((1+Table26[[#This Row],[Weekly change]])^52)-1</f>
        <v>0.14372191643648224</v>
      </c>
      <c r="E1943" s="57">
        <f>(Table26[[#This Row],[M2 Money Stock, Billions of Dollars, Weekly, Seasonally Adjusted]]-B1891)/B1891</f>
        <v>4.9296522029170023E-2</v>
      </c>
    </row>
    <row r="1944" spans="1:5" x14ac:dyDescent="0.2">
      <c r="A1944" s="50">
        <v>43087</v>
      </c>
      <c r="B1944" s="51">
        <v>13852.4</v>
      </c>
      <c r="C1944" s="53">
        <f>(Table26[[#This Row],[M2 Money Stock, Billions of Dollars, Weekly, Seasonally Adjusted]]-B1943)/B1943</f>
        <v>7.5856638178284776E-4</v>
      </c>
      <c r="D1944" s="54">
        <f>((1+Table26[[#This Row],[Weekly change]])^52)-1</f>
        <v>4.0218199561511181E-2</v>
      </c>
      <c r="E1944" s="57">
        <f>(Table26[[#This Row],[M2 Money Stock, Billions of Dollars, Weekly, Seasonally Adjusted]]-B1892)/B1892</f>
        <v>4.9591222846058845E-2</v>
      </c>
    </row>
    <row r="1945" spans="1:5" x14ac:dyDescent="0.2">
      <c r="A1945" s="50">
        <v>43094</v>
      </c>
      <c r="B1945" s="51">
        <v>13830.2</v>
      </c>
      <c r="C1945" s="53">
        <f>(Table26[[#This Row],[M2 Money Stock, Billions of Dollars, Weekly, Seasonally Adjusted]]-B1944)/B1944</f>
        <v>-1.6026103779849636E-3</v>
      </c>
      <c r="D1945" s="54">
        <f>((1+Table26[[#This Row],[Weekly change]])^52)-1</f>
        <v>-8.0019300944931371E-2</v>
      </c>
      <c r="E1945" s="57">
        <f>(Table26[[#This Row],[M2 Money Stock, Billions of Dollars, Weekly, Seasonally Adjusted]]-B1893)/B1893</f>
        <v>4.7480554103898384E-2</v>
      </c>
    </row>
    <row r="1946" spans="1:5" x14ac:dyDescent="0.2">
      <c r="A1946" s="50">
        <v>43101</v>
      </c>
      <c r="B1946" s="51">
        <v>13834.7</v>
      </c>
      <c r="C1946" s="53">
        <f>(Table26[[#This Row],[M2 Money Stock, Billions of Dollars, Weekly, Seasonally Adjusted]]-B1945)/B1945</f>
        <v>3.2537490419516706E-4</v>
      </c>
      <c r="D1946" s="54">
        <f>((1+Table26[[#This Row],[Weekly change]])^52)-1</f>
        <v>1.7060641408317867E-2</v>
      </c>
      <c r="E1946" s="57">
        <f>(Table26[[#This Row],[M2 Money Stock, Billions of Dollars, Weekly, Seasonally Adjusted]]-B1894)/B1894</f>
        <v>4.6957061343100598E-2</v>
      </c>
    </row>
    <row r="1947" spans="1:5" x14ac:dyDescent="0.2">
      <c r="A1947" s="50">
        <v>43108</v>
      </c>
      <c r="B1947" s="51">
        <v>13844.1</v>
      </c>
      <c r="C1947" s="53">
        <f>(Table26[[#This Row],[M2 Money Stock, Billions of Dollars, Weekly, Seasonally Adjusted]]-B1946)/B1946</f>
        <v>6.7945094581014663E-4</v>
      </c>
      <c r="D1947" s="54">
        <f>((1+Table26[[#This Row],[Weekly change]])^52)-1</f>
        <v>3.5950592044231788E-2</v>
      </c>
      <c r="E1947" s="57">
        <f>(Table26[[#This Row],[M2 Money Stock, Billions of Dollars, Weekly, Seasonally Adjusted]]-B1895)/B1895</f>
        <v>4.4262406372338345E-2</v>
      </c>
    </row>
    <row r="1948" spans="1:5" x14ac:dyDescent="0.2">
      <c r="A1948" s="50">
        <v>43115</v>
      </c>
      <c r="B1948" s="51">
        <v>13851.2</v>
      </c>
      <c r="C1948" s="53">
        <f>(Table26[[#This Row],[M2 Money Stock, Billions of Dollars, Weekly, Seasonally Adjusted]]-B1947)/B1947</f>
        <v>5.1285385109905036E-4</v>
      </c>
      <c r="D1948" s="54">
        <f>((1+Table26[[#This Row],[Weekly change]])^52)-1</f>
        <v>2.7020163445077738E-2</v>
      </c>
      <c r="E1948" s="57">
        <f>(Table26[[#This Row],[M2 Money Stock, Billions of Dollars, Weekly, Seasonally Adjusted]]-B1896)/B1896</f>
        <v>4.3475640533068183E-2</v>
      </c>
    </row>
    <row r="1949" spans="1:5" x14ac:dyDescent="0.2">
      <c r="A1949" s="50">
        <v>43122</v>
      </c>
      <c r="B1949" s="51">
        <v>13864.9</v>
      </c>
      <c r="C1949" s="53">
        <f>(Table26[[#This Row],[M2 Money Stock, Billions of Dollars, Weekly, Seasonally Adjusted]]-B1948)/B1948</f>
        <v>9.8908397828339112E-4</v>
      </c>
      <c r="D1949" s="54">
        <f>((1+Table26[[#This Row],[Weekly change]])^52)-1</f>
        <v>5.275122130151999E-2</v>
      </c>
      <c r="E1949" s="57">
        <f>(Table26[[#This Row],[M2 Money Stock, Billions of Dollars, Weekly, Seasonally Adjusted]]-B1897)/B1897</f>
        <v>4.305403006183886E-2</v>
      </c>
    </row>
    <row r="1950" spans="1:5" x14ac:dyDescent="0.2">
      <c r="A1950" s="50">
        <v>43129</v>
      </c>
      <c r="B1950" s="51">
        <v>13869.8</v>
      </c>
      <c r="C1950" s="53">
        <f>(Table26[[#This Row],[M2 Money Stock, Billions of Dollars, Weekly, Seasonally Adjusted]]-B1949)/B1949</f>
        <v>3.5341041046092194E-4</v>
      </c>
      <c r="D1950" s="54">
        <f>((1+Table26[[#This Row],[Weekly change]])^52)-1</f>
        <v>1.8543937053915771E-2</v>
      </c>
      <c r="E1950" s="57">
        <f>(Table26[[#This Row],[M2 Money Stock, Billions of Dollars, Weekly, Seasonally Adjusted]]-B1898)/B1898</f>
        <v>4.3658198892366877E-2</v>
      </c>
    </row>
    <row r="1951" spans="1:5" x14ac:dyDescent="0.2">
      <c r="A1951" s="50">
        <v>43136</v>
      </c>
      <c r="B1951" s="51">
        <v>13881.5</v>
      </c>
      <c r="C1951" s="53">
        <f>(Table26[[#This Row],[M2 Money Stock, Billions of Dollars, Weekly, Seasonally Adjusted]]-B1950)/B1950</f>
        <v>8.4355938802295114E-4</v>
      </c>
      <c r="D1951" s="54">
        <f>((1+Table26[[#This Row],[Weekly change]])^52)-1</f>
        <v>4.4822063934679024E-2</v>
      </c>
      <c r="E1951" s="57">
        <f>(Table26[[#This Row],[M2 Money Stock, Billions of Dollars, Weekly, Seasonally Adjusted]]-B1899)/B1899</f>
        <v>4.2639967552464415E-2</v>
      </c>
    </row>
    <row r="1952" spans="1:5" x14ac:dyDescent="0.2">
      <c r="A1952" s="50">
        <v>43143</v>
      </c>
      <c r="B1952" s="51">
        <v>13875.1</v>
      </c>
      <c r="C1952" s="53">
        <f>(Table26[[#This Row],[M2 Money Stock, Billions of Dollars, Weekly, Seasonally Adjusted]]-B1951)/B1951</f>
        <v>-4.6104527608685199E-4</v>
      </c>
      <c r="D1952" s="54">
        <f>((1+Table26[[#This Row],[Weekly change]])^52)-1</f>
        <v>-2.3694649799527401E-2</v>
      </c>
      <c r="E1952" s="57">
        <f>(Table26[[#This Row],[M2 Money Stock, Billions of Dollars, Weekly, Seasonally Adjusted]]-B1900)/B1900</f>
        <v>4.130674611811145E-2</v>
      </c>
    </row>
    <row r="1953" spans="1:5" x14ac:dyDescent="0.2">
      <c r="A1953" s="50">
        <v>43150</v>
      </c>
      <c r="B1953" s="51">
        <v>13884.9</v>
      </c>
      <c r="C1953" s="53">
        <f>(Table26[[#This Row],[M2 Money Stock, Billions of Dollars, Weekly, Seasonally Adjusted]]-B1952)/B1952</f>
        <v>7.0630121584704054E-4</v>
      </c>
      <c r="D1953" s="54">
        <f>((1+Table26[[#This Row],[Weekly change]])^52)-1</f>
        <v>3.7397008138970067E-2</v>
      </c>
      <c r="E1953" s="57">
        <f>(Table26[[#This Row],[M2 Money Stock, Billions of Dollars, Weekly, Seasonally Adjusted]]-B1901)/B1901</f>
        <v>4.0683250762623517E-2</v>
      </c>
    </row>
    <row r="1954" spans="1:5" x14ac:dyDescent="0.2">
      <c r="A1954" s="50">
        <v>43157</v>
      </c>
      <c r="B1954" s="51">
        <v>13914.4</v>
      </c>
      <c r="C1954" s="53">
        <f>(Table26[[#This Row],[M2 Money Stock, Billions of Dollars, Weekly, Seasonally Adjusted]]-B1953)/B1953</f>
        <v>2.124610188046007E-3</v>
      </c>
      <c r="D1954" s="54">
        <f>((1+Table26[[#This Row],[Weekly change]])^52)-1</f>
        <v>0.1166828309796224</v>
      </c>
      <c r="E1954" s="57">
        <f>(Table26[[#This Row],[M2 Money Stock, Billions of Dollars, Weekly, Seasonally Adjusted]]-B1902)/B1902</f>
        <v>4.0282305092855589E-2</v>
      </c>
    </row>
    <row r="1955" spans="1:5" x14ac:dyDescent="0.2">
      <c r="A1955" s="50">
        <v>43164</v>
      </c>
      <c r="B1955" s="51">
        <v>13935.6</v>
      </c>
      <c r="C1955" s="53">
        <f>(Table26[[#This Row],[M2 Money Stock, Billions of Dollars, Weekly, Seasonally Adjusted]]-B1954)/B1954</f>
        <v>1.5236014488587885E-3</v>
      </c>
      <c r="D1955" s="54">
        <f>((1+Table26[[#This Row],[Weekly change]])^52)-1</f>
        <v>8.2385044913239946E-2</v>
      </c>
      <c r="E1955" s="57">
        <f>(Table26[[#This Row],[M2 Money Stock, Billions of Dollars, Weekly, Seasonally Adjusted]]-B1903)/B1903</f>
        <v>4.2171152508656315E-2</v>
      </c>
    </row>
    <row r="1956" spans="1:5" x14ac:dyDescent="0.2">
      <c r="A1956" s="50">
        <v>43171</v>
      </c>
      <c r="B1956" s="51">
        <v>13938.8</v>
      </c>
      <c r="C1956" s="53">
        <f>(Table26[[#This Row],[M2 Money Stock, Billions of Dollars, Weekly, Seasonally Adjusted]]-B1955)/B1955</f>
        <v>2.2962771606525076E-4</v>
      </c>
      <c r="D1956" s="54">
        <f>((1+Table26[[#This Row],[Weekly change]])^52)-1</f>
        <v>1.2010828082335001E-2</v>
      </c>
      <c r="E1956" s="57">
        <f>(Table26[[#This Row],[M2 Money Stock, Billions of Dollars, Weekly, Seasonally Adjusted]]-B1904)/B1904</f>
        <v>3.9681355729928099E-2</v>
      </c>
    </row>
    <row r="1957" spans="1:5" x14ac:dyDescent="0.2">
      <c r="A1957" s="50">
        <v>43178</v>
      </c>
      <c r="B1957" s="51">
        <v>13942.4</v>
      </c>
      <c r="C1957" s="53">
        <f>(Table26[[#This Row],[M2 Money Stock, Billions of Dollars, Weekly, Seasonally Adjusted]]-B1956)/B1956</f>
        <v>2.5827187419292651E-4</v>
      </c>
      <c r="D1957" s="54">
        <f>((1+Table26[[#This Row],[Weekly change]])^52)-1</f>
        <v>1.3518969384009871E-2</v>
      </c>
      <c r="E1957" s="57">
        <f>(Table26[[#This Row],[M2 Money Stock, Billions of Dollars, Weekly, Seasonally Adjusted]]-B1905)/B1905</f>
        <v>3.8702515849779108E-2</v>
      </c>
    </row>
    <row r="1958" spans="1:5" x14ac:dyDescent="0.2">
      <c r="A1958" s="50">
        <v>43185</v>
      </c>
      <c r="B1958" s="51">
        <v>13970.3</v>
      </c>
      <c r="C1958" s="53">
        <f>(Table26[[#This Row],[M2 Money Stock, Billions of Dollars, Weekly, Seasonally Adjusted]]-B1957)/B1957</f>
        <v>2.0010901996786522E-3</v>
      </c>
      <c r="D1958" s="54">
        <f>((1+Table26[[#This Row],[Weekly change]])^52)-1</f>
        <v>0.10954798942755195</v>
      </c>
      <c r="E1958" s="57">
        <f>(Table26[[#This Row],[M2 Money Stock, Billions of Dollars, Weekly, Seasonally Adjusted]]-B1906)/B1906</f>
        <v>4.0091424827647826E-2</v>
      </c>
    </row>
    <row r="1959" spans="1:5" x14ac:dyDescent="0.2">
      <c r="A1959" s="50">
        <v>43192</v>
      </c>
      <c r="B1959" s="51">
        <v>13978.8</v>
      </c>
      <c r="C1959" s="53">
        <f>(Table26[[#This Row],[M2 Money Stock, Billions of Dollars, Weekly, Seasonally Adjusted]]-B1958)/B1958</f>
        <v>6.0843360557754668E-4</v>
      </c>
      <c r="D1959" s="54">
        <f>((1+Table26[[#This Row],[Weekly change]])^52)-1</f>
        <v>3.2134436410204748E-2</v>
      </c>
      <c r="E1959" s="57">
        <f>(Table26[[#This Row],[M2 Money Stock, Billions of Dollars, Weekly, Seasonally Adjusted]]-B1907)/B1907</f>
        <v>4.1352235225757317E-2</v>
      </c>
    </row>
    <row r="1960" spans="1:5" x14ac:dyDescent="0.2">
      <c r="A1960" s="50">
        <v>43199</v>
      </c>
      <c r="B1960" s="51">
        <v>13972.1</v>
      </c>
      <c r="C1960" s="53">
        <f>(Table26[[#This Row],[M2 Money Stock, Billions of Dollars, Weekly, Seasonally Adjusted]]-B1959)/B1959</f>
        <v>-4.7929722150677516E-4</v>
      </c>
      <c r="D1960" s="54">
        <f>((1+Table26[[#This Row],[Weekly change]])^52)-1</f>
        <v>-2.4621258214219788E-2</v>
      </c>
      <c r="E1960" s="57">
        <f>(Table26[[#This Row],[M2 Money Stock, Billions of Dollars, Weekly, Seasonally Adjusted]]-B1908)/B1908</f>
        <v>3.7914973591745442E-2</v>
      </c>
    </row>
    <row r="1961" spans="1:5" x14ac:dyDescent="0.2">
      <c r="A1961" s="50">
        <v>43206</v>
      </c>
      <c r="B1961" s="51">
        <v>13978.2</v>
      </c>
      <c r="C1961" s="53">
        <f>(Table26[[#This Row],[M2 Money Stock, Billions of Dollars, Weekly, Seasonally Adjusted]]-B1960)/B1960</f>
        <v>4.3658433592662263E-4</v>
      </c>
      <c r="D1961" s="54">
        <f>((1+Table26[[#This Row],[Weekly change]])^52)-1</f>
        <v>2.2956977808675116E-2</v>
      </c>
      <c r="E1961" s="57">
        <f>(Table26[[#This Row],[M2 Money Stock, Billions of Dollars, Weekly, Seasonally Adjusted]]-B1909)/B1909</f>
        <v>3.8044245093161323E-2</v>
      </c>
    </row>
    <row r="1962" spans="1:5" x14ac:dyDescent="0.2">
      <c r="A1962" s="50">
        <v>43213</v>
      </c>
      <c r="B1962" s="51">
        <v>14004.1</v>
      </c>
      <c r="C1962" s="53">
        <f>(Table26[[#This Row],[M2 Money Stock, Billions of Dollars, Weekly, Seasonally Adjusted]]-B1961)/B1961</f>
        <v>1.8528852069651053E-3</v>
      </c>
      <c r="D1962" s="54">
        <f>((1+Table26[[#This Row],[Weekly change]])^52)-1</f>
        <v>0.10104626538590589</v>
      </c>
      <c r="E1962" s="57">
        <f>(Table26[[#This Row],[M2 Money Stock, Billions of Dollars, Weekly, Seasonally Adjusted]]-B1910)/B1910</f>
        <v>3.7955825674473788E-2</v>
      </c>
    </row>
    <row r="1963" spans="1:5" x14ac:dyDescent="0.2">
      <c r="A1963" s="50">
        <v>43220</v>
      </c>
      <c r="B1963" s="51">
        <v>14005.3</v>
      </c>
      <c r="C1963" s="53">
        <f>(Table26[[#This Row],[M2 Money Stock, Billions of Dollars, Weekly, Seasonally Adjusted]]-B1962)/B1962</f>
        <v>8.5689191022551156E-5</v>
      </c>
      <c r="D1963" s="54">
        <f>((1+Table26[[#This Row],[Weekly change]])^52)-1</f>
        <v>4.4655881900306227E-3</v>
      </c>
      <c r="E1963" s="57">
        <f>(Table26[[#This Row],[M2 Money Stock, Billions of Dollars, Weekly, Seasonally Adjusted]]-B1911)/B1911</f>
        <v>3.6178539985055082E-2</v>
      </c>
    </row>
    <row r="1964" spans="1:5" x14ac:dyDescent="0.2">
      <c r="A1964" s="50">
        <v>43227</v>
      </c>
      <c r="B1964" s="51">
        <v>14016.8</v>
      </c>
      <c r="C1964" s="53">
        <f>(Table26[[#This Row],[M2 Money Stock, Billions of Dollars, Weekly, Seasonally Adjusted]]-B1963)/B1963</f>
        <v>8.2111771972039158E-4</v>
      </c>
      <c r="D1964" s="54">
        <f>((1+Table26[[#This Row],[Weekly change]])^52)-1</f>
        <v>4.3604515294662916E-2</v>
      </c>
      <c r="E1964" s="57">
        <f>(Table26[[#This Row],[M2 Money Stock, Billions of Dollars, Weekly, Seasonally Adjusted]]-B1912)/B1912</f>
        <v>3.8104619213022967E-2</v>
      </c>
    </row>
    <row r="1965" spans="1:5" x14ac:dyDescent="0.2">
      <c r="A1965" s="50">
        <v>43234</v>
      </c>
      <c r="B1965" s="51">
        <v>14039.4</v>
      </c>
      <c r="C1965" s="53">
        <f>(Table26[[#This Row],[M2 Money Stock, Billions of Dollars, Weekly, Seasonally Adjusted]]-B1964)/B1964</f>
        <v>1.6123508932138837E-3</v>
      </c>
      <c r="D1965" s="54">
        <f>((1+Table26[[#This Row],[Weekly change]])^52)-1</f>
        <v>8.7383908473129601E-2</v>
      </c>
      <c r="E1965" s="57">
        <f>(Table26[[#This Row],[M2 Money Stock, Billions of Dollars, Weekly, Seasonally Adjusted]]-B1913)/B1913</f>
        <v>3.8678365861237241E-2</v>
      </c>
    </row>
    <row r="1966" spans="1:5" x14ac:dyDescent="0.2">
      <c r="A1966" s="50">
        <v>43241</v>
      </c>
      <c r="B1966" s="51">
        <v>14061.4</v>
      </c>
      <c r="C1966" s="53">
        <f>(Table26[[#This Row],[M2 Money Stock, Billions of Dollars, Weekly, Seasonally Adjusted]]-B1965)/B1965</f>
        <v>1.5670185335555651E-3</v>
      </c>
      <c r="D1966" s="54">
        <f>((1+Table26[[#This Row],[Weekly change]])^52)-1</f>
        <v>8.4827714754065253E-2</v>
      </c>
      <c r="E1966" s="57">
        <f>(Table26[[#This Row],[M2 Money Stock, Billions of Dollars, Weekly, Seasonally Adjusted]]-B1914)/B1914</f>
        <v>3.7956182827447657E-2</v>
      </c>
    </row>
    <row r="1967" spans="1:5" x14ac:dyDescent="0.2">
      <c r="A1967" s="50">
        <v>43248</v>
      </c>
      <c r="B1967" s="51">
        <v>14085.1</v>
      </c>
      <c r="C1967" s="53">
        <f>(Table26[[#This Row],[M2 Money Stock, Billions of Dollars, Weekly, Seasonally Adjusted]]-B1966)/B1966</f>
        <v>1.6854651741647865E-3</v>
      </c>
      <c r="D1967" s="54">
        <f>((1+Table26[[#This Row],[Weekly change]])^52)-1</f>
        <v>9.1519117050685717E-2</v>
      </c>
      <c r="E1967" s="57">
        <f>(Table26[[#This Row],[M2 Money Stock, Billions of Dollars, Weekly, Seasonally Adjusted]]-B1915)/B1915</f>
        <v>3.9222341092706711E-2</v>
      </c>
    </row>
    <row r="1968" spans="1:5" x14ac:dyDescent="0.2">
      <c r="A1968" s="50">
        <v>43255</v>
      </c>
      <c r="B1968" s="51">
        <v>14093.7</v>
      </c>
      <c r="C1968" s="53">
        <f>(Table26[[#This Row],[M2 Money Stock, Billions of Dollars, Weekly, Seasonally Adjusted]]-B1967)/B1967</f>
        <v>6.1057429482221375E-4</v>
      </c>
      <c r="D1968" s="54">
        <f>((1+Table26[[#This Row],[Weekly change]])^52)-1</f>
        <v>3.2249265724845433E-2</v>
      </c>
      <c r="E1968" s="57">
        <f>(Table26[[#This Row],[M2 Money Stock, Billions of Dollars, Weekly, Seasonally Adjusted]]-B1916)/B1916</f>
        <v>4.04633238837704E-2</v>
      </c>
    </row>
    <row r="1969" spans="1:5" x14ac:dyDescent="0.2">
      <c r="A1969" s="50">
        <v>43262</v>
      </c>
      <c r="B1969" s="51">
        <v>14105.2</v>
      </c>
      <c r="C1969" s="53">
        <f>(Table26[[#This Row],[M2 Money Stock, Billions of Dollars, Weekly, Seasonally Adjusted]]-B1968)/B1968</f>
        <v>8.1596741806622814E-4</v>
      </c>
      <c r="D1969" s="54">
        <f>((1+Table26[[#This Row],[Weekly change]])^52)-1</f>
        <v>4.3325287587684613E-2</v>
      </c>
      <c r="E1969" s="57">
        <f>(Table26[[#This Row],[M2 Money Stock, Billions of Dollars, Weekly, Seasonally Adjusted]]-B1917)/B1917</f>
        <v>4.1051000073806236E-2</v>
      </c>
    </row>
    <row r="1970" spans="1:5" x14ac:dyDescent="0.2">
      <c r="A1970" s="50">
        <v>43269</v>
      </c>
      <c r="B1970" s="51">
        <v>14122.2</v>
      </c>
      <c r="C1970" s="53">
        <f>(Table26[[#This Row],[M2 Money Stock, Billions of Dollars, Weekly, Seasonally Adjusted]]-B1969)/B1969</f>
        <v>1.205229277146017E-3</v>
      </c>
      <c r="D1970" s="54">
        <f>((1+Table26[[#This Row],[Weekly change]])^52)-1</f>
        <v>6.4637308448284525E-2</v>
      </c>
      <c r="E1970" s="57">
        <f>(Table26[[#This Row],[M2 Money Stock, Billions of Dollars, Weekly, Seasonally Adjusted]]-B1918)/B1918</f>
        <v>4.2136489757364656E-2</v>
      </c>
    </row>
    <row r="1971" spans="1:5" x14ac:dyDescent="0.2">
      <c r="A1971" s="50">
        <v>43276</v>
      </c>
      <c r="B1971" s="51">
        <v>14131.8</v>
      </c>
      <c r="C1971" s="53">
        <f>(Table26[[#This Row],[M2 Money Stock, Billions of Dollars, Weekly, Seasonally Adjusted]]-B1970)/B1970</f>
        <v>6.7978077070134568E-4</v>
      </c>
      <c r="D1971" s="54">
        <f>((1+Table26[[#This Row],[Weekly change]])^52)-1</f>
        <v>3.596834760867873E-2</v>
      </c>
      <c r="E1971" s="57">
        <f>(Table26[[#This Row],[M2 Money Stock, Billions of Dollars, Weekly, Seasonally Adjusted]]-B1919)/B1919</f>
        <v>4.0548998240201375E-2</v>
      </c>
    </row>
    <row r="1972" spans="1:5" x14ac:dyDescent="0.2">
      <c r="A1972" s="50">
        <v>43283</v>
      </c>
      <c r="B1972" s="51">
        <v>14142</v>
      </c>
      <c r="C1972" s="53">
        <f>(Table26[[#This Row],[M2 Money Stock, Billions of Dollars, Weekly, Seasonally Adjusted]]-B1971)/B1971</f>
        <v>7.2177641913986391E-4</v>
      </c>
      <c r="D1972" s="54">
        <f>((1+Table26[[#This Row],[Weekly change]])^52)-1</f>
        <v>3.8231552319316631E-2</v>
      </c>
      <c r="E1972" s="57">
        <f>(Table26[[#This Row],[M2 Money Stock, Billions of Dollars, Weekly, Seasonally Adjusted]]-B1920)/B1920</f>
        <v>4.2758864777578669E-2</v>
      </c>
    </row>
    <row r="1973" spans="1:5" x14ac:dyDescent="0.2">
      <c r="A1973" s="50">
        <v>43290</v>
      </c>
      <c r="B1973" s="51">
        <v>14137.8</v>
      </c>
      <c r="C1973" s="53">
        <f>(Table26[[#This Row],[M2 Money Stock, Billions of Dollars, Weekly, Seasonally Adjusted]]-B1972)/B1972</f>
        <v>-2.9698769622406502E-4</v>
      </c>
      <c r="D1973" s="54">
        <f>((1+Table26[[#This Row],[Weekly change]])^52)-1</f>
        <v>-1.5326981565782605E-2</v>
      </c>
      <c r="E1973" s="57">
        <f>(Table26[[#This Row],[M2 Money Stock, Billions of Dollars, Weekly, Seasonally Adjusted]]-B1921)/B1921</f>
        <v>3.8971155612713526E-2</v>
      </c>
    </row>
    <row r="1974" spans="1:5" x14ac:dyDescent="0.2">
      <c r="A1974" s="50">
        <v>43297</v>
      </c>
      <c r="B1974" s="51">
        <v>14158.1</v>
      </c>
      <c r="C1974" s="53">
        <f>(Table26[[#This Row],[M2 Money Stock, Billions of Dollars, Weekly, Seasonally Adjusted]]-B1973)/B1973</f>
        <v>1.4358669665719625E-3</v>
      </c>
      <c r="D1974" s="54">
        <f>((1+Table26[[#This Row],[Weekly change]])^52)-1</f>
        <v>7.7465505424999526E-2</v>
      </c>
      <c r="E1974" s="57">
        <f>(Table26[[#This Row],[M2 Money Stock, Billions of Dollars, Weekly, Seasonally Adjusted]]-B1922)/B1922</f>
        <v>3.9508076358296652E-2</v>
      </c>
    </row>
    <row r="1975" spans="1:5" x14ac:dyDescent="0.2">
      <c r="A1975" s="50">
        <v>43304</v>
      </c>
      <c r="B1975" s="51">
        <v>14160.3</v>
      </c>
      <c r="C1975" s="53">
        <f>(Table26[[#This Row],[M2 Money Stock, Billions of Dollars, Weekly, Seasonally Adjusted]]-B1974)/B1974</f>
        <v>1.5538808173405389E-4</v>
      </c>
      <c r="D1975" s="54">
        <f>((1+Table26[[#This Row],[Weekly change]])^52)-1</f>
        <v>8.112280200162969E-3</v>
      </c>
      <c r="E1975" s="57">
        <f>(Table26[[#This Row],[M2 Money Stock, Billions of Dollars, Weekly, Seasonally Adjusted]]-B1923)/B1923</f>
        <v>3.9021168874050646E-2</v>
      </c>
    </row>
    <row r="1976" spans="1:5" x14ac:dyDescent="0.2">
      <c r="A1976" s="50">
        <v>43311</v>
      </c>
      <c r="B1976" s="51">
        <v>14158.6</v>
      </c>
      <c r="C1976" s="53">
        <f>(Table26[[#This Row],[M2 Money Stock, Billions of Dollars, Weekly, Seasonally Adjusted]]-B1975)/B1975</f>
        <v>-1.2005395365909683E-4</v>
      </c>
      <c r="D1976" s="54">
        <f>((1+Table26[[#This Row],[Weekly change]])^52)-1</f>
        <v>-6.2237322003591E-3</v>
      </c>
      <c r="E1976" s="57">
        <f>(Table26[[#This Row],[M2 Money Stock, Billions of Dollars, Weekly, Seasonally Adjusted]]-B1924)/B1924</f>
        <v>3.7959650460383638E-2</v>
      </c>
    </row>
    <row r="1977" spans="1:5" x14ac:dyDescent="0.2">
      <c r="A1977" s="50">
        <v>43318</v>
      </c>
      <c r="B1977" s="51">
        <v>14155.5</v>
      </c>
      <c r="C1977" s="53">
        <f>(Table26[[#This Row],[M2 Money Stock, Billions of Dollars, Weekly, Seasonally Adjusted]]-B1976)/B1976</f>
        <v>-2.1894820109335413E-4</v>
      </c>
      <c r="D1977" s="54">
        <f>((1+Table26[[#This Row],[Weekly change]])^52)-1</f>
        <v>-1.1321971592409441E-2</v>
      </c>
      <c r="E1977" s="57">
        <f>(Table26[[#This Row],[M2 Money Stock, Billions of Dollars, Weekly, Seasonally Adjusted]]-B1925)/B1925</f>
        <v>3.7268537176941313E-2</v>
      </c>
    </row>
    <row r="1978" spans="1:5" x14ac:dyDescent="0.2">
      <c r="A1978" s="50">
        <v>43325</v>
      </c>
      <c r="B1978" s="51">
        <v>14182.3</v>
      </c>
      <c r="C1978" s="53">
        <f>(Table26[[#This Row],[M2 Money Stock, Billions of Dollars, Weekly, Seasonally Adjusted]]-B1977)/B1977</f>
        <v>1.8932570379004113E-3</v>
      </c>
      <c r="D1978" s="54">
        <f>((1+Table26[[#This Row],[Weekly change]])^52)-1</f>
        <v>0.10335582802884158</v>
      </c>
      <c r="E1978" s="57">
        <f>(Table26[[#This Row],[M2 Money Stock, Billions of Dollars, Weekly, Seasonally Adjusted]]-B1926)/B1926</f>
        <v>3.8920225624496319E-2</v>
      </c>
    </row>
    <row r="1979" spans="1:5" x14ac:dyDescent="0.2">
      <c r="A1979" s="50">
        <v>43332</v>
      </c>
      <c r="B1979" s="51">
        <v>14198.8</v>
      </c>
      <c r="C1979" s="53">
        <f>(Table26[[#This Row],[M2 Money Stock, Billions of Dollars, Weekly, Seasonally Adjusted]]-B1978)/B1978</f>
        <v>1.1634220119444661E-3</v>
      </c>
      <c r="D1979" s="54">
        <f>((1+Table26[[#This Row],[Weekly change]])^52)-1</f>
        <v>6.2328056530345011E-2</v>
      </c>
      <c r="E1979" s="57">
        <f>(Table26[[#This Row],[M2 Money Stock, Billions of Dollars, Weekly, Seasonally Adjusted]]-B1927)/B1927</f>
        <v>3.7370409065337944E-2</v>
      </c>
    </row>
    <row r="1980" spans="1:5" x14ac:dyDescent="0.2">
      <c r="A1980" s="50">
        <v>43339</v>
      </c>
      <c r="B1980" s="51">
        <v>14227.7</v>
      </c>
      <c r="C1980" s="53">
        <f>(Table26[[#This Row],[M2 Money Stock, Billions of Dollars, Weekly, Seasonally Adjusted]]-B1979)/B1979</f>
        <v>2.0353832718258908E-3</v>
      </c>
      <c r="D1980" s="54">
        <f>((1+Table26[[#This Row],[Weekly change]])^52)-1</f>
        <v>0.11152435238235592</v>
      </c>
      <c r="E1980" s="57">
        <f>(Table26[[#This Row],[M2 Money Stock, Billions of Dollars, Weekly, Seasonally Adjusted]]-B1928)/B1928</f>
        <v>3.8366661801196959E-2</v>
      </c>
    </row>
    <row r="1981" spans="1:5" x14ac:dyDescent="0.2">
      <c r="A1981" s="50">
        <v>43346</v>
      </c>
      <c r="B1981" s="51">
        <v>14228.2</v>
      </c>
      <c r="C1981" s="53">
        <f>(Table26[[#This Row],[M2 Money Stock, Billions of Dollars, Weekly, Seasonally Adjusted]]-B1980)/B1980</f>
        <v>3.5142714563843768E-5</v>
      </c>
      <c r="D1981" s="54">
        <f>((1+Table26[[#This Row],[Weekly change]])^52)-1</f>
        <v>1.8290597406855902E-3</v>
      </c>
      <c r="E1981" s="57">
        <f>(Table26[[#This Row],[M2 Money Stock, Billions of Dollars, Weekly, Seasonally Adjusted]]-B1929)/B1929</f>
        <v>3.9161554192229095E-2</v>
      </c>
    </row>
    <row r="1982" spans="1:5" x14ac:dyDescent="0.2">
      <c r="A1982" s="50">
        <v>43353</v>
      </c>
      <c r="B1982" s="51">
        <v>14207.7</v>
      </c>
      <c r="C1982" s="53">
        <f>(Table26[[#This Row],[M2 Money Stock, Billions of Dollars, Weekly, Seasonally Adjusted]]-B1981)/B1981</f>
        <v>-1.4408006634711347E-3</v>
      </c>
      <c r="D1982" s="54">
        <f>((1+Table26[[#This Row],[Weekly change]])^52)-1</f>
        <v>-7.2233932092688025E-2</v>
      </c>
      <c r="E1982" s="57">
        <f>(Table26[[#This Row],[M2 Money Stock, Billions of Dollars, Weekly, Seasonally Adjusted]]-B1930)/B1930</f>
        <v>3.6543905214929923E-2</v>
      </c>
    </row>
    <row r="1983" spans="1:5" x14ac:dyDescent="0.2">
      <c r="A1983" s="50">
        <v>43360</v>
      </c>
      <c r="B1983" s="51">
        <v>14227</v>
      </c>
      <c r="C1983" s="53">
        <f>(Table26[[#This Row],[M2 Money Stock, Billions of Dollars, Weekly, Seasonally Adjusted]]-B1982)/B1982</f>
        <v>1.3584183224588969E-3</v>
      </c>
      <c r="D1983" s="54">
        <f>((1+Table26[[#This Row],[Weekly change]])^52)-1</f>
        <v>7.3140952867006392E-2</v>
      </c>
      <c r="E1983" s="57">
        <f>(Table26[[#This Row],[M2 Money Stock, Billions of Dollars, Weekly, Seasonally Adjusted]]-B1931)/B1931</f>
        <v>3.7861103005544211E-2</v>
      </c>
    </row>
    <row r="1984" spans="1:5" x14ac:dyDescent="0.2">
      <c r="A1984" s="50">
        <v>43367</v>
      </c>
      <c r="B1984" s="51">
        <v>14235.8</v>
      </c>
      <c r="C1984" s="53">
        <f>(Table26[[#This Row],[M2 Money Stock, Billions of Dollars, Weekly, Seasonally Adjusted]]-B1983)/B1983</f>
        <v>6.185422084767887E-4</v>
      </c>
      <c r="D1984" s="54">
        <f>((1+Table26[[#This Row],[Weekly change]])^52)-1</f>
        <v>3.2676784947623494E-2</v>
      </c>
      <c r="E1984" s="57">
        <f>(Table26[[#This Row],[M2 Money Stock, Billions of Dollars, Weekly, Seasonally Adjusted]]-B1932)/B1932</f>
        <v>3.7186530082911951E-2</v>
      </c>
    </row>
    <row r="1985" spans="1:5" x14ac:dyDescent="0.2">
      <c r="A1985" s="50">
        <v>43374</v>
      </c>
      <c r="B1985" s="51">
        <v>14246</v>
      </c>
      <c r="C1985" s="53">
        <f>(Table26[[#This Row],[M2 Money Stock, Billions of Dollars, Weekly, Seasonally Adjusted]]-B1984)/B1984</f>
        <v>7.1650346310012276E-4</v>
      </c>
      <c r="D1985" s="54">
        <f>((1+Table26[[#This Row],[Weekly change]])^52)-1</f>
        <v>3.7947119297722542E-2</v>
      </c>
      <c r="E1985" s="57">
        <f>(Table26[[#This Row],[M2 Money Stock, Billions of Dollars, Weekly, Seasonally Adjusted]]-B1933)/B1933</f>
        <v>3.6208376369270101E-2</v>
      </c>
    </row>
    <row r="1986" spans="1:5" x14ac:dyDescent="0.2">
      <c r="A1986" s="50">
        <v>43381</v>
      </c>
      <c r="B1986" s="51">
        <v>14217.1</v>
      </c>
      <c r="C1986" s="53">
        <f>(Table26[[#This Row],[M2 Money Stock, Billions of Dollars, Weekly, Seasonally Adjusted]]-B1985)/B1985</f>
        <v>-2.0286396181383995E-3</v>
      </c>
      <c r="D1986" s="54">
        <f>((1+Table26[[#This Row],[Weekly change]])^52)-1</f>
        <v>-0.10021227529765708</v>
      </c>
      <c r="E1986" s="57">
        <f>(Table26[[#This Row],[M2 Money Stock, Billions of Dollars, Weekly, Seasonally Adjusted]]-B1934)/B1934</f>
        <v>3.2191785794666618E-2</v>
      </c>
    </row>
    <row r="1987" spans="1:5" x14ac:dyDescent="0.2">
      <c r="A1987" s="50">
        <v>43388</v>
      </c>
      <c r="B1987" s="51">
        <v>14232</v>
      </c>
      <c r="C1987" s="53">
        <f>(Table26[[#This Row],[M2 Money Stock, Billions of Dollars, Weekly, Seasonally Adjusted]]-B1986)/B1986</f>
        <v>1.0480337058893612E-3</v>
      </c>
      <c r="D1987" s="54">
        <f>((1+Table26[[#This Row],[Weekly change]])^52)-1</f>
        <v>5.5979967467284064E-2</v>
      </c>
      <c r="E1987" s="57">
        <f>(Table26[[#This Row],[M2 Money Stock, Billions of Dollars, Weekly, Seasonally Adjusted]]-B1935)/B1935</f>
        <v>3.4129469638069274E-2</v>
      </c>
    </row>
    <row r="1988" spans="1:5" x14ac:dyDescent="0.2">
      <c r="A1988" s="50">
        <v>43395</v>
      </c>
      <c r="B1988" s="51">
        <v>14246.3</v>
      </c>
      <c r="C1988" s="53">
        <f>(Table26[[#This Row],[M2 Money Stock, Billions of Dollars, Weekly, Seasonally Adjusted]]-B1987)/B1987</f>
        <v>1.004777965148909E-3</v>
      </c>
      <c r="D1988" s="54">
        <f>((1+Table26[[#This Row],[Weekly change]])^52)-1</f>
        <v>5.3609852536562919E-2</v>
      </c>
      <c r="E1988" s="57">
        <f>(Table26[[#This Row],[M2 Money Stock, Billions of Dollars, Weekly, Seasonally Adjusted]]-B1936)/B1936</f>
        <v>3.4905345130686195E-2</v>
      </c>
    </row>
    <row r="1989" spans="1:5" x14ac:dyDescent="0.2">
      <c r="A1989" s="50">
        <v>43402</v>
      </c>
      <c r="B1989" s="51">
        <v>14248</v>
      </c>
      <c r="C1989" s="53">
        <f>(Table26[[#This Row],[M2 Money Stock, Billions of Dollars, Weekly, Seasonally Adjusted]]-B1988)/B1988</f>
        <v>1.1932922934381051E-4</v>
      </c>
      <c r="D1989" s="54">
        <f>((1+Table26[[#This Row],[Weekly change]])^52)-1</f>
        <v>6.224039063362774E-3</v>
      </c>
      <c r="E1989" s="57">
        <f>(Table26[[#This Row],[M2 Money Stock, Billions of Dollars, Weekly, Seasonally Adjusted]]-B1937)/B1937</f>
        <v>3.4112353026564089E-2</v>
      </c>
    </row>
    <row r="1990" spans="1:5" x14ac:dyDescent="0.2">
      <c r="A1990" s="50">
        <v>43409</v>
      </c>
      <c r="B1990" s="51">
        <v>14223.6</v>
      </c>
      <c r="C1990" s="53">
        <f>(Table26[[#This Row],[M2 Money Stock, Billions of Dollars, Weekly, Seasonally Adjusted]]-B1989)/B1989</f>
        <v>-1.7125210555867234E-3</v>
      </c>
      <c r="D1990" s="54">
        <f>((1+Table26[[#This Row],[Weekly change]])^52)-1</f>
        <v>-8.5271000508379546E-2</v>
      </c>
      <c r="E1990" s="57">
        <f>(Table26[[#This Row],[M2 Money Stock, Billions of Dollars, Weekly, Seasonally Adjusted]]-B1938)/B1938</f>
        <v>3.2086725586660335E-2</v>
      </c>
    </row>
    <row r="1991" spans="1:5" x14ac:dyDescent="0.2">
      <c r="A1991" s="50">
        <v>43416</v>
      </c>
      <c r="B1991" s="51">
        <v>14220.2</v>
      </c>
      <c r="C1991" s="53">
        <f>(Table26[[#This Row],[M2 Money Stock, Billions of Dollars, Weekly, Seasonally Adjusted]]-B1990)/B1990</f>
        <v>-2.3903934306361514E-4</v>
      </c>
      <c r="D1991" s="54">
        <f>((1+Table26[[#This Row],[Weekly change]])^52)-1</f>
        <v>-1.2354579429066925E-2</v>
      </c>
      <c r="E1991" s="57">
        <f>(Table26[[#This Row],[M2 Money Stock, Billions of Dollars, Weekly, Seasonally Adjusted]]-B1939)/B1939</f>
        <v>3.1390980170300502E-2</v>
      </c>
    </row>
    <row r="1992" spans="1:5" x14ac:dyDescent="0.2">
      <c r="A1992" s="50">
        <v>43423</v>
      </c>
      <c r="B1992" s="51">
        <v>14242.6</v>
      </c>
      <c r="C1992" s="53">
        <f>(Table26[[#This Row],[M2 Money Stock, Billions of Dollars, Weekly, Seasonally Adjusted]]-B1991)/B1991</f>
        <v>1.5752239771592267E-3</v>
      </c>
      <c r="D1992" s="54">
        <f>((1+Table26[[#This Row],[Weekly change]])^52)-1</f>
        <v>8.528996473032846E-2</v>
      </c>
      <c r="E1992" s="57">
        <f>(Table26[[#This Row],[M2 Money Stock, Billions of Dollars, Weekly, Seasonally Adjusted]]-B1940)/B1940</f>
        <v>3.3158028363135202E-2</v>
      </c>
    </row>
    <row r="1993" spans="1:5" x14ac:dyDescent="0.2">
      <c r="A1993" s="50">
        <v>43430</v>
      </c>
      <c r="B1993" s="51">
        <v>14256.8</v>
      </c>
      <c r="C1993" s="53">
        <f>(Table26[[#This Row],[M2 Money Stock, Billions of Dollars, Weekly, Seasonally Adjusted]]-B1992)/B1992</f>
        <v>9.970089730806811E-4</v>
      </c>
      <c r="D1993" s="54">
        <f>((1+Table26[[#This Row],[Weekly change]])^52)-1</f>
        <v>5.3184718627951488E-2</v>
      </c>
      <c r="E1993" s="57">
        <f>(Table26[[#This Row],[M2 Money Stock, Billions of Dollars, Weekly, Seasonally Adjusted]]-B1941)/B1941</f>
        <v>3.2009613018111192E-2</v>
      </c>
    </row>
    <row r="1994" spans="1:5" x14ac:dyDescent="0.2">
      <c r="A1994" s="50">
        <v>43437</v>
      </c>
      <c r="B1994" s="51">
        <v>14301.7</v>
      </c>
      <c r="C1994" s="53">
        <f>(Table26[[#This Row],[M2 Money Stock, Billions of Dollars, Weekly, Seasonally Adjusted]]-B1993)/B1993</f>
        <v>3.1493743336514124E-3</v>
      </c>
      <c r="D1994" s="54">
        <f>((1+Table26[[#This Row],[Weekly change]])^52)-1</f>
        <v>0.17763727634203375</v>
      </c>
      <c r="E1994" s="57">
        <f>(Table26[[#This Row],[M2 Money Stock, Billions of Dollars, Weekly, Seasonally Adjusted]]-B1942)/B1942</f>
        <v>3.5889672755718444E-2</v>
      </c>
    </row>
    <row r="1995" spans="1:5" x14ac:dyDescent="0.2">
      <c r="A1995" s="50">
        <v>43444</v>
      </c>
      <c r="B1995" s="51">
        <v>14319.3</v>
      </c>
      <c r="C1995" s="53">
        <f>(Table26[[#This Row],[M2 Money Stock, Billions of Dollars, Weekly, Seasonally Adjusted]]-B1994)/B1994</f>
        <v>1.2306229329379405E-3</v>
      </c>
      <c r="D1995" s="54">
        <f>((1+Table26[[#This Row],[Weekly change]])^52)-1</f>
        <v>6.6042346401765206E-2</v>
      </c>
      <c r="E1995" s="57">
        <f>(Table26[[#This Row],[M2 Money Stock, Billions of Dollars, Weekly, Seasonally Adjusted]]-B1943)/B1943</f>
        <v>3.4489484825060118E-2</v>
      </c>
    </row>
    <row r="1996" spans="1:5" x14ac:dyDescent="0.2">
      <c r="A1996" s="50">
        <v>43451</v>
      </c>
      <c r="B1996" s="51">
        <v>14313.1</v>
      </c>
      <c r="C1996" s="53">
        <f>(Table26[[#This Row],[M2 Money Stock, Billions of Dollars, Weekly, Seasonally Adjusted]]-B1995)/B1995</f>
        <v>-4.3298205917879429E-4</v>
      </c>
      <c r="D1996" s="54">
        <f>((1+Table26[[#This Row],[Weekly change]])^52)-1</f>
        <v>-2.2268261704519121E-2</v>
      </c>
      <c r="E1996" s="57">
        <f>(Table26[[#This Row],[M2 Money Stock, Billions of Dollars, Weekly, Seasonally Adjusted]]-B1944)/B1944</f>
        <v>3.3257774826022983E-2</v>
      </c>
    </row>
    <row r="1997" spans="1:5" x14ac:dyDescent="0.2">
      <c r="A1997" s="50">
        <v>43458</v>
      </c>
      <c r="B1997" s="51">
        <v>14383.2</v>
      </c>
      <c r="C1997" s="53">
        <f>(Table26[[#This Row],[M2 Money Stock, Billions of Dollars, Weekly, Seasonally Adjusted]]-B1996)/B1996</f>
        <v>4.8976112791778411E-3</v>
      </c>
      <c r="D1997" s="54">
        <f>((1+Table26[[#This Row],[Weekly change]])^52)-1</f>
        <v>0.28924163264509484</v>
      </c>
      <c r="E1997" s="57">
        <f>(Table26[[#This Row],[M2 Money Stock, Billions of Dollars, Weekly, Seasonally Adjusted]]-B1945)/B1945</f>
        <v>3.9984960448872751E-2</v>
      </c>
    </row>
    <row r="1998" spans="1:5" x14ac:dyDescent="0.2">
      <c r="A1998" s="50">
        <v>43465</v>
      </c>
      <c r="B1998" s="51">
        <v>14412.9</v>
      </c>
      <c r="C1998" s="53">
        <f>(Table26[[#This Row],[M2 Money Stock, Billions of Dollars, Weekly, Seasonally Adjusted]]-B1997)/B1997</f>
        <v>2.06490906057059E-3</v>
      </c>
      <c r="D1998" s="54">
        <f>((1+Table26[[#This Row],[Weekly change]])^52)-1</f>
        <v>0.11322873514603127</v>
      </c>
      <c r="E1998" s="57">
        <f>(Table26[[#This Row],[M2 Money Stock, Billions of Dollars, Weekly, Seasonally Adjusted]]-B1946)/B1946</f>
        <v>4.1793461368876732E-2</v>
      </c>
    </row>
    <row r="1999" spans="1:5" x14ac:dyDescent="0.2">
      <c r="A1999" s="50">
        <v>43472</v>
      </c>
      <c r="B1999" s="51">
        <v>14407.7</v>
      </c>
      <c r="C1999" s="53">
        <f>(Table26[[#This Row],[M2 Money Stock, Billions of Dollars, Weekly, Seasonally Adjusted]]-B1998)/B1998</f>
        <v>-3.6078790527922268E-4</v>
      </c>
      <c r="D1999" s="54">
        <f>((1+Table26[[#This Row],[Weekly change]])^52)-1</f>
        <v>-1.8589401733672961E-2</v>
      </c>
      <c r="E1999" s="57">
        <f>(Table26[[#This Row],[M2 Money Stock, Billions of Dollars, Weekly, Seasonally Adjusted]]-B1947)/B1947</f>
        <v>4.0710483166114107E-2</v>
      </c>
    </row>
    <row r="2000" spans="1:5" x14ac:dyDescent="0.2">
      <c r="A2000" s="50">
        <v>43479</v>
      </c>
      <c r="B2000" s="51">
        <v>14419.1</v>
      </c>
      <c r="C2000" s="53">
        <f>(Table26[[#This Row],[M2 Money Stock, Billions of Dollars, Weekly, Seasonally Adjusted]]-B1999)/B1999</f>
        <v>7.9124357114595915E-4</v>
      </c>
      <c r="D2000" s="54">
        <f>((1+Table26[[#This Row],[Weekly change]])^52)-1</f>
        <v>4.1985884354647229E-2</v>
      </c>
      <c r="E2000" s="57">
        <f>(Table26[[#This Row],[M2 Money Stock, Billions of Dollars, Weekly, Seasonally Adjusted]]-B1948)/B1948</f>
        <v>4.1000057756728631E-2</v>
      </c>
    </row>
    <row r="2001" spans="1:5" x14ac:dyDescent="0.2">
      <c r="A2001" s="50">
        <v>43486</v>
      </c>
      <c r="B2001" s="51">
        <v>14429.8</v>
      </c>
      <c r="C2001" s="53">
        <f>(Table26[[#This Row],[M2 Money Stock, Billions of Dollars, Weekly, Seasonally Adjusted]]-B2000)/B2000</f>
        <v>7.4207128045432162E-4</v>
      </c>
      <c r="D2001" s="54">
        <f>((1+Table26[[#This Row],[Weekly change]])^52)-1</f>
        <v>3.9327008261776486E-2</v>
      </c>
      <c r="E2001" s="57">
        <f>(Table26[[#This Row],[M2 Money Stock, Billions of Dollars, Weekly, Seasonally Adjusted]]-B1949)/B1949</f>
        <v>4.0743171605997858E-2</v>
      </c>
    </row>
    <row r="2002" spans="1:5" x14ac:dyDescent="0.2">
      <c r="A2002" s="50">
        <v>43493</v>
      </c>
      <c r="B2002" s="51">
        <v>14472.1</v>
      </c>
      <c r="C2002" s="53">
        <f>(Table26[[#This Row],[M2 Money Stock, Billions of Dollars, Weekly, Seasonally Adjusted]]-B2001)/B2001</f>
        <v>2.9314335611027938E-3</v>
      </c>
      <c r="D2002" s="54">
        <f>((1+Table26[[#This Row],[Weekly change]])^52)-1</f>
        <v>0.16440654638955432</v>
      </c>
      <c r="E2002" s="57">
        <f>(Table26[[#This Row],[M2 Money Stock, Billions of Dollars, Weekly, Seasonally Adjusted]]-B1950)/B1950</f>
        <v>4.3425283709931012E-2</v>
      </c>
    </row>
    <row r="2003" spans="1:5" x14ac:dyDescent="0.2">
      <c r="A2003" s="50">
        <v>43500</v>
      </c>
      <c r="B2003" s="51">
        <v>14457.6</v>
      </c>
      <c r="C2003" s="53">
        <f>(Table26[[#This Row],[M2 Money Stock, Billions of Dollars, Weekly, Seasonally Adjusted]]-B2002)/B2002</f>
        <v>-1.0019278473752946E-3</v>
      </c>
      <c r="D2003" s="54">
        <f>((1+Table26[[#This Row],[Weekly change]])^52)-1</f>
        <v>-5.0791088331856415E-2</v>
      </c>
      <c r="E2003" s="57">
        <f>(Table26[[#This Row],[M2 Money Stock, Billions of Dollars, Weekly, Seasonally Adjusted]]-B1951)/B1951</f>
        <v>4.1501278680257922E-2</v>
      </c>
    </row>
    <row r="2004" spans="1:5" x14ac:dyDescent="0.2">
      <c r="A2004" s="50">
        <v>43507</v>
      </c>
      <c r="B2004" s="51">
        <v>14462.4</v>
      </c>
      <c r="C2004" s="53">
        <f>(Table26[[#This Row],[M2 Money Stock, Billions of Dollars, Weekly, Seasonally Adjusted]]-B2003)/B2003</f>
        <v>3.3200531208494303E-4</v>
      </c>
      <c r="D2004" s="54">
        <f>((1+Table26[[#This Row],[Weekly change]])^52)-1</f>
        <v>1.741125000376309E-2</v>
      </c>
      <c r="E2004" s="57">
        <f>(Table26[[#This Row],[M2 Money Stock, Billions of Dollars, Weekly, Seasonally Adjusted]]-B1952)/B1952</f>
        <v>4.2327622863979307E-2</v>
      </c>
    </row>
    <row r="2005" spans="1:5" x14ac:dyDescent="0.2">
      <c r="A2005" s="50">
        <v>43514</v>
      </c>
      <c r="B2005" s="51">
        <v>14453</v>
      </c>
      <c r="C2005" s="53">
        <f>(Table26[[#This Row],[M2 Money Stock, Billions of Dollars, Weekly, Seasonally Adjusted]]-B2004)/B2004</f>
        <v>-6.499612789025083E-4</v>
      </c>
      <c r="D2005" s="54">
        <f>((1+Table26[[#This Row],[Weekly change]])^52)-1</f>
        <v>-3.324383836163558E-2</v>
      </c>
      <c r="E2005" s="57">
        <f>(Table26[[#This Row],[M2 Money Stock, Billions of Dollars, Weekly, Seasonally Adjusted]]-B1953)/B1953</f>
        <v>4.0914950773862278E-2</v>
      </c>
    </row>
    <row r="2006" spans="1:5" x14ac:dyDescent="0.2">
      <c r="A2006" s="50">
        <v>43521</v>
      </c>
      <c r="B2006" s="51">
        <v>14471.3</v>
      </c>
      <c r="C2006" s="53">
        <f>(Table26[[#This Row],[M2 Money Stock, Billions of Dollars, Weekly, Seasonally Adjusted]]-B2005)/B2005</f>
        <v>1.2661731128484931E-3</v>
      </c>
      <c r="D2006" s="54">
        <f>((1+Table26[[#This Row],[Weekly change]])^52)-1</f>
        <v>6.801240321408919E-2</v>
      </c>
      <c r="E2006" s="57">
        <f>(Table26[[#This Row],[M2 Money Stock, Billions of Dollars, Weekly, Seasonally Adjusted]]-B1954)/B1954</f>
        <v>4.0023285229690078E-2</v>
      </c>
    </row>
    <row r="2007" spans="1:5" x14ac:dyDescent="0.2">
      <c r="A2007" s="50">
        <v>43528</v>
      </c>
      <c r="B2007" s="51">
        <v>14487.5</v>
      </c>
      <c r="C2007" s="53">
        <f>(Table26[[#This Row],[M2 Money Stock, Billions of Dollars, Weekly, Seasonally Adjusted]]-B2006)/B2006</f>
        <v>1.1194571323931317E-3</v>
      </c>
      <c r="D2007" s="54">
        <f>((1+Table26[[#This Row],[Weekly change]])^52)-1</f>
        <v>5.9904926785546042E-2</v>
      </c>
      <c r="E2007" s="57">
        <f>(Table26[[#This Row],[M2 Money Stock, Billions of Dollars, Weekly, Seasonally Adjusted]]-B1955)/B1955</f>
        <v>3.9603605155142198E-2</v>
      </c>
    </row>
    <row r="2008" spans="1:5" x14ac:dyDescent="0.2">
      <c r="A2008" s="50">
        <v>43535</v>
      </c>
      <c r="B2008" s="51">
        <v>14499.7</v>
      </c>
      <c r="C2008" s="53">
        <f>(Table26[[#This Row],[M2 Money Stock, Billions of Dollars, Weekly, Seasonally Adjusted]]-B2007)/B2007</f>
        <v>8.4210526315794498E-4</v>
      </c>
      <c r="D2008" s="54">
        <f>((1+Table26[[#This Row],[Weekly change]])^52)-1</f>
        <v>4.4743129756657174E-2</v>
      </c>
      <c r="E2008" s="57">
        <f>(Table26[[#This Row],[M2 Money Stock, Billions of Dollars, Weekly, Seasonally Adjusted]]-B1956)/B1956</f>
        <v>4.0240192842999505E-2</v>
      </c>
    </row>
    <row r="2009" spans="1:5" x14ac:dyDescent="0.2">
      <c r="A2009" s="50">
        <v>43542</v>
      </c>
      <c r="B2009" s="51">
        <v>14496.4</v>
      </c>
      <c r="C2009" s="53">
        <f>(Table26[[#This Row],[M2 Money Stock, Billions of Dollars, Weekly, Seasonally Adjusted]]-B2008)/B2008</f>
        <v>-2.2759091567419265E-4</v>
      </c>
      <c r="D2009" s="54">
        <f>((1+Table26[[#This Row],[Weekly change]])^52)-1</f>
        <v>-1.1766303769256026E-2</v>
      </c>
      <c r="E2009" s="57">
        <f>(Table26[[#This Row],[M2 Money Stock, Billions of Dollars, Weekly, Seasonally Adjusted]]-B1957)/B1957</f>
        <v>3.9734909341289877E-2</v>
      </c>
    </row>
    <row r="2010" spans="1:5" x14ac:dyDescent="0.2">
      <c r="A2010" s="50">
        <v>43549</v>
      </c>
      <c r="B2010" s="51">
        <v>14520.7</v>
      </c>
      <c r="C2010" s="53">
        <f>(Table26[[#This Row],[M2 Money Stock, Billions of Dollars, Weekly, Seasonally Adjusted]]-B2009)/B2009</f>
        <v>1.6762782483927797E-3</v>
      </c>
      <c r="D2010" s="54">
        <f>((1+Table26[[#This Row],[Weekly change]])^52)-1</f>
        <v>9.0998675503179527E-2</v>
      </c>
      <c r="E2010" s="57">
        <f>(Table26[[#This Row],[M2 Money Stock, Billions of Dollars, Weekly, Seasonally Adjusted]]-B1958)/B1958</f>
        <v>3.9397865471750892E-2</v>
      </c>
    </row>
    <row r="2011" spans="1:5" x14ac:dyDescent="0.2">
      <c r="A2011" s="50">
        <v>43556</v>
      </c>
      <c r="B2011" s="51">
        <v>14549.7</v>
      </c>
      <c r="C2011" s="53">
        <f>(Table26[[#This Row],[M2 Money Stock, Billions of Dollars, Weekly, Seasonally Adjusted]]-B2010)/B2010</f>
        <v>1.9971488977804101E-3</v>
      </c>
      <c r="D2011" s="54">
        <f>((1+Table26[[#This Row],[Weekly change]])^52)-1</f>
        <v>0.1093210670199305</v>
      </c>
      <c r="E2011" s="57">
        <f>(Table26[[#This Row],[M2 Money Stock, Billions of Dollars, Weekly, Seasonally Adjusted]]-B1959)/B1959</f>
        <v>4.0840415486307943E-2</v>
      </c>
    </row>
    <row r="2012" spans="1:5" x14ac:dyDescent="0.2">
      <c r="A2012" s="50">
        <v>43563</v>
      </c>
      <c r="B2012" s="51">
        <v>14542.4</v>
      </c>
      <c r="C2012" s="53">
        <f>(Table26[[#This Row],[M2 Money Stock, Billions of Dollars, Weekly, Seasonally Adjusted]]-B2011)/B2011</f>
        <v>-5.0172855797721543E-4</v>
      </c>
      <c r="D2012" s="54">
        <f>((1+Table26[[#This Row],[Weekly change]])^52)-1</f>
        <v>-2.5758863161774781E-2</v>
      </c>
      <c r="E2012" s="57">
        <f>(Table26[[#This Row],[M2 Money Stock, Billions of Dollars, Weekly, Seasonally Adjusted]]-B1960)/B1960</f>
        <v>4.0817056849006182E-2</v>
      </c>
    </row>
    <row r="2013" spans="1:5" x14ac:dyDescent="0.2">
      <c r="A2013" s="55">
        <v>43570</v>
      </c>
      <c r="B2013" s="56">
        <v>14553.8</v>
      </c>
      <c r="C2013" s="53">
        <f>(Table26[[#This Row],[M2 Money Stock, Billions of Dollars, Weekly, Seasonally Adjusted]]-B2012)/B2012</f>
        <v>7.8391462207060979E-4</v>
      </c>
      <c r="D2013" s="54">
        <f>((1+Table26[[#This Row],[Weekly change]])^52)-1</f>
        <v>4.1589166005108869E-2</v>
      </c>
      <c r="E2013" s="57">
        <f>(Table26[[#This Row],[M2 Money Stock, Billions of Dollars, Weekly, Seasonally Adjusted]]-B1961)/B1961</f>
        <v>4.1178406375641963E-2</v>
      </c>
    </row>
    <row r="2014" spans="1:5" x14ac:dyDescent="0.2">
      <c r="A2014" s="55">
        <v>43577</v>
      </c>
      <c r="B2014" s="56">
        <v>14544.4</v>
      </c>
      <c r="C2014" s="53">
        <f>(Table26[[#This Row],[M2 Money Stock, Billions of Dollars, Weekly, Seasonally Adjusted]]-B2013)/B2013</f>
        <v>-6.4587942667891803E-4</v>
      </c>
      <c r="D2014" s="54">
        <f>((1+Table26[[#This Row],[Weekly change]])^52)-1</f>
        <v>-3.3038483413836417E-2</v>
      </c>
      <c r="E2014" s="57">
        <f>(Table26[[#This Row],[M2 Money Stock, Billions of Dollars, Weekly, Seasonally Adjusted]]-B1962)/B1962</f>
        <v>3.8581558257938693E-2</v>
      </c>
    </row>
    <row r="2015" spans="1:5" x14ac:dyDescent="0.2">
      <c r="A2015" s="55">
        <v>43584</v>
      </c>
      <c r="B2015" s="56">
        <v>14588.9</v>
      </c>
      <c r="C2015" s="53">
        <f>(Table26[[#This Row],[M2 Money Stock, Billions of Dollars, Weekly, Seasonally Adjusted]]-B2014)/B2014</f>
        <v>3.0595968207695057E-3</v>
      </c>
      <c r="D2015" s="54">
        <f>((1+Table26[[#This Row],[Weekly change]])^52)-1</f>
        <v>0.17216930690998811</v>
      </c>
      <c r="E2015" s="57">
        <f>(Table26[[#This Row],[M2 Money Stock, Billions of Dollars, Weekly, Seasonally Adjusted]]-B1963)/B1963</f>
        <v>4.1669939237288768E-2</v>
      </c>
    </row>
    <row r="2016" spans="1:5" x14ac:dyDescent="0.2">
      <c r="A2016" s="55">
        <v>43591</v>
      </c>
      <c r="B2016" s="56">
        <v>14604.9</v>
      </c>
      <c r="C2016" s="53">
        <f>(Table26[[#This Row],[M2 Money Stock, Billions of Dollars, Weekly, Seasonally Adjusted]]-B2015)/B2015</f>
        <v>1.096724221839892E-3</v>
      </c>
      <c r="D2016" s="54">
        <f>((1+Table26[[#This Row],[Weekly change]])^52)-1</f>
        <v>5.8654126581019428E-2</v>
      </c>
      <c r="E2016" s="57">
        <f>(Table26[[#This Row],[M2 Money Stock, Billions of Dollars, Weekly, Seasonally Adjusted]]-B1964)/B1964</f>
        <v>4.1956794703498689E-2</v>
      </c>
    </row>
    <row r="2017" spans="1:5" x14ac:dyDescent="0.2">
      <c r="A2017" s="55">
        <v>43598</v>
      </c>
      <c r="B2017" s="56">
        <v>14613</v>
      </c>
      <c r="C2017" s="53">
        <f>(Table26[[#This Row],[M2 Money Stock, Billions of Dollars, Weekly, Seasonally Adjusted]]-B2016)/B2016</f>
        <v>5.5460838485716193E-4</v>
      </c>
      <c r="D2017" s="54">
        <f>((1+Table26[[#This Row],[Weekly change]])^52)-1</f>
        <v>2.9251296802731863E-2</v>
      </c>
      <c r="E2017" s="57">
        <f>(Table26[[#This Row],[M2 Money Stock, Billions of Dollars, Weekly, Seasonally Adjusted]]-B1965)/B1965</f>
        <v>4.0856446856703303E-2</v>
      </c>
    </row>
    <row r="2018" spans="1:5" x14ac:dyDescent="0.2">
      <c r="A2018" s="55">
        <v>43605</v>
      </c>
      <c r="B2018" s="56">
        <v>14654</v>
      </c>
      <c r="C2018" s="53">
        <f>(Table26[[#This Row],[M2 Money Stock, Billions of Dollars, Weekly, Seasonally Adjusted]]-B2017)/B2017</f>
        <v>2.805720933415452E-3</v>
      </c>
      <c r="D2018" s="54">
        <f>((1+Table26[[#This Row],[Weekly change]])^52)-1</f>
        <v>0.15684121096013426</v>
      </c>
      <c r="E2018" s="57">
        <f>(Table26[[#This Row],[M2 Money Stock, Billions of Dollars, Weekly, Seasonally Adjusted]]-B1966)/B1966</f>
        <v>4.214374102151993E-2</v>
      </c>
    </row>
    <row r="2019" spans="1:5" x14ac:dyDescent="0.2">
      <c r="A2019" s="55">
        <v>43612</v>
      </c>
      <c r="B2019" s="56">
        <v>14696.7</v>
      </c>
      <c r="C2019" s="53">
        <f>(Table26[[#This Row],[M2 Money Stock, Billions of Dollars, Weekly, Seasonally Adjusted]]-B2018)/B2018</f>
        <v>2.913880169237118E-3</v>
      </c>
      <c r="D2019" s="54">
        <f>((1+Table26[[#This Row],[Weekly change]])^52)-1</f>
        <v>0.16334728297288592</v>
      </c>
      <c r="E2019" s="57">
        <f>(Table26[[#This Row],[M2 Money Stock, Billions of Dollars, Weekly, Seasonally Adjusted]]-B1967)/B1967</f>
        <v>4.3421771943401209E-2</v>
      </c>
    </row>
    <row r="2020" spans="1:5" x14ac:dyDescent="0.2">
      <c r="A2020" s="55">
        <v>43619</v>
      </c>
      <c r="B2020" s="56">
        <v>14727</v>
      </c>
      <c r="C2020" s="53">
        <f>(Table26[[#This Row],[M2 Money Stock, Billions of Dollars, Weekly, Seasonally Adjusted]]-B2019)/B2019</f>
        <v>2.0616873175610356E-3</v>
      </c>
      <c r="D2020" s="54">
        <f>((1+Table26[[#This Row],[Weekly change]])^52)-1</f>
        <v>0.1130426347971607</v>
      </c>
      <c r="E2020" s="57">
        <f>(Table26[[#This Row],[M2 Money Stock, Billions of Dollars, Weekly, Seasonally Adjusted]]-B1968)/B1968</f>
        <v>4.4934970944464497E-2</v>
      </c>
    </row>
    <row r="2021" spans="1:5" x14ac:dyDescent="0.2">
      <c r="A2021" s="55">
        <v>43626</v>
      </c>
      <c r="B2021" s="56">
        <v>14752.3</v>
      </c>
      <c r="C2021" s="53">
        <f>(Table26[[#This Row],[M2 Money Stock, Billions of Dollars, Weekly, Seasonally Adjusted]]-B2020)/B2020</f>
        <v>1.7179330481428175E-3</v>
      </c>
      <c r="D2021" s="54">
        <f>((1+Table26[[#This Row],[Weekly change]])^52)-1</f>
        <v>9.336038153372983E-2</v>
      </c>
      <c r="E2021" s="57">
        <f>(Table26[[#This Row],[M2 Money Stock, Billions of Dollars, Weekly, Seasonally Adjusted]]-B1969)/B1969</f>
        <v>4.5876697955363872E-2</v>
      </c>
    </row>
    <row r="2022" spans="1:5" x14ac:dyDescent="0.2">
      <c r="A2022" s="55">
        <v>43633</v>
      </c>
      <c r="B2022" s="56">
        <v>14778.9</v>
      </c>
      <c r="C2022" s="53">
        <f>(Table26[[#This Row],[M2 Money Stock, Billions of Dollars, Weekly, Seasonally Adjusted]]-B2021)/B2021</f>
        <v>1.8031086678009778E-3</v>
      </c>
      <c r="D2022" s="54">
        <f>((1+Table26[[#This Row],[Weekly change]])^52)-1</f>
        <v>9.8205211098629119E-2</v>
      </c>
      <c r="E2022" s="57">
        <f>(Table26[[#This Row],[M2 Money Stock, Billions of Dollars, Weekly, Seasonally Adjusted]]-B1970)/B1970</f>
        <v>4.6501253345795898E-2</v>
      </c>
    </row>
    <row r="2023" spans="1:5" x14ac:dyDescent="0.2">
      <c r="A2023" s="55">
        <v>43640</v>
      </c>
      <c r="B2023" s="56">
        <v>14798.1</v>
      </c>
      <c r="C2023" s="53">
        <f>(Table26[[#This Row],[M2 Money Stock, Billions of Dollars, Weekly, Seasonally Adjusted]]-B2022)/B2022</f>
        <v>1.2991494630859351E-3</v>
      </c>
      <c r="D2023" s="54">
        <f>((1+Table26[[#This Row],[Weekly change]])^52)-1</f>
        <v>6.9843020103945053E-2</v>
      </c>
      <c r="E2023" s="57">
        <f>(Table26[[#This Row],[M2 Money Stock, Billions of Dollars, Weekly, Seasonally Adjusted]]-B1971)/B1971</f>
        <v>4.7148983144397819E-2</v>
      </c>
    </row>
    <row r="2024" spans="1:5" x14ac:dyDescent="0.2">
      <c r="A2024" s="55">
        <v>43647</v>
      </c>
      <c r="B2024" s="56">
        <v>14831.9</v>
      </c>
      <c r="C2024" s="53">
        <f>(Table26[[#This Row],[M2 Money Stock, Billions of Dollars, Weekly, Seasonally Adjusted]]-B2023)/B2023</f>
        <v>2.284077009886355E-3</v>
      </c>
      <c r="D2024" s="54">
        <f>((1+Table26[[#This Row],[Weekly change]])^52)-1</f>
        <v>0.12596063436092364</v>
      </c>
      <c r="E2024" s="57">
        <f>(Table26[[#This Row],[M2 Money Stock, Billions of Dollars, Weekly, Seasonally Adjusted]]-B1972)/B1972</f>
        <v>4.8783764672606394E-2</v>
      </c>
    </row>
    <row r="2025" spans="1:5" x14ac:dyDescent="0.2">
      <c r="A2025" s="55">
        <v>43654</v>
      </c>
      <c r="B2025" s="56">
        <v>14833.8</v>
      </c>
      <c r="C2025" s="53">
        <f>(Table26[[#This Row],[M2 Money Stock, Billions of Dollars, Weekly, Seasonally Adjusted]]-B2024)/B2024</f>
        <v>1.2810226606163987E-4</v>
      </c>
      <c r="D2025" s="54">
        <f>((1+Table26[[#This Row],[Weekly change]])^52)-1</f>
        <v>6.6831242791345336E-3</v>
      </c>
      <c r="E2025" s="57">
        <f>(Table26[[#This Row],[M2 Money Stock, Billions of Dollars, Weekly, Seasonally Adjusted]]-B1973)/B1973</f>
        <v>4.922972456817893E-2</v>
      </c>
    </row>
    <row r="2026" spans="1:5" x14ac:dyDescent="0.2">
      <c r="A2026" s="55">
        <v>43661</v>
      </c>
      <c r="B2026" s="56">
        <v>14829</v>
      </c>
      <c r="C2026" s="53">
        <f>(Table26[[#This Row],[M2 Money Stock, Billions of Dollars, Weekly, Seasonally Adjusted]]-B2025)/B2025</f>
        <v>-3.2358532540544384E-4</v>
      </c>
      <c r="D2026" s="54">
        <f>((1+Table26[[#This Row],[Weekly change]])^52)-1</f>
        <v>-1.6688340654193223E-2</v>
      </c>
      <c r="E2026" s="57">
        <f>(Table26[[#This Row],[M2 Money Stock, Billions of Dollars, Weekly, Seasonally Adjusted]]-B1974)/B1974</f>
        <v>4.7386301834285646E-2</v>
      </c>
    </row>
    <row r="2027" spans="1:5" x14ac:dyDescent="0.2">
      <c r="A2027" s="55">
        <v>43668</v>
      </c>
      <c r="B2027" s="56">
        <v>14869.4</v>
      </c>
      <c r="C2027" s="53">
        <f>(Table26[[#This Row],[M2 Money Stock, Billions of Dollars, Weekly, Seasonally Adjusted]]-B2026)/B2026</f>
        <v>2.7243913952390343E-3</v>
      </c>
      <c r="D2027" s="54">
        <f>((1+Table26[[#This Row],[Weekly change]])^52)-1</f>
        <v>0.15197253670017941</v>
      </c>
      <c r="E2027" s="57">
        <f>(Table26[[#This Row],[M2 Money Stock, Billions of Dollars, Weekly, Seasonally Adjusted]]-B1975)/B1975</f>
        <v>5.0076622670423676E-2</v>
      </c>
    </row>
    <row r="2028" spans="1:5" x14ac:dyDescent="0.2">
      <c r="A2028" s="55">
        <v>43675</v>
      </c>
      <c r="B2028" s="56">
        <v>14903.6</v>
      </c>
      <c r="C2028" s="53">
        <f>(Table26[[#This Row],[M2 Money Stock, Billions of Dollars, Weekly, Seasonally Adjusted]]-B2027)/B2027</f>
        <v>2.3000255558395582E-3</v>
      </c>
      <c r="D2028" s="54">
        <f>((1+Table26[[#This Row],[Weekly change]])^52)-1</f>
        <v>0.12689267112776093</v>
      </c>
      <c r="E2028" s="57">
        <f>(Table26[[#This Row],[M2 Money Stock, Billions of Dollars, Weekly, Seasonally Adjusted]]-B1976)/B1976</f>
        <v>5.2618196714364414E-2</v>
      </c>
    </row>
    <row r="2029" spans="1:5" x14ac:dyDescent="0.2">
      <c r="A2029" s="55">
        <v>43682</v>
      </c>
      <c r="B2029" s="56">
        <v>14920.7</v>
      </c>
      <c r="C2029" s="53">
        <f>(Table26[[#This Row],[M2 Money Stock, Billions of Dollars, Weekly, Seasonally Adjusted]]-B2028)/B2028</f>
        <v>1.1473737888832473E-3</v>
      </c>
      <c r="D2029" s="54">
        <f>((1+Table26[[#This Row],[Weekly change]])^52)-1</f>
        <v>6.1442927744918441E-2</v>
      </c>
      <c r="E2029" s="57">
        <f>(Table26[[#This Row],[M2 Money Stock, Billions of Dollars, Weekly, Seasonally Adjusted]]-B1977)/B1977</f>
        <v>5.4056727067217737E-2</v>
      </c>
    </row>
    <row r="2030" spans="1:5" x14ac:dyDescent="0.2">
      <c r="A2030" s="55">
        <v>43689</v>
      </c>
      <c r="B2030" s="56">
        <v>14921.5</v>
      </c>
      <c r="C2030" s="53">
        <f>(Table26[[#This Row],[M2 Money Stock, Billions of Dollars, Weekly, Seasonally Adjusted]]-B2029)/B2029</f>
        <v>5.3616787416091229E-5</v>
      </c>
      <c r="D2030" s="54">
        <f>((1+Table26[[#This Row],[Weekly change]])^52)-1</f>
        <v>2.7918882858886107E-3</v>
      </c>
      <c r="E2030" s="57">
        <f>(Table26[[#This Row],[M2 Money Stock, Billions of Dollars, Weekly, Seasonally Adjusted]]-B1978)/B1978</f>
        <v>5.2121306135112129E-2</v>
      </c>
    </row>
    <row r="2031" spans="1:5" x14ac:dyDescent="0.2">
      <c r="A2031" s="55">
        <v>43696</v>
      </c>
      <c r="B2031" s="56">
        <v>14921.4</v>
      </c>
      <c r="C2031" s="53">
        <f>(Table26[[#This Row],[M2 Money Stock, Billions of Dollars, Weekly, Seasonally Adjusted]]-B2030)/B2030</f>
        <v>-6.7017391013211669E-6</v>
      </c>
      <c r="D2031" s="54">
        <f>((1+Table26[[#This Row],[Weekly change]])^52)-1</f>
        <v>-3.4843088487523932E-4</v>
      </c>
      <c r="E2031" s="57">
        <f>(Table26[[#This Row],[M2 Money Stock, Billions of Dollars, Weekly, Seasonally Adjusted]]-B1979)/B1979</f>
        <v>5.0891624644336171E-2</v>
      </c>
    </row>
    <row r="2032" spans="1:5" x14ac:dyDescent="0.2">
      <c r="A2032" s="55">
        <v>43703</v>
      </c>
      <c r="B2032" s="56">
        <v>14938.2</v>
      </c>
      <c r="C2032" s="53">
        <f>(Table26[[#This Row],[M2 Money Stock, Billions of Dollars, Weekly, Seasonally Adjusted]]-B2031)/B2031</f>
        <v>1.125899714504074E-3</v>
      </c>
      <c r="D2032" s="54">
        <f>((1+Table26[[#This Row],[Weekly change]])^52)-1</f>
        <v>6.0259671215607158E-2</v>
      </c>
      <c r="E2032" s="57">
        <f>(Table26[[#This Row],[M2 Money Stock, Billions of Dollars, Weekly, Seasonally Adjusted]]-B1980)/B1980</f>
        <v>4.9937797395221993E-2</v>
      </c>
    </row>
    <row r="2033" spans="1:5" x14ac:dyDescent="0.2">
      <c r="A2033" s="55">
        <v>43710</v>
      </c>
      <c r="B2033" s="56">
        <v>14972.7</v>
      </c>
      <c r="C2033" s="53">
        <f>(Table26[[#This Row],[M2 Money Stock, Billions of Dollars, Weekly, Seasonally Adjusted]]-B2032)/B2032</f>
        <v>2.3095152026348553E-3</v>
      </c>
      <c r="D2033" s="54">
        <f>((1+Table26[[#This Row],[Weekly change]])^52)-1</f>
        <v>0.12744760733397231</v>
      </c>
      <c r="E2033" s="57">
        <f>(Table26[[#This Row],[M2 Money Stock, Billions of Dollars, Weekly, Seasonally Adjusted]]-B1981)/B1981</f>
        <v>5.2325663119719992E-2</v>
      </c>
    </row>
    <row r="2034" spans="1:5" x14ac:dyDescent="0.2">
      <c r="A2034" s="55">
        <v>43717</v>
      </c>
      <c r="B2034" s="56">
        <v>14981.1</v>
      </c>
      <c r="C2034" s="53">
        <f>(Table26[[#This Row],[M2 Money Stock, Billions of Dollars, Weekly, Seasonally Adjusted]]-B2033)/B2033</f>
        <v>5.6102105832612928E-4</v>
      </c>
      <c r="D2034" s="54">
        <f>((1+Table26[[#This Row],[Weekly change]])^52)-1</f>
        <v>2.9594375755621627E-2</v>
      </c>
      <c r="E2034" s="57">
        <f>(Table26[[#This Row],[M2 Money Stock, Billions of Dollars, Weekly, Seasonally Adjusted]]-B1982)/B1982</f>
        <v>5.4435271015012957E-2</v>
      </c>
    </row>
    <row r="2035" spans="1:5" x14ac:dyDescent="0.2">
      <c r="A2035" s="55">
        <v>43724</v>
      </c>
      <c r="B2035" s="56">
        <v>14992.5</v>
      </c>
      <c r="C2035" s="53">
        <f>(Table26[[#This Row],[M2 Money Stock, Billions of Dollars, Weekly, Seasonally Adjusted]]-B2034)/B2034</f>
        <v>7.6095880809817946E-4</v>
      </c>
      <c r="D2035" s="54">
        <f>((1+Table26[[#This Row],[Weekly change]])^52)-1</f>
        <v>4.0347518913903979E-2</v>
      </c>
      <c r="E2035" s="57">
        <f>(Table26[[#This Row],[M2 Money Stock, Billions of Dollars, Weekly, Seasonally Adjusted]]-B1983)/B1983</f>
        <v>5.3806143248752374E-2</v>
      </c>
    </row>
    <row r="2036" spans="1:5" x14ac:dyDescent="0.2">
      <c r="A2036" s="55">
        <v>43731</v>
      </c>
      <c r="B2036" s="56">
        <v>15045.7</v>
      </c>
      <c r="C2036" s="53">
        <f>(Table26[[#This Row],[M2 Money Stock, Billions of Dollars, Weekly, Seasonally Adjusted]]-B2035)/B2035</f>
        <v>3.5484408871102702E-3</v>
      </c>
      <c r="D2036" s="54">
        <f>((1+Table26[[#This Row],[Weekly change]])^52)-1</f>
        <v>0.2022470185444587</v>
      </c>
      <c r="E2036" s="57">
        <f>(Table26[[#This Row],[M2 Money Stock, Billions of Dollars, Weekly, Seasonally Adjusted]]-B1984)/B1984</f>
        <v>5.6891779878896973E-2</v>
      </c>
    </row>
    <row r="2037" spans="1:5" x14ac:dyDescent="0.2">
      <c r="A2037" s="55">
        <v>43738</v>
      </c>
      <c r="B2037" s="56">
        <v>15086.5</v>
      </c>
      <c r="C2037" s="53">
        <f>(Table26[[#This Row],[M2 Money Stock, Billions of Dollars, Weekly, Seasonally Adjusted]]-B2036)/B2036</f>
        <v>2.7117382375030255E-3</v>
      </c>
      <c r="D2037" s="54">
        <f>((1+Table26[[#This Row],[Weekly change]])^52)-1</f>
        <v>0.15121688254985455</v>
      </c>
      <c r="E2037" s="57">
        <f>(Table26[[#This Row],[M2 Money Stock, Billions of Dollars, Weekly, Seasonally Adjusted]]-B1985)/B1985</f>
        <v>5.8999017268005056E-2</v>
      </c>
    </row>
    <row r="2038" spans="1:5" x14ac:dyDescent="0.2">
      <c r="A2038" s="55">
        <v>43745</v>
      </c>
      <c r="B2038" s="56">
        <v>15110.5</v>
      </c>
      <c r="C2038" s="53">
        <f>(Table26[[#This Row],[M2 Money Stock, Billions of Dollars, Weekly, Seasonally Adjusted]]-B2037)/B2037</f>
        <v>1.5908262353759985E-3</v>
      </c>
      <c r="D2038" s="54">
        <f>((1+Table26[[#This Row],[Weekly change]])^52)-1</f>
        <v>8.6169443875030449E-2</v>
      </c>
      <c r="E2038" s="57">
        <f>(Table26[[#This Row],[M2 Money Stock, Billions of Dollars, Weekly, Seasonally Adjusted]]-B1986)/B1986</f>
        <v>6.283981965379716E-2</v>
      </c>
    </row>
    <row r="2039" spans="1:5" x14ac:dyDescent="0.2">
      <c r="A2039" s="55">
        <v>43752</v>
      </c>
      <c r="B2039" s="56">
        <v>15116.9</v>
      </c>
      <c r="C2039" s="53">
        <f>(Table26[[#This Row],[M2 Money Stock, Billions of Dollars, Weekly, Seasonally Adjusted]]-B2038)/B2038</f>
        <v>4.2354654048506909E-4</v>
      </c>
      <c r="D2039" s="54">
        <f>((1+Table26[[#This Row],[Weekly change]])^52)-1</f>
        <v>2.2263981384046172E-2</v>
      </c>
      <c r="E2039" s="57">
        <f>(Table26[[#This Row],[M2 Money Stock, Billions of Dollars, Weekly, Seasonally Adjusted]]-B1987)/B1987</f>
        <v>6.2176784710511496E-2</v>
      </c>
    </row>
    <row r="2040" spans="1:5" x14ac:dyDescent="0.2">
      <c r="A2040" s="55">
        <v>43759</v>
      </c>
      <c r="B2040" s="56">
        <v>15155.9</v>
      </c>
      <c r="C2040" s="53">
        <f>(Table26[[#This Row],[M2 Money Stock, Billions of Dollars, Weekly, Seasonally Adjusted]]-B2039)/B2039</f>
        <v>2.579894025891552E-3</v>
      </c>
      <c r="D2040" s="54">
        <f>((1+Table26[[#This Row],[Weekly change]])^52)-1</f>
        <v>0.14337193488096944</v>
      </c>
      <c r="E2040" s="57">
        <f>(Table26[[#This Row],[M2 Money Stock, Billions of Dollars, Weekly, Seasonally Adjusted]]-B1988)/B1988</f>
        <v>6.3848157065343317E-2</v>
      </c>
    </row>
    <row r="2041" spans="1:5" x14ac:dyDescent="0.2">
      <c r="A2041" s="55">
        <v>43766</v>
      </c>
      <c r="B2041" s="56">
        <v>15189.1</v>
      </c>
      <c r="C2041" s="53">
        <f>(Table26[[#This Row],[M2 Money Stock, Billions of Dollars, Weekly, Seasonally Adjusted]]-B2040)/B2040</f>
        <v>2.1905660501851244E-3</v>
      </c>
      <c r="D2041" s="54">
        <f>((1+Table26[[#This Row],[Weekly change]])^52)-1</f>
        <v>0.12051102485878995</v>
      </c>
      <c r="E2041" s="57">
        <f>(Table26[[#This Row],[M2 Money Stock, Billions of Dollars, Weekly, Seasonally Adjusted]]-B1989)/B1989</f>
        <v>6.605137563166763E-2</v>
      </c>
    </row>
    <row r="2042" spans="1:5" x14ac:dyDescent="0.2">
      <c r="A2042" s="55">
        <v>43773</v>
      </c>
      <c r="B2042" s="56">
        <v>15212.9</v>
      </c>
      <c r="C2042" s="53">
        <f>(Table26[[#This Row],[M2 Money Stock, Billions of Dollars, Weekly, Seasonally Adjusted]]-B2041)/B2041</f>
        <v>1.5669131153260741E-3</v>
      </c>
      <c r="D2042" s="54">
        <f>((1+Table26[[#This Row],[Weekly change]])^52)-1</f>
        <v>8.4821777321995029E-2</v>
      </c>
      <c r="E2042" s="57">
        <f>(Table26[[#This Row],[M2 Money Stock, Billions of Dollars, Weekly, Seasonally Adjusted]]-B1990)/B1990</f>
        <v>6.9553418262605762E-2</v>
      </c>
    </row>
    <row r="2043" spans="1:5" x14ac:dyDescent="0.2">
      <c r="A2043" s="55">
        <v>43780</v>
      </c>
      <c r="B2043" s="56">
        <v>15219.8</v>
      </c>
      <c r="C2043" s="53">
        <f>(Table26[[#This Row],[M2 Money Stock, Billions of Dollars, Weekly, Seasonally Adjusted]]-B2042)/B2042</f>
        <v>4.5356243714213832E-4</v>
      </c>
      <c r="D2043" s="54">
        <f>((1+Table26[[#This Row],[Weekly change]])^52)-1</f>
        <v>2.3860103549832701E-2</v>
      </c>
      <c r="E2043" s="57">
        <f>(Table26[[#This Row],[M2 Money Stock, Billions of Dollars, Weekly, Seasonally Adjusted]]-B1991)/B1991</f>
        <v>7.0294369980731533E-2</v>
      </c>
    </row>
    <row r="2044" spans="1:5" x14ac:dyDescent="0.2">
      <c r="A2044" s="55">
        <v>43787</v>
      </c>
      <c r="B2044" s="56">
        <v>15251.5</v>
      </c>
      <c r="C2044" s="53">
        <f>(Table26[[#This Row],[M2 Money Stock, Billions of Dollars, Weekly, Seasonally Adjusted]]-B2043)/B2043</f>
        <v>2.0828131775713693E-3</v>
      </c>
      <c r="D2044" s="54">
        <f>((1+Table26[[#This Row],[Weekly change]])^52)-1</f>
        <v>0.11426350243046879</v>
      </c>
      <c r="E2044" s="57">
        <f>(Table26[[#This Row],[M2 Money Stock, Billions of Dollars, Weekly, Seasonally Adjusted]]-B1992)/B1992</f>
        <v>7.0836785418392681E-2</v>
      </c>
    </row>
    <row r="2045" spans="1:5" x14ac:dyDescent="0.2">
      <c r="A2045" s="55">
        <v>43794</v>
      </c>
      <c r="B2045" s="56">
        <v>15282.4</v>
      </c>
      <c r="C2045" s="53">
        <f>(Table26[[#This Row],[M2 Money Stock, Billions of Dollars, Weekly, Seasonally Adjusted]]-B2044)/B2044</f>
        <v>2.0260302265350709E-3</v>
      </c>
      <c r="D2045" s="54">
        <f>((1+Table26[[#This Row],[Weekly change]])^52)-1</f>
        <v>0.11098497970919574</v>
      </c>
      <c r="E2045" s="57">
        <f>(Table26[[#This Row],[M2 Money Stock, Billions of Dollars, Weekly, Seasonally Adjusted]]-B1993)/B1993</f>
        <v>7.1937601705852672E-2</v>
      </c>
    </row>
    <row r="2046" spans="1:5" x14ac:dyDescent="0.2">
      <c r="A2046" s="55">
        <v>43801</v>
      </c>
      <c r="B2046" s="56">
        <v>15281.1</v>
      </c>
      <c r="C2046" s="53">
        <f>(Table26[[#This Row],[M2 Money Stock, Billions of Dollars, Weekly, Seasonally Adjusted]]-B2045)/B2045</f>
        <v>-8.5065173009427341E-5</v>
      </c>
      <c r="D2046" s="54">
        <f>((1+Table26[[#This Row],[Weekly change]])^52)-1</f>
        <v>-4.4138075388008291E-3</v>
      </c>
      <c r="E2046" s="57">
        <f>(Table26[[#This Row],[M2 Money Stock, Billions of Dollars, Weekly, Seasonally Adjusted]]-B1994)/B1994</f>
        <v>6.8481369347699897E-2</v>
      </c>
    </row>
    <row r="2047" spans="1:5" x14ac:dyDescent="0.2">
      <c r="A2047" s="55">
        <v>43808</v>
      </c>
      <c r="B2047" s="56">
        <v>15261.7</v>
      </c>
      <c r="C2047" s="53">
        <f>(Table26[[#This Row],[M2 Money Stock, Billions of Dollars, Weekly, Seasonally Adjusted]]-B2046)/B2046</f>
        <v>-1.2695421141147977E-3</v>
      </c>
      <c r="D2047" s="54">
        <f>((1+Table26[[#This Row],[Weekly change]])^52)-1</f>
        <v>-6.392355197683075E-2</v>
      </c>
      <c r="E2047" s="57">
        <f>(Table26[[#This Row],[M2 Money Stock, Billions of Dollars, Weekly, Seasonally Adjusted]]-B1995)/B1995</f>
        <v>6.5813272995188424E-2</v>
      </c>
    </row>
    <row r="2048" spans="1:5" x14ac:dyDescent="0.2">
      <c r="A2048" s="55">
        <v>43815</v>
      </c>
      <c r="B2048" s="56">
        <v>15316.1</v>
      </c>
      <c r="C2048" s="53">
        <f>(Table26[[#This Row],[M2 Money Stock, Billions of Dollars, Weekly, Seasonally Adjusted]]-B2047)/B2047</f>
        <v>3.5644784001781999E-3</v>
      </c>
      <c r="D2048" s="54">
        <f>((1+Table26[[#This Row],[Weekly change]])^52)-1</f>
        <v>0.20324649536305861</v>
      </c>
      <c r="E2048" s="57">
        <f>(Table26[[#This Row],[M2 Money Stock, Billions of Dollars, Weekly, Seasonally Adjusted]]-B1996)/B1996</f>
        <v>7.0075664950290287E-2</v>
      </c>
    </row>
    <row r="2049" spans="1:5" x14ac:dyDescent="0.2">
      <c r="A2049" s="55">
        <v>43822</v>
      </c>
      <c r="B2049" s="56">
        <v>15326.1</v>
      </c>
      <c r="C2049" s="53">
        <f>(Table26[[#This Row],[M2 Money Stock, Billions of Dollars, Weekly, Seasonally Adjusted]]-B2048)/B2048</f>
        <v>6.5290772455128918E-4</v>
      </c>
      <c r="D2049" s="54">
        <f>((1+Table26[[#This Row],[Weekly change]])^52)-1</f>
        <v>3.4522660757861034E-2</v>
      </c>
      <c r="E2049" s="57">
        <f>(Table26[[#This Row],[M2 Money Stock, Billions of Dollars, Weekly, Seasonally Adjusted]]-B1997)/B1997</f>
        <v>6.555564825629899E-2</v>
      </c>
    </row>
    <row r="2050" spans="1:5" x14ac:dyDescent="0.2">
      <c r="A2050" s="55">
        <v>43829</v>
      </c>
      <c r="B2050" s="56">
        <v>15333.6</v>
      </c>
      <c r="C2050" s="53">
        <f>(Table26[[#This Row],[M2 Money Stock, Billions of Dollars, Weekly, Seasonally Adjusted]]-B2049)/B2049</f>
        <v>4.8936128564996961E-4</v>
      </c>
      <c r="D2050" s="54">
        <f>((1+Table26[[#This Row],[Weekly change]])^52)-1</f>
        <v>2.5766935485676656E-2</v>
      </c>
      <c r="E2050" s="57">
        <f>(Table26[[#This Row],[M2 Money Stock, Billions of Dollars, Weekly, Seasonally Adjusted]]-B1998)/B1998</f>
        <v>6.3880273921278902E-2</v>
      </c>
    </row>
    <row r="2051" spans="1:5" x14ac:dyDescent="0.2">
      <c r="A2051" s="55">
        <v>43836</v>
      </c>
      <c r="B2051" s="56">
        <v>15337.7</v>
      </c>
      <c r="C2051" s="53">
        <f>(Table26[[#This Row],[M2 Money Stock, Billions of Dollars, Weekly, Seasonally Adjusted]]-B2050)/B2050</f>
        <v>2.6738665414516901E-4</v>
      </c>
      <c r="D2051" s="54">
        <f>((1+Table26[[#This Row],[Weekly change]])^52)-1</f>
        <v>1.399933308395962E-2</v>
      </c>
      <c r="E2051" s="57">
        <f>(Table26[[#This Row],[M2 Money Stock, Billions of Dollars, Weekly, Seasonally Adjusted]]-B1999)/B1999</f>
        <v>6.4548817646119777E-2</v>
      </c>
    </row>
    <row r="2052" spans="1:5" x14ac:dyDescent="0.2">
      <c r="A2052" s="55">
        <v>43843</v>
      </c>
      <c r="B2052" s="56">
        <v>15371.5</v>
      </c>
      <c r="C2052" s="53">
        <f>(Table26[[#This Row],[M2 Money Stock, Billions of Dollars, Weekly, Seasonally Adjusted]]-B2051)/B2051</f>
        <v>2.2037202448867347E-3</v>
      </c>
      <c r="D2052" s="54">
        <f>((1+Table26[[#This Row],[Weekly change]])^52)-1</f>
        <v>0.12127605544441478</v>
      </c>
      <c r="E2052" s="57">
        <f>(Table26[[#This Row],[M2 Money Stock, Billions of Dollars, Weekly, Seasonally Adjusted]]-B2000)/B2000</f>
        <v>6.6051279206053054E-2</v>
      </c>
    </row>
    <row r="2053" spans="1:5" x14ac:dyDescent="0.2">
      <c r="A2053" s="55">
        <v>43850</v>
      </c>
      <c r="B2053" s="56">
        <v>15423.3</v>
      </c>
      <c r="C2053" s="53">
        <f>(Table26[[#This Row],[M2 Money Stock, Billions of Dollars, Weekly, Seasonally Adjusted]]-B2052)/B2052</f>
        <v>3.369872816576084E-3</v>
      </c>
      <c r="D2053" s="54">
        <f>((1+Table26[[#This Row],[Weekly change]])^52)-1</f>
        <v>0.19117330384995967</v>
      </c>
      <c r="E2053" s="57">
        <f>(Table26[[#This Row],[M2 Money Stock, Billions of Dollars, Weekly, Seasonally Adjusted]]-B2001)/B2001</f>
        <v>6.8850573119516562E-2</v>
      </c>
    </row>
    <row r="2054" spans="1:5" x14ac:dyDescent="0.2">
      <c r="A2054" s="55">
        <v>43857</v>
      </c>
      <c r="B2054" s="56">
        <v>15445.3</v>
      </c>
      <c r="C2054" s="53">
        <f>(Table26[[#This Row],[M2 Money Stock, Billions of Dollars, Weekly, Seasonally Adjusted]]-B2053)/B2053</f>
        <v>1.4264132837978902E-3</v>
      </c>
      <c r="D2054" s="54">
        <f>((1+Table26[[#This Row],[Weekly change]])^52)-1</f>
        <v>7.6936719287489463E-2</v>
      </c>
      <c r="E2054" s="57">
        <f>(Table26[[#This Row],[M2 Money Stock, Billions of Dollars, Weekly, Seasonally Adjusted]]-B2002)/B2002</f>
        <v>6.7246633176940379E-2</v>
      </c>
    </row>
    <row r="2055" spans="1:5" x14ac:dyDescent="0.2">
      <c r="A2055" s="55">
        <v>43864</v>
      </c>
      <c r="B2055" s="56">
        <v>15428.2</v>
      </c>
      <c r="C2055" s="53">
        <f>(Table26[[#This Row],[M2 Money Stock, Billions of Dollars, Weekly, Seasonally Adjusted]]-B2054)/B2054</f>
        <v>-1.1071329142197657E-3</v>
      </c>
      <c r="D2055" s="54">
        <f>((1+Table26[[#This Row],[Weekly change]])^52)-1</f>
        <v>-5.5975164515632003E-2</v>
      </c>
      <c r="E2055" s="57">
        <f>(Table26[[#This Row],[M2 Money Stock, Billions of Dollars, Weekly, Seasonally Adjusted]]-B2003)/B2003</f>
        <v>6.7134240814519727E-2</v>
      </c>
    </row>
    <row r="2056" spans="1:5" x14ac:dyDescent="0.2">
      <c r="A2056" s="55">
        <v>43871</v>
      </c>
      <c r="B2056" s="56">
        <v>15432.5</v>
      </c>
      <c r="C2056" s="53">
        <f>(Table26[[#This Row],[M2 Money Stock, Billions of Dollars, Weekly, Seasonally Adjusted]]-B2055)/B2055</f>
        <v>2.7871041339879392E-4</v>
      </c>
      <c r="D2056" s="54">
        <f>((1+Table26[[#This Row],[Weekly change]])^52)-1</f>
        <v>1.4596424611315051E-2</v>
      </c>
      <c r="E2056" s="57">
        <f>(Table26[[#This Row],[M2 Money Stock, Billions of Dollars, Weekly, Seasonally Adjusted]]-B2004)/B2004</f>
        <v>6.7077386879079576E-2</v>
      </c>
    </row>
    <row r="2057" spans="1:5" x14ac:dyDescent="0.2">
      <c r="A2057" s="55">
        <v>43878</v>
      </c>
      <c r="B2057" s="56">
        <v>15442.9</v>
      </c>
      <c r="C2057" s="53">
        <f>(Table26[[#This Row],[M2 Money Stock, Billions of Dollars, Weekly, Seasonally Adjusted]]-B2056)/B2056</f>
        <v>6.7390247853553454E-4</v>
      </c>
      <c r="D2057" s="54">
        <f>((1+Table26[[#This Row],[Weekly change]])^52)-1</f>
        <v>3.5651944443312322E-2</v>
      </c>
      <c r="E2057" s="57">
        <f>(Table26[[#This Row],[M2 Money Stock, Billions of Dollars, Weekly, Seasonally Adjusted]]-B2005)/B2005</f>
        <v>6.8490970732719827E-2</v>
      </c>
    </row>
    <row r="2058" spans="1:5" x14ac:dyDescent="0.2">
      <c r="A2058" s="55">
        <v>43885</v>
      </c>
      <c r="B2058" s="56">
        <v>15434.1</v>
      </c>
      <c r="C2058" s="53">
        <f>(Table26[[#This Row],[M2 Money Stock, Billions of Dollars, Weekly, Seasonally Adjusted]]-B2057)/B2057</f>
        <v>-5.698411567775011E-4</v>
      </c>
      <c r="D2058" s="54">
        <f>((1+Table26[[#This Row],[Weekly change]])^52)-1</f>
        <v>-2.9205223786948564E-2</v>
      </c>
      <c r="E2058" s="57">
        <f>(Table26[[#This Row],[M2 Money Stock, Billions of Dollars, Weekly, Seasonally Adjusted]]-B2006)/B2006</f>
        <v>6.6531686856053096E-2</v>
      </c>
    </row>
    <row r="2059" spans="1:5" x14ac:dyDescent="0.2">
      <c r="A2059" s="55">
        <v>43892</v>
      </c>
      <c r="B2059" s="56">
        <v>15512.8</v>
      </c>
      <c r="C2059" s="53">
        <f>(Table26[[#This Row],[M2 Money Stock, Billions of Dollars, Weekly, Seasonally Adjusted]]-B2058)/B2058</f>
        <v>5.0990987488741752E-3</v>
      </c>
      <c r="D2059" s="54">
        <f>((1+Table26[[#This Row],[Weekly change]])^52)-1</f>
        <v>0.30275259043934244</v>
      </c>
      <c r="E2059" s="57">
        <f>(Table26[[#This Row],[M2 Money Stock, Billions of Dollars, Weekly, Seasonally Adjusted]]-B2007)/B2007</f>
        <v>7.0771354616048263E-2</v>
      </c>
    </row>
    <row r="2060" spans="1:5" x14ac:dyDescent="0.2">
      <c r="A2060" s="55">
        <v>43899</v>
      </c>
      <c r="B2060" s="56">
        <v>15567.3</v>
      </c>
      <c r="C2060" s="53">
        <f>(Table26[[#This Row],[M2 Money Stock, Billions of Dollars, Weekly, Seasonally Adjusted]]-B2059)/B2059</f>
        <v>3.5132277860863287E-3</v>
      </c>
      <c r="D2060" s="54">
        <f>((1+Table26[[#This Row],[Weekly change]])^52)-1</f>
        <v>0.20005535214760761</v>
      </c>
      <c r="E2060" s="57">
        <f>(Table26[[#This Row],[M2 Money Stock, Billions of Dollars, Weekly, Seasonally Adjusted]]-B2008)/B2008</f>
        <v>7.3629109567784054E-2</v>
      </c>
    </row>
    <row r="2061" spans="1:5" x14ac:dyDescent="0.2">
      <c r="A2061" s="55">
        <v>43906</v>
      </c>
      <c r="B2061" s="56">
        <v>15725.8</v>
      </c>
      <c r="C2061" s="53">
        <f>(Table26[[#This Row],[M2 Money Stock, Billions of Dollars, Weekly, Seasonally Adjusted]]-B2060)/B2060</f>
        <v>1.0181598607337175E-2</v>
      </c>
      <c r="D2061" s="54">
        <f>((1+Table26[[#This Row],[Weekly change]])^52)-1</f>
        <v>0.69344682819300085</v>
      </c>
      <c r="E2061" s="57">
        <f>(Table26[[#This Row],[M2 Money Stock, Billions of Dollars, Weekly, Seasonally Adjusted]]-B2009)/B2009</f>
        <v>8.4807262492756802E-2</v>
      </c>
    </row>
    <row r="2062" spans="1:5" x14ac:dyDescent="0.2">
      <c r="A2062" s="55">
        <v>43913</v>
      </c>
      <c r="B2062" s="56">
        <v>16151.3</v>
      </c>
      <c r="C2062" s="53">
        <f>(Table26[[#This Row],[M2 Money Stock, Billions of Dollars, Weekly, Seasonally Adjusted]]-B2061)/B2061</f>
        <v>2.7057446997926976E-2</v>
      </c>
      <c r="D2062" s="54">
        <f>((1+Table26[[#This Row],[Weekly change]])^52)-1</f>
        <v>3.0079866647583833</v>
      </c>
      <c r="E2062" s="57">
        <f>(Table26[[#This Row],[M2 Money Stock, Billions of Dollars, Weekly, Seasonally Adjusted]]-B2010)/B2010</f>
        <v>0.11229486181795632</v>
      </c>
    </row>
    <row r="2063" spans="1:5" x14ac:dyDescent="0.2">
      <c r="A2063" s="55">
        <v>43920</v>
      </c>
      <c r="B2063" s="56">
        <v>16533.099999999999</v>
      </c>
      <c r="C2063" s="53">
        <f>(Table26[[#This Row],[M2 Money Stock, Billions of Dollars, Weekly, Seasonally Adjusted]]-B2062)/B2062</f>
        <v>2.363896404623772E-2</v>
      </c>
      <c r="D2063" s="54">
        <f>((1+Table26[[#This Row],[Weekly change]])^52)-1</f>
        <v>2.3700321834078228</v>
      </c>
      <c r="E2063" s="57">
        <f>(Table26[[#This Row],[M2 Money Stock, Billions of Dollars, Weekly, Seasonally Adjusted]]-B2011)/B2011</f>
        <v>0.13631896190299442</v>
      </c>
    </row>
    <row r="2064" spans="1:5" x14ac:dyDescent="0.2">
      <c r="A2064" s="55">
        <v>43927</v>
      </c>
      <c r="B2064" s="56">
        <v>16595.8</v>
      </c>
      <c r="C2064" s="53">
        <f>(Table26[[#This Row],[M2 Money Stock, Billions of Dollars, Weekly, Seasonally Adjusted]]-B2063)/B2063</f>
        <v>3.7923922313420188E-3</v>
      </c>
      <c r="D2064" s="54">
        <f>((1+Table26[[#This Row],[Weekly change]])^52)-1</f>
        <v>0.21753874704039777</v>
      </c>
      <c r="E2064" s="57">
        <f>(Table26[[#This Row],[M2 Money Stock, Billions of Dollars, Weekly, Seasonally Adjusted]]-B2012)/B2012</f>
        <v>0.14120090218945977</v>
      </c>
    </row>
    <row r="2065" spans="1:5" x14ac:dyDescent="0.2">
      <c r="A2065" s="55">
        <v>43934</v>
      </c>
      <c r="B2065" s="56">
        <v>16715.7</v>
      </c>
      <c r="C2065" s="53">
        <f>(Table26[[#This Row],[M2 Money Stock, Billions of Dollars, Weekly, Seasonally Adjusted]]-B2064)/B2064</f>
        <v>7.2247195073453195E-3</v>
      </c>
      <c r="D2065" s="54">
        <f>((1+Table26[[#This Row],[Weekly change]])^52)-1</f>
        <v>0.45402388313750608</v>
      </c>
      <c r="E2065" s="57">
        <f>(Table26[[#This Row],[M2 Money Stock, Billions of Dollars, Weekly, Seasonally Adjusted]]-B2013)/B2013</f>
        <v>0.14854539707842637</v>
      </c>
    </row>
    <row r="2066" spans="1:5" x14ac:dyDescent="0.2">
      <c r="A2066" s="55">
        <v>43941</v>
      </c>
      <c r="B2066" s="56">
        <v>17075.599999999999</v>
      </c>
      <c r="C2066" s="53">
        <f>(Table26[[#This Row],[M2 Money Stock, Billions of Dollars, Weekly, Seasonally Adjusted]]-B2065)/B2065</f>
        <v>2.1530656807671699E-2</v>
      </c>
      <c r="D2066" s="54">
        <f>((1+Table26[[#This Row],[Weekly change]])^52)-1</f>
        <v>2.0274225440417806</v>
      </c>
      <c r="E2066" s="57">
        <f>(Table26[[#This Row],[M2 Money Stock, Billions of Dollars, Weekly, Seasonally Adjusted]]-B2014)/B2014</f>
        <v>0.17403261736475886</v>
      </c>
    </row>
    <row r="2067" spans="1:5" x14ac:dyDescent="0.2">
      <c r="A2067" s="55">
        <v>43948</v>
      </c>
      <c r="B2067" s="56">
        <v>17405.3</v>
      </c>
      <c r="C2067" s="53">
        <f>(Table26[[#This Row],[M2 Money Stock, Billions of Dollars, Weekly, Seasonally Adjusted]]-B2066)/B2066</f>
        <v>1.9308252711471383E-2</v>
      </c>
      <c r="D2067" s="54">
        <f>((1+Table26[[#This Row],[Weekly change]])^52)-1</f>
        <v>1.7032617722668828</v>
      </c>
      <c r="E2067" s="57">
        <f>(Table26[[#This Row],[M2 Money Stock, Billions of Dollars, Weekly, Seasonally Adjusted]]-B2015)/B2015</f>
        <v>0.19305088114936697</v>
      </c>
    </row>
    <row r="2068" spans="1:5" x14ac:dyDescent="0.2">
      <c r="A2068" s="55">
        <v>43955</v>
      </c>
      <c r="B2068" s="56">
        <v>17598.8</v>
      </c>
      <c r="C2068" s="53">
        <f>(Table26[[#This Row],[M2 Money Stock, Billions of Dollars, Weekly, Seasonally Adjusted]]-B2067)/B2067</f>
        <v>1.1117303350128983E-2</v>
      </c>
      <c r="D2068" s="54">
        <f>((1+Table26[[#This Row],[Weekly change]])^52)-1</f>
        <v>0.77697048349573916</v>
      </c>
      <c r="E2068" s="57">
        <f>(Table26[[#This Row],[M2 Money Stock, Billions of Dollars, Weekly, Seasonally Adjusted]]-B2016)/B2016</f>
        <v>0.20499284486713362</v>
      </c>
    </row>
    <row r="2069" spans="1:5" x14ac:dyDescent="0.2">
      <c r="A2069" s="55">
        <v>43962</v>
      </c>
      <c r="B2069" s="56">
        <v>17818.2</v>
      </c>
      <c r="C2069" s="53">
        <f>(Table26[[#This Row],[M2 Money Stock, Billions of Dollars, Weekly, Seasonally Adjusted]]-B2068)/B2068</f>
        <v>1.2466759097211257E-2</v>
      </c>
      <c r="D2069" s="54">
        <f>((1+Table26[[#This Row],[Weekly change]])^52)-1</f>
        <v>0.90458440523035333</v>
      </c>
      <c r="E2069" s="57">
        <f>(Table26[[#This Row],[M2 Money Stock, Billions of Dollars, Weekly, Seasonally Adjusted]]-B2017)/B2017</f>
        <v>0.21933894477520022</v>
      </c>
    </row>
    <row r="2070" spans="1:5" x14ac:dyDescent="0.2">
      <c r="A2070" s="55">
        <v>43969</v>
      </c>
      <c r="B2070" s="56">
        <v>17908.099999999999</v>
      </c>
      <c r="C2070" s="53">
        <f>(Table26[[#This Row],[M2 Money Stock, Billions of Dollars, Weekly, Seasonally Adjusted]]-B2069)/B2069</f>
        <v>5.0454030148947603E-3</v>
      </c>
      <c r="D2070" s="54">
        <f>((1+Table26[[#This Row],[Weekly change]])^52)-1</f>
        <v>0.29913845290500696</v>
      </c>
      <c r="E2070" s="57">
        <f>(Table26[[#This Row],[M2 Money Stock, Billions of Dollars, Weekly, Seasonally Adjusted]]-B2018)/B2018</f>
        <v>0.22206223556708057</v>
      </c>
    </row>
    <row r="2071" spans="1:5" x14ac:dyDescent="0.2">
      <c r="A2071" s="55">
        <v>43976</v>
      </c>
      <c r="B2071" s="56">
        <v>17936.5</v>
      </c>
      <c r="C2071" s="53">
        <f>(Table26[[#This Row],[M2 Money Stock, Billions of Dollars, Weekly, Seasonally Adjusted]]-B2070)/B2070</f>
        <v>1.5858745483887994E-3</v>
      </c>
      <c r="D2071" s="54">
        <f>((1+Table26[[#This Row],[Weekly change]])^52)-1</f>
        <v>8.589024798496192E-2</v>
      </c>
      <c r="E2071" s="57">
        <f>(Table26[[#This Row],[M2 Money Stock, Billions of Dollars, Weekly, Seasonally Adjusted]]-B2019)/B2019</f>
        <v>0.22044404526186145</v>
      </c>
    </row>
    <row r="2072" spans="1:5" x14ac:dyDescent="0.2">
      <c r="A2072" s="55">
        <v>43983</v>
      </c>
      <c r="B2072" s="56">
        <v>17970.900000000001</v>
      </c>
      <c r="C2072" s="53">
        <f>(Table26[[#This Row],[M2 Money Stock, Billions of Dollars, Weekly, Seasonally Adjusted]]-B2071)/B2071</f>
        <v>1.917876954812893E-3</v>
      </c>
      <c r="D2072" s="54">
        <f>((1+Table26[[#This Row],[Weekly change]])^52)-1</f>
        <v>0.10476659807699962</v>
      </c>
      <c r="E2072" s="57">
        <f>(Table26[[#This Row],[M2 Money Stock, Billions of Dollars, Weekly, Seasonally Adjusted]]-B2020)/B2020</f>
        <v>0.22026889386840506</v>
      </c>
    </row>
    <row r="2073" spans="1:5" x14ac:dyDescent="0.2">
      <c r="A2073" s="55">
        <v>43990</v>
      </c>
      <c r="B2073" s="56">
        <v>18060.7</v>
      </c>
      <c r="C2073" s="53">
        <f>(Table26[[#This Row],[M2 Money Stock, Billions of Dollars, Weekly, Seasonally Adjusted]]-B2072)/B2072</f>
        <v>4.9969673193885258E-3</v>
      </c>
      <c r="D2073" s="54">
        <f>((1+Table26[[#This Row],[Weekly change]])^52)-1</f>
        <v>0.29588679362859249</v>
      </c>
      <c r="E2073" s="57">
        <f>(Table26[[#This Row],[M2 Money Stock, Billions of Dollars, Weekly, Seasonally Adjusted]]-B2021)/B2021</f>
        <v>0.22426333520874722</v>
      </c>
    </row>
    <row r="2074" spans="1:5" x14ac:dyDescent="0.2">
      <c r="A2074" s="55">
        <v>43997</v>
      </c>
      <c r="B2074" s="56">
        <v>18136.7</v>
      </c>
      <c r="C2074" s="53">
        <f>(Table26[[#This Row],[M2 Money Stock, Billions of Dollars, Weekly, Seasonally Adjusted]]-B2073)/B2073</f>
        <v>4.2080318038614228E-3</v>
      </c>
      <c r="D2074" s="54">
        <f>((1+Table26[[#This Row],[Weekly change]])^52)-1</f>
        <v>0.2440330300958895</v>
      </c>
      <c r="E2074" s="57">
        <f>(Table26[[#This Row],[M2 Money Stock, Billions of Dollars, Weekly, Seasonally Adjusted]]-B2022)/B2022</f>
        <v>0.22720229516405152</v>
      </c>
    </row>
    <row r="2075" spans="1:5" x14ac:dyDescent="0.2">
      <c r="A2075" s="55">
        <v>44004</v>
      </c>
      <c r="B2075" s="56">
        <v>18234.5</v>
      </c>
      <c r="C2075" s="53">
        <f>(Table26[[#This Row],[M2 Money Stock, Billions of Dollars, Weekly, Seasonally Adjusted]]-B2074)/B2074</f>
        <v>5.392381193932704E-3</v>
      </c>
      <c r="D2075" s="54">
        <f>((1+Table26[[#This Row],[Weekly change]])^52)-1</f>
        <v>0.3226674683044326</v>
      </c>
      <c r="E2075" s="57">
        <f>(Table26[[#This Row],[M2 Money Stock, Billions of Dollars, Weekly, Seasonally Adjusted]]-B2023)/B2023</f>
        <v>0.23221900108797747</v>
      </c>
    </row>
    <row r="2076" spans="1:5" x14ac:dyDescent="0.2">
      <c r="A2076" s="55">
        <v>44011</v>
      </c>
      <c r="B2076" s="56">
        <v>18230.8</v>
      </c>
      <c r="C2076" s="53">
        <f>(Table26[[#This Row],[M2 Money Stock, Billions of Dollars, Weekly, Seasonally Adjusted]]-B2075)/B2075</f>
        <v>-2.0291206229952713E-4</v>
      </c>
      <c r="D2076" s="54">
        <f>((1+Table26[[#This Row],[Weekly change]])^52)-1</f>
        <v>-1.0497015614839067E-2</v>
      </c>
      <c r="E2076" s="57">
        <f>(Table26[[#This Row],[M2 Money Stock, Billions of Dollars, Weekly, Seasonally Adjusted]]-B2024)/B2024</f>
        <v>0.22916146953525846</v>
      </c>
    </row>
    <row r="2077" spans="1:5" x14ac:dyDescent="0.2">
      <c r="A2077" s="55">
        <v>44018</v>
      </c>
      <c r="B2077" s="56">
        <v>18321.900000000001</v>
      </c>
      <c r="C2077" s="53">
        <f>(Table26[[#This Row],[M2 Money Stock, Billions of Dollars, Weekly, Seasonally Adjusted]]-B2076)/B2076</f>
        <v>4.997037979682855E-3</v>
      </c>
      <c r="D2077" s="54">
        <f>((1+Table26[[#This Row],[Weekly change]])^52)-1</f>
        <v>0.29589153148480718</v>
      </c>
      <c r="E2077" s="57">
        <f>(Table26[[#This Row],[M2 Money Stock, Billions of Dollars, Weekly, Seasonally Adjusted]]-B2025)/B2025</f>
        <v>0.23514541115560425</v>
      </c>
    </row>
    <row r="2078" spans="1:5" x14ac:dyDescent="0.2">
      <c r="A2078" s="55">
        <v>44025</v>
      </c>
      <c r="B2078" s="56">
        <v>18385</v>
      </c>
      <c r="C2078" s="53">
        <f>(Table26[[#This Row],[M2 Money Stock, Billions of Dollars, Weekly, Seasonally Adjusted]]-B2077)/B2077</f>
        <v>3.443965964228521E-3</v>
      </c>
      <c r="D2078" s="54">
        <f>((1+Table26[[#This Row],[Weekly change]])^52)-1</f>
        <v>0.19575591818619231</v>
      </c>
      <c r="E2078" s="57">
        <f>(Table26[[#This Row],[M2 Money Stock, Billions of Dollars, Weekly, Seasonally Adjusted]]-B2026)/B2026</f>
        <v>0.23980039112549734</v>
      </c>
    </row>
    <row r="2079" spans="1:5" x14ac:dyDescent="0.2">
      <c r="A2079" s="55">
        <v>44032</v>
      </c>
      <c r="B2079" s="56">
        <v>18313.8</v>
      </c>
      <c r="C2079" s="53">
        <f>(Table26[[#This Row],[M2 Money Stock, Billions of Dollars, Weekly, Seasonally Adjusted]]-B2078)/B2078</f>
        <v>-3.8727223279848098E-3</v>
      </c>
      <c r="D2079" s="54">
        <f>((1+Table26[[#This Row],[Weekly change]])^52)-1</f>
        <v>-0.18271917668524473</v>
      </c>
      <c r="E2079" s="57">
        <f>(Table26[[#This Row],[M2 Money Stock, Billions of Dollars, Weekly, Seasonally Adjusted]]-B2027)/B2027</f>
        <v>0.23164350948928669</v>
      </c>
    </row>
    <row r="2080" spans="1:5" x14ac:dyDescent="0.2">
      <c r="A2080" s="55">
        <v>44039</v>
      </c>
      <c r="B2080" s="56">
        <v>18279.3</v>
      </c>
      <c r="C2080" s="53">
        <f>(Table26[[#This Row],[M2 Money Stock, Billions of Dollars, Weekly, Seasonally Adjusted]]-B2079)/B2079</f>
        <v>-1.8838253120597582E-3</v>
      </c>
      <c r="D2080" s="54">
        <f>((1+Table26[[#This Row],[Weekly change]])^52)-1</f>
        <v>-9.3397607060092924E-2</v>
      </c>
      <c r="E2080" s="57">
        <f>(Table26[[#This Row],[M2 Money Stock, Billions of Dollars, Weekly, Seasonally Adjusted]]-B2028)/B2028</f>
        <v>0.22650232158673064</v>
      </c>
    </row>
    <row r="2081" spans="1:5" x14ac:dyDescent="0.2">
      <c r="A2081" s="55">
        <v>44046</v>
      </c>
      <c r="B2081" s="56">
        <v>18252.7</v>
      </c>
      <c r="C2081" s="53">
        <f>(Table26[[#This Row],[M2 Money Stock, Billions of Dollars, Weekly, Seasonally Adjusted]]-B2080)/B2080</f>
        <v>-1.4551979561579791E-3</v>
      </c>
      <c r="D2081" s="54">
        <f>((1+Table26[[#This Row],[Weekly change]])^52)-1</f>
        <v>-7.292925923233462E-2</v>
      </c>
      <c r="E2081" s="57">
        <f>(Table26[[#This Row],[M2 Money Stock, Billions of Dollars, Weekly, Seasonally Adjusted]]-B2029)/B2029</f>
        <v>0.22331391958822305</v>
      </c>
    </row>
    <row r="2082" spans="1:5" x14ac:dyDescent="0.2">
      <c r="A2082" s="55">
        <v>44053</v>
      </c>
      <c r="B2082" s="56">
        <v>18395.400000000001</v>
      </c>
      <c r="C2082" s="53">
        <f>(Table26[[#This Row],[M2 Money Stock, Billions of Dollars, Weekly, Seasonally Adjusted]]-B2081)/B2081</f>
        <v>7.8180214434029338E-3</v>
      </c>
      <c r="D2082" s="54">
        <f>((1+Table26[[#This Row],[Weekly change]])^52)-1</f>
        <v>0.49923681939978515</v>
      </c>
      <c r="E2082" s="57">
        <f>(Table26[[#This Row],[M2 Money Stock, Billions of Dollars, Weekly, Seasonally Adjusted]]-B2030)/B2030</f>
        <v>0.23281171463994915</v>
      </c>
    </row>
    <row r="2083" spans="1:5" x14ac:dyDescent="0.2">
      <c r="A2083" s="55">
        <v>44060</v>
      </c>
      <c r="B2083" s="56">
        <v>18441.599999999999</v>
      </c>
      <c r="C2083" s="53">
        <f>(Table26[[#This Row],[M2 Money Stock, Billions of Dollars, Weekly, Seasonally Adjusted]]-B2082)/B2082</f>
        <v>2.5114974395771274E-3</v>
      </c>
      <c r="D2083" s="54">
        <f>((1+Table26[[#This Row],[Weekly change]])^52)-1</f>
        <v>0.13932290483478793</v>
      </c>
      <c r="E2083" s="57">
        <f>(Table26[[#This Row],[M2 Money Stock, Billions of Dollars, Weekly, Seasonally Adjusted]]-B2031)/B2031</f>
        <v>0.23591620089267756</v>
      </c>
    </row>
    <row r="2084" spans="1:5" x14ac:dyDescent="0.2">
      <c r="A2084" s="55">
        <v>44067</v>
      </c>
      <c r="B2084" s="56">
        <v>18377.2</v>
      </c>
      <c r="C2084" s="53">
        <f>(Table26[[#This Row],[M2 Money Stock, Billions of Dollars, Weekly, Seasonally Adjusted]]-B2083)/B2083</f>
        <v>-3.4921048065242617E-3</v>
      </c>
      <c r="D2084" s="54">
        <f>((1+Table26[[#This Row],[Weekly change]])^52)-1</f>
        <v>-0.16632134341106186</v>
      </c>
      <c r="E2084" s="57">
        <f>(Table26[[#This Row],[M2 Money Stock, Billions of Dollars, Weekly, Seasonally Adjusted]]-B2032)/B2032</f>
        <v>0.23021515309742807</v>
      </c>
    </row>
    <row r="2085" spans="1:5" x14ac:dyDescent="0.2">
      <c r="A2085" s="55">
        <v>44074</v>
      </c>
      <c r="B2085" s="56">
        <v>18456.2</v>
      </c>
      <c r="C2085" s="53">
        <f>(Table26[[#This Row],[M2 Money Stock, Billions of Dollars, Weekly, Seasonally Adjusted]]-B2084)/B2084</f>
        <v>4.2988050410291013E-3</v>
      </c>
      <c r="D2085" s="54">
        <f>((1+Table26[[#This Row],[Weekly change]])^52)-1</f>
        <v>0.24989401764745556</v>
      </c>
      <c r="E2085" s="57">
        <f>(Table26[[#This Row],[M2 Money Stock, Billions of Dollars, Weekly, Seasonally Adjusted]]-B2033)/B2033</f>
        <v>0.23265676865228047</v>
      </c>
    </row>
    <row r="2086" spans="1:5" x14ac:dyDescent="0.2">
      <c r="A2086" s="55">
        <v>44081</v>
      </c>
      <c r="B2086" s="56">
        <v>18566.5</v>
      </c>
      <c r="C2086" s="53">
        <f>(Table26[[#This Row],[M2 Money Stock, Billions of Dollars, Weekly, Seasonally Adjusted]]-B2085)/B2085</f>
        <v>5.9763114834039113E-3</v>
      </c>
      <c r="D2086" s="54">
        <f>((1+Table26[[#This Row],[Weekly change]])^52)-1</f>
        <v>0.36321142311423227</v>
      </c>
      <c r="E2086" s="57">
        <f>(Table26[[#This Row],[M2 Money Stock, Billions of Dollars, Weekly, Seasonally Adjusted]]-B2034)/B2034</f>
        <v>0.23932822022414907</v>
      </c>
    </row>
    <row r="2087" spans="1:5" x14ac:dyDescent="0.2">
      <c r="A2087" s="55">
        <v>44088</v>
      </c>
      <c r="B2087" s="56">
        <v>18691.3</v>
      </c>
      <c r="C2087" s="53">
        <f>(Table26[[#This Row],[M2 Money Stock, Billions of Dollars, Weekly, Seasonally Adjusted]]-B2086)/B2086</f>
        <v>6.7217838580238207E-3</v>
      </c>
      <c r="D2087" s="54">
        <f>((1+Table26[[#This Row],[Weekly change]])^52)-1</f>
        <v>0.4167467989407585</v>
      </c>
      <c r="E2087" s="57">
        <f>(Table26[[#This Row],[M2 Money Stock, Billions of Dollars, Weekly, Seasonally Adjusted]]-B2035)/B2035</f>
        <v>0.24671002167750536</v>
      </c>
    </row>
    <row r="2088" spans="1:5" x14ac:dyDescent="0.2">
      <c r="A2088" s="55">
        <v>44095</v>
      </c>
      <c r="B2088" s="56">
        <v>18710</v>
      </c>
      <c r="C2088" s="53">
        <f>(Table26[[#This Row],[M2 Money Stock, Billions of Dollars, Weekly, Seasonally Adjusted]]-B2087)/B2087</f>
        <v>1.0004654571913526E-3</v>
      </c>
      <c r="D2088" s="54">
        <f>((1+Table26[[#This Row],[Weekly change]])^52)-1</f>
        <v>5.337384318283922E-2</v>
      </c>
      <c r="E2088" s="57">
        <f>(Table26[[#This Row],[M2 Money Stock, Billions of Dollars, Weekly, Seasonally Adjusted]]-B2036)/B2036</f>
        <v>0.24354466724712037</v>
      </c>
    </row>
    <row r="2089" spans="1:5" x14ac:dyDescent="0.2">
      <c r="A2089" s="55">
        <v>44102</v>
      </c>
      <c r="B2089" s="56">
        <v>18643.599999999999</v>
      </c>
      <c r="C2089" s="53">
        <f>(Table26[[#This Row],[M2 Money Stock, Billions of Dollars, Weekly, Seasonally Adjusted]]-B2088)/B2088</f>
        <v>-3.5489043292357804E-3</v>
      </c>
      <c r="D2089" s="54">
        <f>((1+Table26[[#This Row],[Weekly change]])^52)-1</f>
        <v>-0.16878871681363616</v>
      </c>
      <c r="E2089" s="57">
        <f>(Table26[[#This Row],[M2 Money Stock, Billions of Dollars, Weekly, Seasonally Adjusted]]-B2037)/B2037</f>
        <v>0.23578033341066507</v>
      </c>
    </row>
    <row r="2090" spans="1:5" x14ac:dyDescent="0.2">
      <c r="A2090" s="55">
        <v>44109</v>
      </c>
      <c r="B2090" s="56">
        <v>18689.400000000001</v>
      </c>
      <c r="C2090" s="53">
        <f>(Table26[[#This Row],[M2 Money Stock, Billions of Dollars, Weekly, Seasonally Adjusted]]-B2089)/B2089</f>
        <v>2.4566070930508548E-3</v>
      </c>
      <c r="D2090" s="54">
        <f>((1+Table26[[#This Row],[Weekly change]])^52)-1</f>
        <v>0.13608360945328402</v>
      </c>
      <c r="E2090" s="57">
        <f>(Table26[[#This Row],[M2 Money Stock, Billions of Dollars, Weekly, Seasonally Adjusted]]-B2038)/B2038</f>
        <v>0.2368485490222032</v>
      </c>
    </row>
    <row r="2091" spans="1:5" x14ac:dyDescent="0.2">
      <c r="A2091" s="55">
        <v>44116</v>
      </c>
      <c r="B2091" s="56">
        <v>18795.900000000001</v>
      </c>
      <c r="C2091" s="53">
        <f>(Table26[[#This Row],[M2 Money Stock, Billions of Dollars, Weekly, Seasonally Adjusted]]-B2090)/B2090</f>
        <v>5.6984172846640336E-3</v>
      </c>
      <c r="D2091" s="54">
        <f>((1+Table26[[#This Row],[Weekly change]])^52)-1</f>
        <v>0.34376667423199359</v>
      </c>
      <c r="E2091" s="57">
        <f>(Table26[[#This Row],[M2 Money Stock, Billions of Dollars, Weekly, Seasonally Adjusted]]-B2039)/B2039</f>
        <v>0.24337000310910317</v>
      </c>
    </row>
    <row r="2092" spans="1:5" x14ac:dyDescent="0.2">
      <c r="A2092" s="55">
        <v>44123</v>
      </c>
      <c r="B2092" s="56">
        <v>18815.7</v>
      </c>
      <c r="C2092" s="53">
        <f>(Table26[[#This Row],[M2 Money Stock, Billions of Dollars, Weekly, Seasonally Adjusted]]-B2091)/B2091</f>
        <v>1.0534212248415489E-3</v>
      </c>
      <c r="D2092" s="54">
        <f>((1+Table26[[#This Row],[Weekly change]])^52)-1</f>
        <v>5.6275532137372464E-2</v>
      </c>
      <c r="E2092" s="57">
        <f>(Table26[[#This Row],[M2 Money Stock, Billions of Dollars, Weekly, Seasonally Adjusted]]-B2040)/B2040</f>
        <v>0.24147691658034173</v>
      </c>
    </row>
    <row r="2093" spans="1:5" x14ac:dyDescent="0.2">
      <c r="A2093" s="55">
        <v>44130</v>
      </c>
      <c r="B2093" s="56">
        <v>18838.900000000001</v>
      </c>
      <c r="C2093" s="53">
        <f>(Table26[[#This Row],[M2 Money Stock, Billions of Dollars, Weekly, Seasonally Adjusted]]-B2092)/B2092</f>
        <v>1.2330128562849495E-3</v>
      </c>
      <c r="D2093" s="54">
        <f>((1+Table26[[#This Row],[Weekly change]])^52)-1</f>
        <v>6.617467511297348E-2</v>
      </c>
      <c r="E2093" s="57">
        <f>(Table26[[#This Row],[M2 Money Stock, Billions of Dollars, Weekly, Seasonally Adjusted]]-B2041)/B2041</f>
        <v>0.24029073480324714</v>
      </c>
    </row>
    <row r="2094" spans="1:5" x14ac:dyDescent="0.2">
      <c r="A2094" s="55">
        <v>44137</v>
      </c>
      <c r="B2094" s="56">
        <v>18894.900000000001</v>
      </c>
      <c r="C2094" s="53">
        <f>(Table26[[#This Row],[M2 Money Stock, Billions of Dollars, Weekly, Seasonally Adjusted]]-B2093)/B2093</f>
        <v>2.9725727085976356E-3</v>
      </c>
      <c r="D2094" s="54">
        <f>((1+Table26[[#This Row],[Weekly change]])^52)-1</f>
        <v>0.16689280536529116</v>
      </c>
      <c r="E2094" s="57">
        <f>(Table26[[#This Row],[M2 Money Stock, Billions of Dollars, Weekly, Seasonally Adjusted]]-B2042)/B2042</f>
        <v>0.24203143384890469</v>
      </c>
    </row>
    <row r="2095" spans="1:5" x14ac:dyDescent="0.2">
      <c r="A2095" s="55">
        <v>44144</v>
      </c>
      <c r="B2095" s="56">
        <v>19067.099999999999</v>
      </c>
      <c r="C2095" s="53">
        <f>(Table26[[#This Row],[M2 Money Stock, Billions of Dollars, Weekly, Seasonally Adjusted]]-B2094)/B2094</f>
        <v>9.1135703285011877E-3</v>
      </c>
      <c r="D2095" s="54">
        <f>((1+Table26[[#This Row],[Weekly change]])^52)-1</f>
        <v>0.60281138380443622</v>
      </c>
      <c r="E2095" s="57">
        <f>(Table26[[#This Row],[M2 Money Stock, Billions of Dollars, Weekly, Seasonally Adjusted]]-B2043)/B2043</f>
        <v>0.25278255956057238</v>
      </c>
    </row>
    <row r="2096" spans="1:5" x14ac:dyDescent="0.2">
      <c r="A2096" s="55">
        <v>44151</v>
      </c>
      <c r="B2096" s="56">
        <v>19108.400000000001</v>
      </c>
      <c r="C2096" s="53">
        <f>(Table26[[#This Row],[M2 Money Stock, Billions of Dollars, Weekly, Seasonally Adjusted]]-B2095)/B2095</f>
        <v>2.1660346880229774E-3</v>
      </c>
      <c r="D2096" s="54">
        <f>((1+Table26[[#This Row],[Weekly change]])^52)-1</f>
        <v>0.11908568057473112</v>
      </c>
      <c r="E2096" s="57">
        <f>(Table26[[#This Row],[M2 Money Stock, Billions of Dollars, Weekly, Seasonally Adjusted]]-B2044)/B2044</f>
        <v>0.25288660131790325</v>
      </c>
    </row>
    <row r="2097" spans="1:5" x14ac:dyDescent="0.2">
      <c r="A2097" s="55">
        <v>44158</v>
      </c>
      <c r="B2097" s="56">
        <v>19120.8</v>
      </c>
      <c r="C2097" s="53">
        <f>(Table26[[#This Row],[M2 Money Stock, Billions of Dollars, Weekly, Seasonally Adjusted]]-B2096)/B2096</f>
        <v>6.489292667098143E-4</v>
      </c>
      <c r="D2097" s="54">
        <f>((1+Table26[[#This Row],[Weekly change]])^52)-1</f>
        <v>3.4308800236920511E-2</v>
      </c>
      <c r="E2097" s="57">
        <f>(Table26[[#This Row],[M2 Money Stock, Billions of Dollars, Weekly, Seasonally Adjusted]]-B2045)/B2045</f>
        <v>0.25116473852274512</v>
      </c>
    </row>
    <row r="2098" spans="1:5" x14ac:dyDescent="0.2">
      <c r="A2098" s="55">
        <v>44165</v>
      </c>
      <c r="B2098" s="56">
        <v>18998.3</v>
      </c>
      <c r="C2098" s="53">
        <f>(Table26[[#This Row],[M2 Money Stock, Billions of Dollars, Weekly, Seasonally Adjusted]]-B2097)/B2097</f>
        <v>-6.4066357056190119E-3</v>
      </c>
      <c r="D2098" s="54">
        <f>((1+Table26[[#This Row],[Weekly change]])^52)-1</f>
        <v>-0.28410144583820796</v>
      </c>
      <c r="E2098" s="57">
        <f>(Table26[[#This Row],[M2 Money Stock, Billions of Dollars, Weekly, Seasonally Adjusted]]-B2046)/B2046</f>
        <v>0.24325473951482543</v>
      </c>
    </row>
    <row r="2099" spans="1:5" x14ac:dyDescent="0.2">
      <c r="A2099" s="55">
        <v>44172</v>
      </c>
      <c r="B2099" s="56">
        <v>19226.599999999999</v>
      </c>
      <c r="C2099" s="53">
        <f>(Table26[[#This Row],[M2 Money Stock, Billions of Dollars, Weekly, Seasonally Adjusted]]-B2098)/B2098</f>
        <v>1.2016864666838574E-2</v>
      </c>
      <c r="D2099" s="54">
        <f>((1+Table26[[#This Row],[Weekly change]])^52)-1</f>
        <v>0.86107121070808357</v>
      </c>
      <c r="E2099" s="57">
        <f>(Table26[[#This Row],[M2 Money Stock, Billions of Dollars, Weekly, Seasonally Adjusted]]-B2047)/B2047</f>
        <v>0.25979412516298955</v>
      </c>
    </row>
    <row r="2100" spans="1:5" x14ac:dyDescent="0.2">
      <c r="A2100" s="55">
        <v>44179</v>
      </c>
      <c r="B2100" s="56">
        <v>19299.099999999999</v>
      </c>
      <c r="C2100" s="53">
        <f>(Table26[[#This Row],[M2 Money Stock, Billions of Dollars, Weekly, Seasonally Adjusted]]-B2099)/B2099</f>
        <v>3.7708175132368702E-3</v>
      </c>
      <c r="D2100" s="54">
        <f>((1+Table26[[#This Row],[Weekly change]])^52)-1</f>
        <v>0.21617871431624547</v>
      </c>
      <c r="E2100" s="57">
        <f>(Table26[[#This Row],[M2 Money Stock, Billions of Dollars, Weekly, Seasonally Adjusted]]-B2048)/B2048</f>
        <v>0.26005314668877832</v>
      </c>
    </row>
    <row r="2101" spans="1:5" x14ac:dyDescent="0.2">
      <c r="A2101" s="55">
        <v>44186</v>
      </c>
      <c r="B2101" s="56">
        <v>19196.900000000001</v>
      </c>
      <c r="C2101" s="53">
        <f>(Table26[[#This Row],[M2 Money Stock, Billions of Dollars, Weekly, Seasonally Adjusted]]-B2100)/B2100</f>
        <v>-5.2955837318837198E-3</v>
      </c>
      <c r="D2101" s="54">
        <f>((1+Table26[[#This Row],[Weekly change]])^52)-1</f>
        <v>-0.2412645110986863</v>
      </c>
      <c r="E2101" s="57">
        <f>(Table26[[#This Row],[M2 Money Stock, Billions of Dollars, Weekly, Seasonally Adjusted]]-B2049)/B2049</f>
        <v>0.25256262193252038</v>
      </c>
    </row>
    <row r="2102" spans="1:5" x14ac:dyDescent="0.2">
      <c r="A2102" s="55">
        <v>44193</v>
      </c>
      <c r="B2102" s="56">
        <v>19071.8</v>
      </c>
      <c r="C2102" s="53">
        <f>(Table26[[#This Row],[M2 Money Stock, Billions of Dollars, Weekly, Seasonally Adjusted]]-B2101)/B2101</f>
        <v>-6.5166771718351488E-3</v>
      </c>
      <c r="D2102" s="54">
        <f>((1+Table26[[#This Row],[Weekly change]])^52)-1</f>
        <v>-0.28821272090051564</v>
      </c>
      <c r="E2102" s="57">
        <f>(Table26[[#This Row],[M2 Money Stock, Billions of Dollars, Weekly, Seasonally Adjusted]]-B2050)/B2050</f>
        <v>0.24379141232326387</v>
      </c>
    </row>
    <row r="2103" spans="1:5" x14ac:dyDescent="0.2">
      <c r="A2103" s="55">
        <v>44200</v>
      </c>
      <c r="B2103" s="56">
        <v>19179.2</v>
      </c>
      <c r="C2103" s="53">
        <f>(Table26[[#This Row],[M2 Money Stock, Billions of Dollars, Weekly, Seasonally Adjusted]]-B2102)/B2102</f>
        <v>5.6313509999056967E-3</v>
      </c>
      <c r="D2103" s="54">
        <f>((1+Table26[[#This Row],[Weekly change]])^52)-1</f>
        <v>0.33911482782485947</v>
      </c>
      <c r="E2103" s="57">
        <f>(Table26[[#This Row],[M2 Money Stock, Billions of Dollars, Weekly, Seasonally Adjusted]]-B2051)/B2051</f>
        <v>0.25046128167847853</v>
      </c>
    </row>
  </sheetData>
  <pageMargins left="0.7" right="0.7" top="0.75" bottom="0.75" header="0.3" footer="0.3"/>
  <ignoredErrors>
    <ignoredError sqref="D8:D2103" calculatedColumn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39E82-F779-42EB-812F-31A1D11EE305}">
  <dimension ref="A1:C990"/>
  <sheetViews>
    <sheetView zoomScale="150" zoomScaleNormal="150" workbookViewId="0">
      <selection activeCell="F1007" sqref="F1007"/>
    </sheetView>
  </sheetViews>
  <sheetFormatPr baseColWidth="10" defaultColWidth="9.1640625" defaultRowHeight="15" x14ac:dyDescent="0.2"/>
  <cols>
    <col min="1" max="2" width="20.6640625" style="1" customWidth="1"/>
    <col min="3" max="3" width="13.6640625" style="1" customWidth="1"/>
    <col min="4" max="16384" width="9.1640625" style="1"/>
  </cols>
  <sheetData>
    <row r="1" spans="1:3" x14ac:dyDescent="0.2">
      <c r="A1" s="6" t="s">
        <v>38</v>
      </c>
    </row>
    <row r="2" spans="1:3" x14ac:dyDescent="0.2">
      <c r="A2" s="1" t="s">
        <v>41</v>
      </c>
      <c r="B2" s="1" t="s">
        <v>42</v>
      </c>
    </row>
    <row r="4" spans="1:3" x14ac:dyDescent="0.2">
      <c r="A4" s="1" t="s">
        <v>34</v>
      </c>
    </row>
    <row r="10" spans="1:3" ht="16" thickBot="1" x14ac:dyDescent="0.25">
      <c r="A10" s="1" t="s">
        <v>43</v>
      </c>
    </row>
    <row r="11" spans="1:3" ht="16" thickBot="1" x14ac:dyDescent="0.25">
      <c r="A11" s="67" t="s">
        <v>30</v>
      </c>
      <c r="B11" s="68" t="s">
        <v>41</v>
      </c>
      <c r="C11" s="69" t="s">
        <v>58</v>
      </c>
    </row>
    <row r="12" spans="1:3" x14ac:dyDescent="0.2">
      <c r="A12" s="65">
        <v>37608</v>
      </c>
      <c r="B12" s="66">
        <v>719542</v>
      </c>
      <c r="C12" s="66"/>
    </row>
    <row r="13" spans="1:3" x14ac:dyDescent="0.2">
      <c r="A13" s="65">
        <v>37615</v>
      </c>
      <c r="B13" s="66">
        <v>732059</v>
      </c>
      <c r="C13" s="66">
        <f>Table9[[#This Row],[WALCL]]-B12</f>
        <v>12517</v>
      </c>
    </row>
    <row r="14" spans="1:3" x14ac:dyDescent="0.2">
      <c r="A14" s="65">
        <v>37622</v>
      </c>
      <c r="B14" s="66">
        <v>730994</v>
      </c>
      <c r="C14" s="66">
        <f>Table9[[#This Row],[WALCL]]-B13</f>
        <v>-1065</v>
      </c>
    </row>
    <row r="15" spans="1:3" x14ac:dyDescent="0.2">
      <c r="A15" s="65">
        <v>37629</v>
      </c>
      <c r="B15" s="66">
        <v>723762</v>
      </c>
      <c r="C15" s="66">
        <f>Table9[[#This Row],[WALCL]]-B14</f>
        <v>-7232</v>
      </c>
    </row>
    <row r="16" spans="1:3" x14ac:dyDescent="0.2">
      <c r="A16" s="65">
        <v>37636</v>
      </c>
      <c r="B16" s="66">
        <v>720074</v>
      </c>
      <c r="C16" s="66">
        <f>Table9[[#This Row],[WALCL]]-B15</f>
        <v>-3688</v>
      </c>
    </row>
    <row r="17" spans="1:3" x14ac:dyDescent="0.2">
      <c r="A17" s="65">
        <v>37643</v>
      </c>
      <c r="B17" s="66">
        <v>735953</v>
      </c>
      <c r="C17" s="66">
        <f>Table9[[#This Row],[WALCL]]-B16</f>
        <v>15879</v>
      </c>
    </row>
    <row r="18" spans="1:3" x14ac:dyDescent="0.2">
      <c r="A18" s="65">
        <v>37650</v>
      </c>
      <c r="B18" s="66">
        <v>712809</v>
      </c>
      <c r="C18" s="66">
        <f>Table9[[#This Row],[WALCL]]-B17</f>
        <v>-23144</v>
      </c>
    </row>
    <row r="19" spans="1:3" x14ac:dyDescent="0.2">
      <c r="A19" s="65">
        <v>37657</v>
      </c>
      <c r="B19" s="66">
        <v>719643</v>
      </c>
      <c r="C19" s="66">
        <f>Table9[[#This Row],[WALCL]]-B18</f>
        <v>6834</v>
      </c>
    </row>
    <row r="20" spans="1:3" x14ac:dyDescent="0.2">
      <c r="A20" s="65">
        <v>37664</v>
      </c>
      <c r="B20" s="66">
        <v>713281</v>
      </c>
      <c r="C20" s="66">
        <f>Table9[[#This Row],[WALCL]]-B19</f>
        <v>-6362</v>
      </c>
    </row>
    <row r="21" spans="1:3" x14ac:dyDescent="0.2">
      <c r="A21" s="65">
        <v>37671</v>
      </c>
      <c r="B21" s="66">
        <v>730400</v>
      </c>
      <c r="C21" s="66">
        <f>Table9[[#This Row],[WALCL]]-B20</f>
        <v>17119</v>
      </c>
    </row>
    <row r="22" spans="1:3" x14ac:dyDescent="0.2">
      <c r="A22" s="65">
        <v>37678</v>
      </c>
      <c r="B22" s="66">
        <v>721980</v>
      </c>
      <c r="C22" s="66">
        <f>Table9[[#This Row],[WALCL]]-B21</f>
        <v>-8420</v>
      </c>
    </row>
    <row r="23" spans="1:3" x14ac:dyDescent="0.2">
      <c r="A23" s="65">
        <v>37685</v>
      </c>
      <c r="B23" s="66">
        <v>722649</v>
      </c>
      <c r="C23" s="66">
        <f>Table9[[#This Row],[WALCL]]-B22</f>
        <v>669</v>
      </c>
    </row>
    <row r="24" spans="1:3" x14ac:dyDescent="0.2">
      <c r="A24" s="65">
        <v>37692</v>
      </c>
      <c r="B24" s="66">
        <v>717014</v>
      </c>
      <c r="C24" s="66">
        <f>Table9[[#This Row],[WALCL]]-B23</f>
        <v>-5635</v>
      </c>
    </row>
    <row r="25" spans="1:3" x14ac:dyDescent="0.2">
      <c r="A25" s="65">
        <v>37699</v>
      </c>
      <c r="B25" s="66">
        <v>729923</v>
      </c>
      <c r="C25" s="66">
        <f>Table9[[#This Row],[WALCL]]-B24</f>
        <v>12909</v>
      </c>
    </row>
    <row r="26" spans="1:3" x14ac:dyDescent="0.2">
      <c r="A26" s="65">
        <v>37706</v>
      </c>
      <c r="B26" s="66">
        <v>725019</v>
      </c>
      <c r="C26" s="66">
        <f>Table9[[#This Row],[WALCL]]-B25</f>
        <v>-4904</v>
      </c>
    </row>
    <row r="27" spans="1:3" x14ac:dyDescent="0.2">
      <c r="A27" s="65">
        <v>37713</v>
      </c>
      <c r="B27" s="66">
        <v>732452</v>
      </c>
      <c r="C27" s="66">
        <f>Table9[[#This Row],[WALCL]]-B26</f>
        <v>7433</v>
      </c>
    </row>
    <row r="28" spans="1:3" x14ac:dyDescent="0.2">
      <c r="A28" s="65">
        <v>37720</v>
      </c>
      <c r="B28" s="66">
        <v>727826</v>
      </c>
      <c r="C28" s="66">
        <f>Table9[[#This Row],[WALCL]]-B27</f>
        <v>-4626</v>
      </c>
    </row>
    <row r="29" spans="1:3" x14ac:dyDescent="0.2">
      <c r="A29" s="65">
        <v>37727</v>
      </c>
      <c r="B29" s="66">
        <v>745838</v>
      </c>
      <c r="C29" s="66">
        <f>Table9[[#This Row],[WALCL]]-B28</f>
        <v>18012</v>
      </c>
    </row>
    <row r="30" spans="1:3" x14ac:dyDescent="0.2">
      <c r="A30" s="65">
        <v>37734</v>
      </c>
      <c r="B30" s="66">
        <v>732222</v>
      </c>
      <c r="C30" s="66">
        <f>Table9[[#This Row],[WALCL]]-B29</f>
        <v>-13616</v>
      </c>
    </row>
    <row r="31" spans="1:3" x14ac:dyDescent="0.2">
      <c r="A31" s="65">
        <v>37741</v>
      </c>
      <c r="B31" s="66">
        <v>746294</v>
      </c>
      <c r="C31" s="66">
        <f>Table9[[#This Row],[WALCL]]-B30</f>
        <v>14072</v>
      </c>
    </row>
    <row r="32" spans="1:3" x14ac:dyDescent="0.2">
      <c r="A32" s="65">
        <v>37748</v>
      </c>
      <c r="B32" s="66">
        <v>733466</v>
      </c>
      <c r="C32" s="66">
        <f>Table9[[#This Row],[WALCL]]-B31</f>
        <v>-12828</v>
      </c>
    </row>
    <row r="33" spans="1:3" x14ac:dyDescent="0.2">
      <c r="A33" s="65">
        <v>37755</v>
      </c>
      <c r="B33" s="66">
        <v>740371</v>
      </c>
      <c r="C33" s="66">
        <f>Table9[[#This Row],[WALCL]]-B32</f>
        <v>6905</v>
      </c>
    </row>
    <row r="34" spans="1:3" x14ac:dyDescent="0.2">
      <c r="A34" s="65">
        <v>37762</v>
      </c>
      <c r="B34" s="66">
        <v>734699</v>
      </c>
      <c r="C34" s="66">
        <f>Table9[[#This Row],[WALCL]]-B33</f>
        <v>-5672</v>
      </c>
    </row>
    <row r="35" spans="1:3" x14ac:dyDescent="0.2">
      <c r="A35" s="65">
        <v>37769</v>
      </c>
      <c r="B35" s="66">
        <v>744896</v>
      </c>
      <c r="C35" s="66">
        <f>Table9[[#This Row],[WALCL]]-B34</f>
        <v>10197</v>
      </c>
    </row>
    <row r="36" spans="1:3" x14ac:dyDescent="0.2">
      <c r="A36" s="65">
        <v>37776</v>
      </c>
      <c r="B36" s="66">
        <v>731667</v>
      </c>
      <c r="C36" s="66">
        <f>Table9[[#This Row],[WALCL]]-B35</f>
        <v>-13229</v>
      </c>
    </row>
    <row r="37" spans="1:3" x14ac:dyDescent="0.2">
      <c r="A37" s="65">
        <v>37783</v>
      </c>
      <c r="B37" s="66">
        <v>743236</v>
      </c>
      <c r="C37" s="66">
        <f>Table9[[#This Row],[WALCL]]-B36</f>
        <v>11569</v>
      </c>
    </row>
    <row r="38" spans="1:3" x14ac:dyDescent="0.2">
      <c r="A38" s="65">
        <v>37790</v>
      </c>
      <c r="B38" s="66">
        <v>735926</v>
      </c>
      <c r="C38" s="66">
        <f>Table9[[#This Row],[WALCL]]-B37</f>
        <v>-7310</v>
      </c>
    </row>
    <row r="39" spans="1:3" x14ac:dyDescent="0.2">
      <c r="A39" s="65">
        <v>37797</v>
      </c>
      <c r="B39" s="66">
        <v>744018</v>
      </c>
      <c r="C39" s="66">
        <f>Table9[[#This Row],[WALCL]]-B38</f>
        <v>8092</v>
      </c>
    </row>
    <row r="40" spans="1:3" x14ac:dyDescent="0.2">
      <c r="A40" s="65">
        <v>37804</v>
      </c>
      <c r="B40" s="66">
        <v>740126</v>
      </c>
      <c r="C40" s="66">
        <f>Table9[[#This Row],[WALCL]]-B39</f>
        <v>-3892</v>
      </c>
    </row>
    <row r="41" spans="1:3" x14ac:dyDescent="0.2">
      <c r="A41" s="65">
        <v>37811</v>
      </c>
      <c r="B41" s="66">
        <v>744430</v>
      </c>
      <c r="C41" s="66">
        <f>Table9[[#This Row],[WALCL]]-B40</f>
        <v>4304</v>
      </c>
    </row>
    <row r="42" spans="1:3" x14ac:dyDescent="0.2">
      <c r="A42" s="65">
        <v>37818</v>
      </c>
      <c r="B42" s="66">
        <v>737765</v>
      </c>
      <c r="C42" s="66">
        <f>Table9[[#This Row],[WALCL]]-B41</f>
        <v>-6665</v>
      </c>
    </row>
    <row r="43" spans="1:3" x14ac:dyDescent="0.2">
      <c r="A43" s="65">
        <v>37825</v>
      </c>
      <c r="B43" s="66">
        <v>745665</v>
      </c>
      <c r="C43" s="66">
        <f>Table9[[#This Row],[WALCL]]-B42</f>
        <v>7900</v>
      </c>
    </row>
    <row r="44" spans="1:3" x14ac:dyDescent="0.2">
      <c r="A44" s="65">
        <v>37832</v>
      </c>
      <c r="B44" s="66">
        <v>740295</v>
      </c>
      <c r="C44" s="66">
        <f>Table9[[#This Row],[WALCL]]-B43</f>
        <v>-5370</v>
      </c>
    </row>
    <row r="45" spans="1:3" x14ac:dyDescent="0.2">
      <c r="A45" s="65">
        <v>37839</v>
      </c>
      <c r="B45" s="66">
        <v>734018</v>
      </c>
      <c r="C45" s="66">
        <f>Table9[[#This Row],[WALCL]]-B44</f>
        <v>-6277</v>
      </c>
    </row>
    <row r="46" spans="1:3" x14ac:dyDescent="0.2">
      <c r="A46" s="65">
        <v>37846</v>
      </c>
      <c r="B46" s="66">
        <v>735386</v>
      </c>
      <c r="C46" s="66">
        <f>Table9[[#This Row],[WALCL]]-B45</f>
        <v>1368</v>
      </c>
    </row>
    <row r="47" spans="1:3" x14ac:dyDescent="0.2">
      <c r="A47" s="65">
        <v>37853</v>
      </c>
      <c r="B47" s="66">
        <v>750825</v>
      </c>
      <c r="C47" s="66">
        <f>Table9[[#This Row],[WALCL]]-B46</f>
        <v>15439</v>
      </c>
    </row>
    <row r="48" spans="1:3" x14ac:dyDescent="0.2">
      <c r="A48" s="65">
        <v>37860</v>
      </c>
      <c r="B48" s="66">
        <v>740637</v>
      </c>
      <c r="C48" s="66">
        <f>Table9[[#This Row],[WALCL]]-B47</f>
        <v>-10188</v>
      </c>
    </row>
    <row r="49" spans="1:3" x14ac:dyDescent="0.2">
      <c r="A49" s="65">
        <v>37867</v>
      </c>
      <c r="B49" s="66">
        <v>750461</v>
      </c>
      <c r="C49" s="66">
        <f>Table9[[#This Row],[WALCL]]-B48</f>
        <v>9824</v>
      </c>
    </row>
    <row r="50" spans="1:3" x14ac:dyDescent="0.2">
      <c r="A50" s="65">
        <v>37874</v>
      </c>
      <c r="B50" s="66">
        <v>737234</v>
      </c>
      <c r="C50" s="66">
        <f>Table9[[#This Row],[WALCL]]-B49</f>
        <v>-13227</v>
      </c>
    </row>
    <row r="51" spans="1:3" x14ac:dyDescent="0.2">
      <c r="A51" s="65">
        <v>37881</v>
      </c>
      <c r="B51" s="66">
        <v>743939</v>
      </c>
      <c r="C51" s="66">
        <f>Table9[[#This Row],[WALCL]]-B50</f>
        <v>6705</v>
      </c>
    </row>
    <row r="52" spans="1:3" x14ac:dyDescent="0.2">
      <c r="A52" s="65">
        <v>37888</v>
      </c>
      <c r="B52" s="66">
        <v>741193</v>
      </c>
      <c r="C52" s="66">
        <f>Table9[[#This Row],[WALCL]]-B51</f>
        <v>-2746</v>
      </c>
    </row>
    <row r="53" spans="1:3" x14ac:dyDescent="0.2">
      <c r="A53" s="65">
        <v>37895</v>
      </c>
      <c r="B53" s="66">
        <v>753155</v>
      </c>
      <c r="C53" s="66">
        <f>Table9[[#This Row],[WALCL]]-B52</f>
        <v>11962</v>
      </c>
    </row>
    <row r="54" spans="1:3" x14ac:dyDescent="0.2">
      <c r="A54" s="65">
        <v>37902</v>
      </c>
      <c r="B54" s="66">
        <v>737108</v>
      </c>
      <c r="C54" s="66">
        <f>Table9[[#This Row],[WALCL]]-B53</f>
        <v>-16047</v>
      </c>
    </row>
    <row r="55" spans="1:3" x14ac:dyDescent="0.2">
      <c r="A55" s="65">
        <v>37909</v>
      </c>
      <c r="B55" s="66">
        <v>754229</v>
      </c>
      <c r="C55" s="66">
        <f>Table9[[#This Row],[WALCL]]-B54</f>
        <v>17121</v>
      </c>
    </row>
    <row r="56" spans="1:3" x14ac:dyDescent="0.2">
      <c r="A56" s="65">
        <v>37916</v>
      </c>
      <c r="B56" s="66">
        <v>743578</v>
      </c>
      <c r="C56" s="66">
        <f>Table9[[#This Row],[WALCL]]-B55</f>
        <v>-10651</v>
      </c>
    </row>
    <row r="57" spans="1:3" x14ac:dyDescent="0.2">
      <c r="A57" s="65">
        <v>37923</v>
      </c>
      <c r="B57" s="66">
        <v>747272</v>
      </c>
      <c r="C57" s="66">
        <f>Table9[[#This Row],[WALCL]]-B56</f>
        <v>3694</v>
      </c>
    </row>
    <row r="58" spans="1:3" x14ac:dyDescent="0.2">
      <c r="A58" s="65">
        <v>37930</v>
      </c>
      <c r="B58" s="66">
        <v>744116</v>
      </c>
      <c r="C58" s="66">
        <f>Table9[[#This Row],[WALCL]]-B57</f>
        <v>-3156</v>
      </c>
    </row>
    <row r="59" spans="1:3" x14ac:dyDescent="0.2">
      <c r="A59" s="65">
        <v>37937</v>
      </c>
      <c r="B59" s="66">
        <v>745604</v>
      </c>
      <c r="C59" s="66">
        <f>Table9[[#This Row],[WALCL]]-B58</f>
        <v>1488</v>
      </c>
    </row>
    <row r="60" spans="1:3" x14ac:dyDescent="0.2">
      <c r="A60" s="65">
        <v>37944</v>
      </c>
      <c r="B60" s="66">
        <v>744521</v>
      </c>
      <c r="C60" s="66">
        <f>Table9[[#This Row],[WALCL]]-B59</f>
        <v>-1083</v>
      </c>
    </row>
    <row r="61" spans="1:3" x14ac:dyDescent="0.2">
      <c r="A61" s="65">
        <v>37951</v>
      </c>
      <c r="B61" s="66">
        <v>756964</v>
      </c>
      <c r="C61" s="66">
        <f>Table9[[#This Row],[WALCL]]-B60</f>
        <v>12443</v>
      </c>
    </row>
    <row r="62" spans="1:3" x14ac:dyDescent="0.2">
      <c r="A62" s="65">
        <v>37958</v>
      </c>
      <c r="B62" s="66">
        <v>749981</v>
      </c>
      <c r="C62" s="66">
        <f>Table9[[#This Row],[WALCL]]-B61</f>
        <v>-6983</v>
      </c>
    </row>
    <row r="63" spans="1:3" x14ac:dyDescent="0.2">
      <c r="A63" s="65">
        <v>37965</v>
      </c>
      <c r="B63" s="66">
        <v>756585</v>
      </c>
      <c r="C63" s="66">
        <f>Table9[[#This Row],[WALCL]]-B62</f>
        <v>6604</v>
      </c>
    </row>
    <row r="64" spans="1:3" x14ac:dyDescent="0.2">
      <c r="A64" s="65">
        <v>37972</v>
      </c>
      <c r="B64" s="66">
        <v>753919</v>
      </c>
      <c r="C64" s="66">
        <f>Table9[[#This Row],[WALCL]]-B63</f>
        <v>-2666</v>
      </c>
    </row>
    <row r="65" spans="1:3" x14ac:dyDescent="0.2">
      <c r="A65" s="65">
        <v>37979</v>
      </c>
      <c r="B65" s="66">
        <v>767012</v>
      </c>
      <c r="C65" s="66">
        <f>Table9[[#This Row],[WALCL]]-B64</f>
        <v>13093</v>
      </c>
    </row>
    <row r="66" spans="1:3" x14ac:dyDescent="0.2">
      <c r="A66" s="65">
        <v>37986</v>
      </c>
      <c r="B66" s="66">
        <v>771551</v>
      </c>
      <c r="C66" s="66">
        <f>Table9[[#This Row],[WALCL]]-B65</f>
        <v>4539</v>
      </c>
    </row>
    <row r="67" spans="1:3" x14ac:dyDescent="0.2">
      <c r="A67" s="65">
        <v>37993</v>
      </c>
      <c r="B67" s="66">
        <v>755829</v>
      </c>
      <c r="C67" s="66">
        <f>Table9[[#This Row],[WALCL]]-B66</f>
        <v>-15722</v>
      </c>
    </row>
    <row r="68" spans="1:3" x14ac:dyDescent="0.2">
      <c r="A68" s="65">
        <v>38000</v>
      </c>
      <c r="B68" s="66">
        <v>752812</v>
      </c>
      <c r="C68" s="66">
        <f>Table9[[#This Row],[WALCL]]-B67</f>
        <v>-3017</v>
      </c>
    </row>
    <row r="69" spans="1:3" x14ac:dyDescent="0.2">
      <c r="A69" s="65">
        <v>38007</v>
      </c>
      <c r="B69" s="66">
        <v>775833</v>
      </c>
      <c r="C69" s="66">
        <f>Table9[[#This Row],[WALCL]]-B68</f>
        <v>23021</v>
      </c>
    </row>
    <row r="70" spans="1:3" x14ac:dyDescent="0.2">
      <c r="A70" s="65">
        <v>38014</v>
      </c>
      <c r="B70" s="66">
        <v>755279</v>
      </c>
      <c r="C70" s="66">
        <f>Table9[[#This Row],[WALCL]]-B69</f>
        <v>-20554</v>
      </c>
    </row>
    <row r="71" spans="1:3" x14ac:dyDescent="0.2">
      <c r="A71" s="65">
        <v>38021</v>
      </c>
      <c r="B71" s="66">
        <v>754153</v>
      </c>
      <c r="C71" s="66">
        <f>Table9[[#This Row],[WALCL]]-B70</f>
        <v>-1126</v>
      </c>
    </row>
    <row r="72" spans="1:3" x14ac:dyDescent="0.2">
      <c r="A72" s="65">
        <v>38028</v>
      </c>
      <c r="B72" s="66">
        <v>750999</v>
      </c>
      <c r="C72" s="66">
        <f>Table9[[#This Row],[WALCL]]-B71</f>
        <v>-3154</v>
      </c>
    </row>
    <row r="73" spans="1:3" x14ac:dyDescent="0.2">
      <c r="A73" s="65">
        <v>38035</v>
      </c>
      <c r="B73" s="66">
        <v>758759</v>
      </c>
      <c r="C73" s="66">
        <f>Table9[[#This Row],[WALCL]]-B72</f>
        <v>7760</v>
      </c>
    </row>
    <row r="74" spans="1:3" x14ac:dyDescent="0.2">
      <c r="A74" s="65">
        <v>38042</v>
      </c>
      <c r="B74" s="66">
        <v>750666</v>
      </c>
      <c r="C74" s="66">
        <f>Table9[[#This Row],[WALCL]]-B73</f>
        <v>-8093</v>
      </c>
    </row>
    <row r="75" spans="1:3" x14ac:dyDescent="0.2">
      <c r="A75" s="65">
        <v>38049</v>
      </c>
      <c r="B75" s="66">
        <v>754867</v>
      </c>
      <c r="C75" s="66">
        <f>Table9[[#This Row],[WALCL]]-B74</f>
        <v>4201</v>
      </c>
    </row>
    <row r="76" spans="1:3" x14ac:dyDescent="0.2">
      <c r="A76" s="65">
        <v>38056</v>
      </c>
      <c r="B76" s="66">
        <v>749950</v>
      </c>
      <c r="C76" s="66">
        <f>Table9[[#This Row],[WALCL]]-B75</f>
        <v>-4917</v>
      </c>
    </row>
    <row r="77" spans="1:3" x14ac:dyDescent="0.2">
      <c r="A77" s="65">
        <v>38063</v>
      </c>
      <c r="B77" s="66">
        <v>760638</v>
      </c>
      <c r="C77" s="66">
        <f>Table9[[#This Row],[WALCL]]-B76</f>
        <v>10688</v>
      </c>
    </row>
    <row r="78" spans="1:3" x14ac:dyDescent="0.2">
      <c r="A78" s="65">
        <v>38070</v>
      </c>
      <c r="B78" s="66">
        <v>751510</v>
      </c>
      <c r="C78" s="66">
        <f>Table9[[#This Row],[WALCL]]-B77</f>
        <v>-9128</v>
      </c>
    </row>
    <row r="79" spans="1:3" x14ac:dyDescent="0.2">
      <c r="A79" s="65">
        <v>38077</v>
      </c>
      <c r="B79" s="66">
        <v>760725</v>
      </c>
      <c r="C79" s="66">
        <f>Table9[[#This Row],[WALCL]]-B78</f>
        <v>9215</v>
      </c>
    </row>
    <row r="80" spans="1:3" x14ac:dyDescent="0.2">
      <c r="A80" s="65">
        <v>38084</v>
      </c>
      <c r="B80" s="66">
        <v>754083</v>
      </c>
      <c r="C80" s="66">
        <f>Table9[[#This Row],[WALCL]]-B79</f>
        <v>-6642</v>
      </c>
    </row>
    <row r="81" spans="1:3" x14ac:dyDescent="0.2">
      <c r="A81" s="65">
        <v>38091</v>
      </c>
      <c r="B81" s="66">
        <v>763734</v>
      </c>
      <c r="C81" s="66">
        <f>Table9[[#This Row],[WALCL]]-B80</f>
        <v>9651</v>
      </c>
    </row>
    <row r="82" spans="1:3" x14ac:dyDescent="0.2">
      <c r="A82" s="65">
        <v>38098</v>
      </c>
      <c r="B82" s="66">
        <v>757984</v>
      </c>
      <c r="C82" s="66">
        <f>Table9[[#This Row],[WALCL]]-B81</f>
        <v>-5750</v>
      </c>
    </row>
    <row r="83" spans="1:3" x14ac:dyDescent="0.2">
      <c r="A83" s="65">
        <v>38105</v>
      </c>
      <c r="B83" s="66">
        <v>772927</v>
      </c>
      <c r="C83" s="66">
        <f>Table9[[#This Row],[WALCL]]-B82</f>
        <v>14943</v>
      </c>
    </row>
    <row r="84" spans="1:3" x14ac:dyDescent="0.2">
      <c r="A84" s="65">
        <v>38112</v>
      </c>
      <c r="B84" s="66">
        <v>758838</v>
      </c>
      <c r="C84" s="66">
        <f>Table9[[#This Row],[WALCL]]-B83</f>
        <v>-14089</v>
      </c>
    </row>
    <row r="85" spans="1:3" x14ac:dyDescent="0.2">
      <c r="A85" s="65">
        <v>38119</v>
      </c>
      <c r="B85" s="66">
        <v>764835</v>
      </c>
      <c r="C85" s="66">
        <f>Table9[[#This Row],[WALCL]]-B84</f>
        <v>5997</v>
      </c>
    </row>
    <row r="86" spans="1:3" x14ac:dyDescent="0.2">
      <c r="A86" s="65">
        <v>38126</v>
      </c>
      <c r="B86" s="66">
        <v>756874</v>
      </c>
      <c r="C86" s="66">
        <f>Table9[[#This Row],[WALCL]]-B85</f>
        <v>-7961</v>
      </c>
    </row>
    <row r="87" spans="1:3" x14ac:dyDescent="0.2">
      <c r="A87" s="65">
        <v>38133</v>
      </c>
      <c r="B87" s="66">
        <v>771108</v>
      </c>
      <c r="C87" s="66">
        <f>Table9[[#This Row],[WALCL]]-B86</f>
        <v>14234</v>
      </c>
    </row>
    <row r="88" spans="1:3" x14ac:dyDescent="0.2">
      <c r="A88" s="65">
        <v>38140</v>
      </c>
      <c r="B88" s="66">
        <v>764090</v>
      </c>
      <c r="C88" s="66">
        <f>Table9[[#This Row],[WALCL]]-B87</f>
        <v>-7018</v>
      </c>
    </row>
    <row r="89" spans="1:3" x14ac:dyDescent="0.2">
      <c r="A89" s="65">
        <v>38147</v>
      </c>
      <c r="B89" s="66">
        <v>772187</v>
      </c>
      <c r="C89" s="66">
        <f>Table9[[#This Row],[WALCL]]-B88</f>
        <v>8097</v>
      </c>
    </row>
    <row r="90" spans="1:3" x14ac:dyDescent="0.2">
      <c r="A90" s="65">
        <v>38154</v>
      </c>
      <c r="B90" s="66">
        <v>761834</v>
      </c>
      <c r="C90" s="66">
        <f>Table9[[#This Row],[WALCL]]-B89</f>
        <v>-10353</v>
      </c>
    </row>
    <row r="91" spans="1:3" x14ac:dyDescent="0.2">
      <c r="A91" s="65">
        <v>38161</v>
      </c>
      <c r="B91" s="66">
        <v>775261</v>
      </c>
      <c r="C91" s="66">
        <f>Table9[[#This Row],[WALCL]]-B90</f>
        <v>13427</v>
      </c>
    </row>
    <row r="92" spans="1:3" x14ac:dyDescent="0.2">
      <c r="A92" s="65">
        <v>38168</v>
      </c>
      <c r="B92" s="66">
        <v>779578</v>
      </c>
      <c r="C92" s="66">
        <f>Table9[[#This Row],[WALCL]]-B91</f>
        <v>4317</v>
      </c>
    </row>
    <row r="93" spans="1:3" x14ac:dyDescent="0.2">
      <c r="A93" s="65">
        <v>38175</v>
      </c>
      <c r="B93" s="66">
        <v>778163</v>
      </c>
      <c r="C93" s="66">
        <f>Table9[[#This Row],[WALCL]]-B92</f>
        <v>-1415</v>
      </c>
    </row>
    <row r="94" spans="1:3" x14ac:dyDescent="0.2">
      <c r="A94" s="65">
        <v>38182</v>
      </c>
      <c r="B94" s="66">
        <v>775536</v>
      </c>
      <c r="C94" s="66">
        <f>Table9[[#This Row],[WALCL]]-B93</f>
        <v>-2627</v>
      </c>
    </row>
    <row r="95" spans="1:3" x14ac:dyDescent="0.2">
      <c r="A95" s="65">
        <v>38189</v>
      </c>
      <c r="B95" s="66">
        <v>776764</v>
      </c>
      <c r="C95" s="66">
        <f>Table9[[#This Row],[WALCL]]-B94</f>
        <v>1228</v>
      </c>
    </row>
    <row r="96" spans="1:3" x14ac:dyDescent="0.2">
      <c r="A96" s="65">
        <v>38196</v>
      </c>
      <c r="B96" s="66">
        <v>773916</v>
      </c>
      <c r="C96" s="66">
        <f>Table9[[#This Row],[WALCL]]-B95</f>
        <v>-2848</v>
      </c>
    </row>
    <row r="97" spans="1:3" x14ac:dyDescent="0.2">
      <c r="A97" s="65">
        <v>38203</v>
      </c>
      <c r="B97" s="66">
        <v>772085</v>
      </c>
      <c r="C97" s="66">
        <f>Table9[[#This Row],[WALCL]]-B96</f>
        <v>-1831</v>
      </c>
    </row>
    <row r="98" spans="1:3" x14ac:dyDescent="0.2">
      <c r="A98" s="65">
        <v>38210</v>
      </c>
      <c r="B98" s="66">
        <v>769265</v>
      </c>
      <c r="C98" s="66">
        <f>Table9[[#This Row],[WALCL]]-B97</f>
        <v>-2820</v>
      </c>
    </row>
    <row r="99" spans="1:3" x14ac:dyDescent="0.2">
      <c r="A99" s="65">
        <v>38217</v>
      </c>
      <c r="B99" s="66">
        <v>767595</v>
      </c>
      <c r="C99" s="66">
        <f>Table9[[#This Row],[WALCL]]-B98</f>
        <v>-1670</v>
      </c>
    </row>
    <row r="100" spans="1:3" x14ac:dyDescent="0.2">
      <c r="A100" s="65">
        <v>38224</v>
      </c>
      <c r="B100" s="66">
        <v>775437</v>
      </c>
      <c r="C100" s="66">
        <f>Table9[[#This Row],[WALCL]]-B99</f>
        <v>7842</v>
      </c>
    </row>
    <row r="101" spans="1:3" x14ac:dyDescent="0.2">
      <c r="A101" s="65">
        <v>38231</v>
      </c>
      <c r="B101" s="66">
        <v>785273</v>
      </c>
      <c r="C101" s="66">
        <f>Table9[[#This Row],[WALCL]]-B100</f>
        <v>9836</v>
      </c>
    </row>
    <row r="102" spans="1:3" x14ac:dyDescent="0.2">
      <c r="A102" s="65">
        <v>38238</v>
      </c>
      <c r="B102" s="66">
        <v>788602</v>
      </c>
      <c r="C102" s="66">
        <f>Table9[[#This Row],[WALCL]]-B101</f>
        <v>3329</v>
      </c>
    </row>
    <row r="103" spans="1:3" x14ac:dyDescent="0.2">
      <c r="A103" s="65">
        <v>38245</v>
      </c>
      <c r="B103" s="66">
        <v>789128</v>
      </c>
      <c r="C103" s="66">
        <f>Table9[[#This Row],[WALCL]]-B102</f>
        <v>526</v>
      </c>
    </row>
    <row r="104" spans="1:3" x14ac:dyDescent="0.2">
      <c r="A104" s="65">
        <v>38252</v>
      </c>
      <c r="B104" s="66">
        <v>782124</v>
      </c>
      <c r="C104" s="66">
        <f>Table9[[#This Row],[WALCL]]-B103</f>
        <v>-7004</v>
      </c>
    </row>
    <row r="105" spans="1:3" x14ac:dyDescent="0.2">
      <c r="A105" s="65">
        <v>38259</v>
      </c>
      <c r="B105" s="66">
        <v>786330</v>
      </c>
      <c r="C105" s="66">
        <f>Table9[[#This Row],[WALCL]]-B104</f>
        <v>4206</v>
      </c>
    </row>
    <row r="106" spans="1:3" x14ac:dyDescent="0.2">
      <c r="A106" s="65">
        <v>38266</v>
      </c>
      <c r="B106" s="66">
        <v>781777</v>
      </c>
      <c r="C106" s="66">
        <f>Table9[[#This Row],[WALCL]]-B105</f>
        <v>-4553</v>
      </c>
    </row>
    <row r="107" spans="1:3" x14ac:dyDescent="0.2">
      <c r="A107" s="65">
        <v>38273</v>
      </c>
      <c r="B107" s="66">
        <v>795483</v>
      </c>
      <c r="C107" s="66">
        <f>Table9[[#This Row],[WALCL]]-B106</f>
        <v>13706</v>
      </c>
    </row>
    <row r="108" spans="1:3" x14ac:dyDescent="0.2">
      <c r="A108" s="65">
        <v>38280</v>
      </c>
      <c r="B108" s="66">
        <v>784954</v>
      </c>
      <c r="C108" s="66">
        <f>Table9[[#This Row],[WALCL]]-B107</f>
        <v>-10529</v>
      </c>
    </row>
    <row r="109" spans="1:3" x14ac:dyDescent="0.2">
      <c r="A109" s="65">
        <v>38287</v>
      </c>
      <c r="B109" s="66">
        <v>791336</v>
      </c>
      <c r="C109" s="66">
        <f>Table9[[#This Row],[WALCL]]-B108</f>
        <v>6382</v>
      </c>
    </row>
    <row r="110" spans="1:3" x14ac:dyDescent="0.2">
      <c r="A110" s="65">
        <v>38294</v>
      </c>
      <c r="B110" s="66">
        <v>790552</v>
      </c>
      <c r="C110" s="66">
        <f>Table9[[#This Row],[WALCL]]-B109</f>
        <v>-784</v>
      </c>
    </row>
    <row r="111" spans="1:3" x14ac:dyDescent="0.2">
      <c r="A111" s="65">
        <v>38301</v>
      </c>
      <c r="B111" s="66">
        <v>800473</v>
      </c>
      <c r="C111" s="66">
        <f>Table9[[#This Row],[WALCL]]-B110</f>
        <v>9921</v>
      </c>
    </row>
    <row r="112" spans="1:3" x14ac:dyDescent="0.2">
      <c r="A112" s="65">
        <v>38308</v>
      </c>
      <c r="B112" s="66">
        <v>794090</v>
      </c>
      <c r="C112" s="66">
        <f>Table9[[#This Row],[WALCL]]-B111</f>
        <v>-6383</v>
      </c>
    </row>
    <row r="113" spans="1:3" x14ac:dyDescent="0.2">
      <c r="A113" s="65">
        <v>38315</v>
      </c>
      <c r="B113" s="66">
        <v>809956</v>
      </c>
      <c r="C113" s="66">
        <f>Table9[[#This Row],[WALCL]]-B112</f>
        <v>15866</v>
      </c>
    </row>
    <row r="114" spans="1:3" x14ac:dyDescent="0.2">
      <c r="A114" s="65">
        <v>38322</v>
      </c>
      <c r="B114" s="66">
        <v>807063</v>
      </c>
      <c r="C114" s="66">
        <f>Table9[[#This Row],[WALCL]]-B113</f>
        <v>-2893</v>
      </c>
    </row>
    <row r="115" spans="1:3" x14ac:dyDescent="0.2">
      <c r="A115" s="65">
        <v>38329</v>
      </c>
      <c r="B115" s="66">
        <v>808495</v>
      </c>
      <c r="C115" s="66">
        <f>Table9[[#This Row],[WALCL]]-B114</f>
        <v>1432</v>
      </c>
    </row>
    <row r="116" spans="1:3" x14ac:dyDescent="0.2">
      <c r="A116" s="65">
        <v>38336</v>
      </c>
      <c r="B116" s="66">
        <v>807028</v>
      </c>
      <c r="C116" s="66">
        <f>Table9[[#This Row],[WALCL]]-B115</f>
        <v>-1467</v>
      </c>
    </row>
    <row r="117" spans="1:3" x14ac:dyDescent="0.2">
      <c r="A117" s="65">
        <v>38343</v>
      </c>
      <c r="B117" s="66">
        <v>811333</v>
      </c>
      <c r="C117" s="66">
        <f>Table9[[#This Row],[WALCL]]-B116</f>
        <v>4305</v>
      </c>
    </row>
    <row r="118" spans="1:3" x14ac:dyDescent="0.2">
      <c r="A118" s="65">
        <v>38350</v>
      </c>
      <c r="B118" s="66">
        <v>810944</v>
      </c>
      <c r="C118" s="66">
        <f>Table9[[#This Row],[WALCL]]-B117</f>
        <v>-389</v>
      </c>
    </row>
    <row r="119" spans="1:3" x14ac:dyDescent="0.2">
      <c r="A119" s="65">
        <v>38357</v>
      </c>
      <c r="B119" s="66">
        <v>815702</v>
      </c>
      <c r="C119" s="66">
        <f>Table9[[#This Row],[WALCL]]-B118</f>
        <v>4758</v>
      </c>
    </row>
    <row r="120" spans="1:3" x14ac:dyDescent="0.2">
      <c r="A120" s="65">
        <v>38364</v>
      </c>
      <c r="B120" s="66">
        <v>798455</v>
      </c>
      <c r="C120" s="66">
        <f>Table9[[#This Row],[WALCL]]-B119</f>
        <v>-17247</v>
      </c>
    </row>
    <row r="121" spans="1:3" x14ac:dyDescent="0.2">
      <c r="A121" s="65">
        <v>38371</v>
      </c>
      <c r="B121" s="66">
        <v>806960</v>
      </c>
      <c r="C121" s="66">
        <f>Table9[[#This Row],[WALCL]]-B120</f>
        <v>8505</v>
      </c>
    </row>
    <row r="122" spans="1:3" x14ac:dyDescent="0.2">
      <c r="A122" s="65">
        <v>38378</v>
      </c>
      <c r="B122" s="66">
        <v>807262</v>
      </c>
      <c r="C122" s="66">
        <f>Table9[[#This Row],[WALCL]]-B121</f>
        <v>302</v>
      </c>
    </row>
    <row r="123" spans="1:3" x14ac:dyDescent="0.2">
      <c r="A123" s="65">
        <v>38385</v>
      </c>
      <c r="B123" s="66">
        <v>804746</v>
      </c>
      <c r="C123" s="66">
        <f>Table9[[#This Row],[WALCL]]-B122</f>
        <v>-2516</v>
      </c>
    </row>
    <row r="124" spans="1:3" x14ac:dyDescent="0.2">
      <c r="A124" s="65">
        <v>38392</v>
      </c>
      <c r="B124" s="66">
        <v>797299</v>
      </c>
      <c r="C124" s="66">
        <f>Table9[[#This Row],[WALCL]]-B123</f>
        <v>-7447</v>
      </c>
    </row>
    <row r="125" spans="1:3" x14ac:dyDescent="0.2">
      <c r="A125" s="65">
        <v>38399</v>
      </c>
      <c r="B125" s="66">
        <v>795606</v>
      </c>
      <c r="C125" s="66">
        <f>Table9[[#This Row],[WALCL]]-B124</f>
        <v>-1693</v>
      </c>
    </row>
    <row r="126" spans="1:3" x14ac:dyDescent="0.2">
      <c r="A126" s="65">
        <v>38406</v>
      </c>
      <c r="B126" s="66">
        <v>804576</v>
      </c>
      <c r="C126" s="66">
        <f>Table9[[#This Row],[WALCL]]-B125</f>
        <v>8970</v>
      </c>
    </row>
    <row r="127" spans="1:3" x14ac:dyDescent="0.2">
      <c r="A127" s="65">
        <v>38413</v>
      </c>
      <c r="B127" s="66">
        <v>801252</v>
      </c>
      <c r="C127" s="66">
        <f>Table9[[#This Row],[WALCL]]-B126</f>
        <v>-3324</v>
      </c>
    </row>
    <row r="128" spans="1:3" x14ac:dyDescent="0.2">
      <c r="A128" s="65">
        <v>38420</v>
      </c>
      <c r="B128" s="66">
        <v>799250</v>
      </c>
      <c r="C128" s="66">
        <f>Table9[[#This Row],[WALCL]]-B127</f>
        <v>-2002</v>
      </c>
    </row>
    <row r="129" spans="1:3" x14ac:dyDescent="0.2">
      <c r="A129" s="65">
        <v>38427</v>
      </c>
      <c r="B129" s="66">
        <v>807211</v>
      </c>
      <c r="C129" s="66">
        <f>Table9[[#This Row],[WALCL]]-B128</f>
        <v>7961</v>
      </c>
    </row>
    <row r="130" spans="1:3" x14ac:dyDescent="0.2">
      <c r="A130" s="65">
        <v>38434</v>
      </c>
      <c r="B130" s="66">
        <v>797094</v>
      </c>
      <c r="C130" s="66">
        <f>Table9[[#This Row],[WALCL]]-B129</f>
        <v>-10117</v>
      </c>
    </row>
    <row r="131" spans="1:3" x14ac:dyDescent="0.2">
      <c r="A131" s="65">
        <v>38441</v>
      </c>
      <c r="B131" s="66">
        <v>807551</v>
      </c>
      <c r="C131" s="66">
        <f>Table9[[#This Row],[WALCL]]-B130</f>
        <v>10457</v>
      </c>
    </row>
    <row r="132" spans="1:3" x14ac:dyDescent="0.2">
      <c r="A132" s="65">
        <v>38448</v>
      </c>
      <c r="B132" s="66">
        <v>797327</v>
      </c>
      <c r="C132" s="66">
        <f>Table9[[#This Row],[WALCL]]-B131</f>
        <v>-10224</v>
      </c>
    </row>
    <row r="133" spans="1:3" x14ac:dyDescent="0.2">
      <c r="A133" s="65">
        <v>38455</v>
      </c>
      <c r="B133" s="66">
        <v>805707</v>
      </c>
      <c r="C133" s="66">
        <f>Table9[[#This Row],[WALCL]]-B132</f>
        <v>8380</v>
      </c>
    </row>
    <row r="134" spans="1:3" x14ac:dyDescent="0.2">
      <c r="A134" s="65">
        <v>38462</v>
      </c>
      <c r="B134" s="66">
        <v>801793</v>
      </c>
      <c r="C134" s="66">
        <f>Table9[[#This Row],[WALCL]]-B133</f>
        <v>-3914</v>
      </c>
    </row>
    <row r="135" spans="1:3" x14ac:dyDescent="0.2">
      <c r="A135" s="65">
        <v>38469</v>
      </c>
      <c r="B135" s="66">
        <v>809797</v>
      </c>
      <c r="C135" s="66">
        <f>Table9[[#This Row],[WALCL]]-B134</f>
        <v>8004</v>
      </c>
    </row>
    <row r="136" spans="1:3" x14ac:dyDescent="0.2">
      <c r="A136" s="65">
        <v>38476</v>
      </c>
      <c r="B136" s="66">
        <v>802412</v>
      </c>
      <c r="C136" s="66">
        <f>Table9[[#This Row],[WALCL]]-B135</f>
        <v>-7385</v>
      </c>
    </row>
    <row r="137" spans="1:3" x14ac:dyDescent="0.2">
      <c r="A137" s="65">
        <v>38483</v>
      </c>
      <c r="B137" s="66">
        <v>808378</v>
      </c>
      <c r="C137" s="66">
        <f>Table9[[#This Row],[WALCL]]-B136</f>
        <v>5966</v>
      </c>
    </row>
    <row r="138" spans="1:3" x14ac:dyDescent="0.2">
      <c r="A138" s="65">
        <v>38490</v>
      </c>
      <c r="B138" s="66">
        <v>801546</v>
      </c>
      <c r="C138" s="66">
        <f>Table9[[#This Row],[WALCL]]-B137</f>
        <v>-6832</v>
      </c>
    </row>
    <row r="139" spans="1:3" x14ac:dyDescent="0.2">
      <c r="A139" s="65">
        <v>38497</v>
      </c>
      <c r="B139" s="66">
        <v>810160</v>
      </c>
      <c r="C139" s="66">
        <f>Table9[[#This Row],[WALCL]]-B138</f>
        <v>8614</v>
      </c>
    </row>
    <row r="140" spans="1:3" x14ac:dyDescent="0.2">
      <c r="A140" s="65">
        <v>38504</v>
      </c>
      <c r="B140" s="66">
        <v>817335</v>
      </c>
      <c r="C140" s="66">
        <f>Table9[[#This Row],[WALCL]]-B139</f>
        <v>7175</v>
      </c>
    </row>
    <row r="141" spans="1:3" x14ac:dyDescent="0.2">
      <c r="A141" s="65">
        <v>38511</v>
      </c>
      <c r="B141" s="66">
        <v>814172</v>
      </c>
      <c r="C141" s="66">
        <f>Table9[[#This Row],[WALCL]]-B140</f>
        <v>-3163</v>
      </c>
    </row>
    <row r="142" spans="1:3" x14ac:dyDescent="0.2">
      <c r="A142" s="65">
        <v>38518</v>
      </c>
      <c r="B142" s="66">
        <v>811198</v>
      </c>
      <c r="C142" s="66">
        <f>Table9[[#This Row],[WALCL]]-B141</f>
        <v>-2974</v>
      </c>
    </row>
    <row r="143" spans="1:3" x14ac:dyDescent="0.2">
      <c r="A143" s="65">
        <v>38525</v>
      </c>
      <c r="B143" s="66">
        <v>810429</v>
      </c>
      <c r="C143" s="66">
        <f>Table9[[#This Row],[WALCL]]-B142</f>
        <v>-769</v>
      </c>
    </row>
    <row r="144" spans="1:3" x14ac:dyDescent="0.2">
      <c r="A144" s="65">
        <v>38532</v>
      </c>
      <c r="B144" s="66">
        <v>810082</v>
      </c>
      <c r="C144" s="66">
        <f>Table9[[#This Row],[WALCL]]-B143</f>
        <v>-347</v>
      </c>
    </row>
    <row r="145" spans="1:3" x14ac:dyDescent="0.2">
      <c r="A145" s="65">
        <v>38539</v>
      </c>
      <c r="B145" s="66">
        <v>821556</v>
      </c>
      <c r="C145" s="66">
        <f>Table9[[#This Row],[WALCL]]-B144</f>
        <v>11474</v>
      </c>
    </row>
    <row r="146" spans="1:3" x14ac:dyDescent="0.2">
      <c r="A146" s="65">
        <v>38546</v>
      </c>
      <c r="B146" s="66">
        <v>808861</v>
      </c>
      <c r="C146" s="66">
        <f>Table9[[#This Row],[WALCL]]-B145</f>
        <v>-12695</v>
      </c>
    </row>
    <row r="147" spans="1:3" x14ac:dyDescent="0.2">
      <c r="A147" s="65">
        <v>38553</v>
      </c>
      <c r="B147" s="66">
        <v>816804</v>
      </c>
      <c r="C147" s="66">
        <f>Table9[[#This Row],[WALCL]]-B146</f>
        <v>7943</v>
      </c>
    </row>
    <row r="148" spans="1:3" x14ac:dyDescent="0.2">
      <c r="A148" s="65">
        <v>38560</v>
      </c>
      <c r="B148" s="66">
        <v>814259</v>
      </c>
      <c r="C148" s="66">
        <f>Table9[[#This Row],[WALCL]]-B147</f>
        <v>-2545</v>
      </c>
    </row>
    <row r="149" spans="1:3" x14ac:dyDescent="0.2">
      <c r="A149" s="65">
        <v>38567</v>
      </c>
      <c r="B149" s="66">
        <v>818841</v>
      </c>
      <c r="C149" s="66">
        <f>Table9[[#This Row],[WALCL]]-B148</f>
        <v>4582</v>
      </c>
    </row>
    <row r="150" spans="1:3" x14ac:dyDescent="0.2">
      <c r="A150" s="65">
        <v>38574</v>
      </c>
      <c r="B150" s="66">
        <v>808544</v>
      </c>
      <c r="C150" s="66">
        <f>Table9[[#This Row],[WALCL]]-B149</f>
        <v>-10297</v>
      </c>
    </row>
    <row r="151" spans="1:3" x14ac:dyDescent="0.2">
      <c r="A151" s="65">
        <v>38581</v>
      </c>
      <c r="B151" s="66">
        <v>813774</v>
      </c>
      <c r="C151" s="66">
        <f>Table9[[#This Row],[WALCL]]-B150</f>
        <v>5230</v>
      </c>
    </row>
    <row r="152" spans="1:3" x14ac:dyDescent="0.2">
      <c r="A152" s="65">
        <v>38588</v>
      </c>
      <c r="B152" s="66">
        <v>811313</v>
      </c>
      <c r="C152" s="66">
        <f>Table9[[#This Row],[WALCL]]-B151</f>
        <v>-2461</v>
      </c>
    </row>
    <row r="153" spans="1:3" x14ac:dyDescent="0.2">
      <c r="A153" s="65">
        <v>38595</v>
      </c>
      <c r="B153" s="66">
        <v>823237</v>
      </c>
      <c r="C153" s="66">
        <f>Table9[[#This Row],[WALCL]]-B152</f>
        <v>11924</v>
      </c>
    </row>
    <row r="154" spans="1:3" x14ac:dyDescent="0.2">
      <c r="A154" s="65">
        <v>38602</v>
      </c>
      <c r="B154" s="66">
        <v>822500</v>
      </c>
      <c r="C154" s="66">
        <f>Table9[[#This Row],[WALCL]]-B153</f>
        <v>-737</v>
      </c>
    </row>
    <row r="155" spans="1:3" x14ac:dyDescent="0.2">
      <c r="A155" s="65">
        <v>38609</v>
      </c>
      <c r="B155" s="66">
        <v>823590</v>
      </c>
      <c r="C155" s="66">
        <f>Table9[[#This Row],[WALCL]]-B154</f>
        <v>1090</v>
      </c>
    </row>
    <row r="156" spans="1:3" x14ac:dyDescent="0.2">
      <c r="A156" s="65">
        <v>38616</v>
      </c>
      <c r="B156" s="66">
        <v>812926</v>
      </c>
      <c r="C156" s="66">
        <f>Table9[[#This Row],[WALCL]]-B155</f>
        <v>-10664</v>
      </c>
    </row>
    <row r="157" spans="1:3" x14ac:dyDescent="0.2">
      <c r="A157" s="65">
        <v>38623</v>
      </c>
      <c r="B157" s="66">
        <v>823771</v>
      </c>
      <c r="C157" s="66">
        <f>Table9[[#This Row],[WALCL]]-B156</f>
        <v>10845</v>
      </c>
    </row>
    <row r="158" spans="1:3" x14ac:dyDescent="0.2">
      <c r="A158" s="65">
        <v>38630</v>
      </c>
      <c r="B158" s="66">
        <v>817137</v>
      </c>
      <c r="C158" s="66">
        <f>Table9[[#This Row],[WALCL]]-B157</f>
        <v>-6634</v>
      </c>
    </row>
    <row r="159" spans="1:3" x14ac:dyDescent="0.2">
      <c r="A159" s="65">
        <v>38637</v>
      </c>
      <c r="B159" s="66">
        <v>826306</v>
      </c>
      <c r="C159" s="66">
        <f>Table9[[#This Row],[WALCL]]-B158</f>
        <v>9169</v>
      </c>
    </row>
    <row r="160" spans="1:3" x14ac:dyDescent="0.2">
      <c r="A160" s="65">
        <v>38644</v>
      </c>
      <c r="B160" s="66">
        <v>814281</v>
      </c>
      <c r="C160" s="66">
        <f>Table9[[#This Row],[WALCL]]-B159</f>
        <v>-12025</v>
      </c>
    </row>
    <row r="161" spans="1:3" x14ac:dyDescent="0.2">
      <c r="A161" s="65">
        <v>38651</v>
      </c>
      <c r="B161" s="66">
        <v>819105</v>
      </c>
      <c r="C161" s="66">
        <f>Table9[[#This Row],[WALCL]]-B160</f>
        <v>4824</v>
      </c>
    </row>
    <row r="162" spans="1:3" x14ac:dyDescent="0.2">
      <c r="A162" s="65">
        <v>38658</v>
      </c>
      <c r="B162" s="66">
        <v>814571</v>
      </c>
      <c r="C162" s="66">
        <f>Table9[[#This Row],[WALCL]]-B161</f>
        <v>-4534</v>
      </c>
    </row>
    <row r="163" spans="1:3" x14ac:dyDescent="0.2">
      <c r="A163" s="65">
        <v>38665</v>
      </c>
      <c r="B163" s="66">
        <v>824991</v>
      </c>
      <c r="C163" s="66">
        <f>Table9[[#This Row],[WALCL]]-B162</f>
        <v>10420</v>
      </c>
    </row>
    <row r="164" spans="1:3" x14ac:dyDescent="0.2">
      <c r="A164" s="65">
        <v>38672</v>
      </c>
      <c r="B164" s="66">
        <v>823263</v>
      </c>
      <c r="C164" s="66">
        <f>Table9[[#This Row],[WALCL]]-B163</f>
        <v>-1728</v>
      </c>
    </row>
    <row r="165" spans="1:3" x14ac:dyDescent="0.2">
      <c r="A165" s="65">
        <v>38679</v>
      </c>
      <c r="B165" s="66">
        <v>833124</v>
      </c>
      <c r="C165" s="66">
        <f>Table9[[#This Row],[WALCL]]-B164</f>
        <v>9861</v>
      </c>
    </row>
    <row r="166" spans="1:3" x14ac:dyDescent="0.2">
      <c r="A166" s="65">
        <v>38686</v>
      </c>
      <c r="B166" s="66">
        <v>835059</v>
      </c>
      <c r="C166" s="66">
        <f>Table9[[#This Row],[WALCL]]-B165</f>
        <v>1935</v>
      </c>
    </row>
    <row r="167" spans="1:3" x14ac:dyDescent="0.2">
      <c r="A167" s="65">
        <v>38693</v>
      </c>
      <c r="B167" s="66">
        <v>833250</v>
      </c>
      <c r="C167" s="66">
        <f>Table9[[#This Row],[WALCL]]-B166</f>
        <v>-1809</v>
      </c>
    </row>
    <row r="168" spans="1:3" x14ac:dyDescent="0.2">
      <c r="A168" s="65">
        <v>38700</v>
      </c>
      <c r="B168" s="66">
        <v>830950</v>
      </c>
      <c r="C168" s="66">
        <f>Table9[[#This Row],[WALCL]]-B167</f>
        <v>-2300</v>
      </c>
    </row>
    <row r="169" spans="1:3" x14ac:dyDescent="0.2">
      <c r="A169" s="65">
        <v>38707</v>
      </c>
      <c r="B169" s="66">
        <v>848317</v>
      </c>
      <c r="C169" s="66">
        <f>Table9[[#This Row],[WALCL]]-B168</f>
        <v>17367</v>
      </c>
    </row>
    <row r="170" spans="1:3" x14ac:dyDescent="0.2">
      <c r="A170" s="65">
        <v>38714</v>
      </c>
      <c r="B170" s="66">
        <v>847700</v>
      </c>
      <c r="C170" s="66">
        <f>Table9[[#This Row],[WALCL]]-B169</f>
        <v>-617</v>
      </c>
    </row>
    <row r="171" spans="1:3" x14ac:dyDescent="0.2">
      <c r="A171" s="65">
        <v>38721</v>
      </c>
      <c r="B171" s="66">
        <v>851856</v>
      </c>
      <c r="C171" s="66">
        <f>Table9[[#This Row],[WALCL]]-B170</f>
        <v>4156</v>
      </c>
    </row>
    <row r="172" spans="1:3" x14ac:dyDescent="0.2">
      <c r="A172" s="65">
        <v>38728</v>
      </c>
      <c r="B172" s="66">
        <v>829357</v>
      </c>
      <c r="C172" s="66">
        <f>Table9[[#This Row],[WALCL]]-B171</f>
        <v>-22499</v>
      </c>
    </row>
    <row r="173" spans="1:3" x14ac:dyDescent="0.2">
      <c r="A173" s="65">
        <v>38735</v>
      </c>
      <c r="B173" s="66">
        <v>836042</v>
      </c>
      <c r="C173" s="66">
        <f>Table9[[#This Row],[WALCL]]-B172</f>
        <v>6685</v>
      </c>
    </row>
    <row r="174" spans="1:3" x14ac:dyDescent="0.2">
      <c r="A174" s="65">
        <v>38742</v>
      </c>
      <c r="B174" s="66">
        <v>828901</v>
      </c>
      <c r="C174" s="66">
        <f>Table9[[#This Row],[WALCL]]-B173</f>
        <v>-7141</v>
      </c>
    </row>
    <row r="175" spans="1:3" x14ac:dyDescent="0.2">
      <c r="A175" s="65">
        <v>38749</v>
      </c>
      <c r="B175" s="66">
        <v>831808</v>
      </c>
      <c r="C175" s="66">
        <f>Table9[[#This Row],[WALCL]]-B174</f>
        <v>2907</v>
      </c>
    </row>
    <row r="176" spans="1:3" x14ac:dyDescent="0.2">
      <c r="A176" s="65">
        <v>38756</v>
      </c>
      <c r="B176" s="66">
        <v>827613</v>
      </c>
      <c r="C176" s="66">
        <f>Table9[[#This Row],[WALCL]]-B175</f>
        <v>-4195</v>
      </c>
    </row>
    <row r="177" spans="1:3" x14ac:dyDescent="0.2">
      <c r="A177" s="65">
        <v>38763</v>
      </c>
      <c r="B177" s="66">
        <v>835240</v>
      </c>
      <c r="C177" s="66">
        <f>Table9[[#This Row],[WALCL]]-B176</f>
        <v>7627</v>
      </c>
    </row>
    <row r="178" spans="1:3" x14ac:dyDescent="0.2">
      <c r="A178" s="65">
        <v>38770</v>
      </c>
      <c r="B178" s="66">
        <v>840555</v>
      </c>
      <c r="C178" s="66">
        <f>Table9[[#This Row],[WALCL]]-B177</f>
        <v>5315</v>
      </c>
    </row>
    <row r="179" spans="1:3" x14ac:dyDescent="0.2">
      <c r="A179" s="65">
        <v>38777</v>
      </c>
      <c r="B179" s="66">
        <v>839356</v>
      </c>
      <c r="C179" s="66">
        <f>Table9[[#This Row],[WALCL]]-B178</f>
        <v>-1199</v>
      </c>
    </row>
    <row r="180" spans="1:3" x14ac:dyDescent="0.2">
      <c r="A180" s="65">
        <v>38784</v>
      </c>
      <c r="B180" s="66">
        <v>839234</v>
      </c>
      <c r="C180" s="66">
        <f>Table9[[#This Row],[WALCL]]-B179</f>
        <v>-122</v>
      </c>
    </row>
    <row r="181" spans="1:3" x14ac:dyDescent="0.2">
      <c r="A181" s="65">
        <v>38791</v>
      </c>
      <c r="B181" s="66">
        <v>843010</v>
      </c>
      <c r="C181" s="66">
        <f>Table9[[#This Row],[WALCL]]-B180</f>
        <v>3776</v>
      </c>
    </row>
    <row r="182" spans="1:3" x14ac:dyDescent="0.2">
      <c r="A182" s="65">
        <v>38798</v>
      </c>
      <c r="B182" s="66">
        <v>838003</v>
      </c>
      <c r="C182" s="66">
        <f>Table9[[#This Row],[WALCL]]-B181</f>
        <v>-5007</v>
      </c>
    </row>
    <row r="183" spans="1:3" x14ac:dyDescent="0.2">
      <c r="A183" s="65">
        <v>38805</v>
      </c>
      <c r="B183" s="66">
        <v>833675</v>
      </c>
      <c r="C183" s="66">
        <f>Table9[[#This Row],[WALCL]]-B182</f>
        <v>-4328</v>
      </c>
    </row>
    <row r="184" spans="1:3" x14ac:dyDescent="0.2">
      <c r="A184" s="65">
        <v>38812</v>
      </c>
      <c r="B184" s="66">
        <v>834589</v>
      </c>
      <c r="C184" s="66">
        <f>Table9[[#This Row],[WALCL]]-B183</f>
        <v>914</v>
      </c>
    </row>
    <row r="185" spans="1:3" x14ac:dyDescent="0.2">
      <c r="A185" s="65">
        <v>38819</v>
      </c>
      <c r="B185" s="66">
        <v>836862</v>
      </c>
      <c r="C185" s="66">
        <f>Table9[[#This Row],[WALCL]]-B184</f>
        <v>2273</v>
      </c>
    </row>
    <row r="186" spans="1:3" x14ac:dyDescent="0.2">
      <c r="A186" s="65">
        <v>38826</v>
      </c>
      <c r="B186" s="66">
        <v>836352</v>
      </c>
      <c r="C186" s="66">
        <f>Table9[[#This Row],[WALCL]]-B185</f>
        <v>-510</v>
      </c>
    </row>
    <row r="187" spans="1:3" x14ac:dyDescent="0.2">
      <c r="A187" s="65">
        <v>38833</v>
      </c>
      <c r="B187" s="66">
        <v>844572</v>
      </c>
      <c r="C187" s="66">
        <f>Table9[[#This Row],[WALCL]]-B186</f>
        <v>8220</v>
      </c>
    </row>
    <row r="188" spans="1:3" x14ac:dyDescent="0.2">
      <c r="A188" s="65">
        <v>38840</v>
      </c>
      <c r="B188" s="66">
        <v>843867</v>
      </c>
      <c r="C188" s="66">
        <f>Table9[[#This Row],[WALCL]]-B187</f>
        <v>-705</v>
      </c>
    </row>
    <row r="189" spans="1:3" x14ac:dyDescent="0.2">
      <c r="A189" s="65">
        <v>38847</v>
      </c>
      <c r="B189" s="66">
        <v>838405</v>
      </c>
      <c r="C189" s="66">
        <f>Table9[[#This Row],[WALCL]]-B188</f>
        <v>-5462</v>
      </c>
    </row>
    <row r="190" spans="1:3" x14ac:dyDescent="0.2">
      <c r="A190" s="65">
        <v>38854</v>
      </c>
      <c r="B190" s="66">
        <v>838153</v>
      </c>
      <c r="C190" s="66">
        <f>Table9[[#This Row],[WALCL]]-B189</f>
        <v>-252</v>
      </c>
    </row>
    <row r="191" spans="1:3" x14ac:dyDescent="0.2">
      <c r="A191" s="65">
        <v>38861</v>
      </c>
      <c r="B191" s="66">
        <v>840251</v>
      </c>
      <c r="C191" s="66">
        <f>Table9[[#This Row],[WALCL]]-B190</f>
        <v>2098</v>
      </c>
    </row>
    <row r="192" spans="1:3" x14ac:dyDescent="0.2">
      <c r="A192" s="65">
        <v>38868</v>
      </c>
      <c r="B192" s="66">
        <v>851580</v>
      </c>
      <c r="C192" s="66">
        <f>Table9[[#This Row],[WALCL]]-B191</f>
        <v>11329</v>
      </c>
    </row>
    <row r="193" spans="1:3" x14ac:dyDescent="0.2">
      <c r="A193" s="65">
        <v>38875</v>
      </c>
      <c r="B193" s="66">
        <v>849074</v>
      </c>
      <c r="C193" s="66">
        <f>Table9[[#This Row],[WALCL]]-B192</f>
        <v>-2506</v>
      </c>
    </row>
    <row r="194" spans="1:3" x14ac:dyDescent="0.2">
      <c r="A194" s="65">
        <v>38882</v>
      </c>
      <c r="B194" s="66">
        <v>845869</v>
      </c>
      <c r="C194" s="66">
        <f>Table9[[#This Row],[WALCL]]-B193</f>
        <v>-3205</v>
      </c>
    </row>
    <row r="195" spans="1:3" x14ac:dyDescent="0.2">
      <c r="A195" s="65">
        <v>38889</v>
      </c>
      <c r="B195" s="66">
        <v>844773</v>
      </c>
      <c r="C195" s="66">
        <f>Table9[[#This Row],[WALCL]]-B194</f>
        <v>-1096</v>
      </c>
    </row>
    <row r="196" spans="1:3" x14ac:dyDescent="0.2">
      <c r="A196" s="65">
        <v>38896</v>
      </c>
      <c r="B196" s="66">
        <v>844436</v>
      </c>
      <c r="C196" s="66">
        <f>Table9[[#This Row],[WALCL]]-B195</f>
        <v>-337</v>
      </c>
    </row>
    <row r="197" spans="1:3" x14ac:dyDescent="0.2">
      <c r="A197" s="65">
        <v>38903</v>
      </c>
      <c r="B197" s="66">
        <v>851659</v>
      </c>
      <c r="C197" s="66">
        <f>Table9[[#This Row],[WALCL]]-B196</f>
        <v>7223</v>
      </c>
    </row>
    <row r="198" spans="1:3" x14ac:dyDescent="0.2">
      <c r="A198" s="65">
        <v>38910</v>
      </c>
      <c r="B198" s="66">
        <v>844391</v>
      </c>
      <c r="C198" s="66">
        <f>Table9[[#This Row],[WALCL]]-B197</f>
        <v>-7268</v>
      </c>
    </row>
    <row r="199" spans="1:3" x14ac:dyDescent="0.2">
      <c r="A199" s="65">
        <v>38917</v>
      </c>
      <c r="B199" s="66">
        <v>849894</v>
      </c>
      <c r="C199" s="66">
        <f>Table9[[#This Row],[WALCL]]-B198</f>
        <v>5503</v>
      </c>
    </row>
    <row r="200" spans="1:3" x14ac:dyDescent="0.2">
      <c r="A200" s="65">
        <v>38924</v>
      </c>
      <c r="B200" s="66">
        <v>841552</v>
      </c>
      <c r="C200" s="66">
        <f>Table9[[#This Row],[WALCL]]-B199</f>
        <v>-8342</v>
      </c>
    </row>
    <row r="201" spans="1:3" x14ac:dyDescent="0.2">
      <c r="A201" s="65">
        <v>38931</v>
      </c>
      <c r="B201" s="66">
        <v>850263</v>
      </c>
      <c r="C201" s="66">
        <f>Table9[[#This Row],[WALCL]]-B200</f>
        <v>8711</v>
      </c>
    </row>
    <row r="202" spans="1:3" x14ac:dyDescent="0.2">
      <c r="A202" s="65">
        <v>38938</v>
      </c>
      <c r="B202" s="66">
        <v>840006</v>
      </c>
      <c r="C202" s="66">
        <f>Table9[[#This Row],[WALCL]]-B201</f>
        <v>-10257</v>
      </c>
    </row>
    <row r="203" spans="1:3" x14ac:dyDescent="0.2">
      <c r="A203" s="65">
        <v>38945</v>
      </c>
      <c r="B203" s="66">
        <v>842876</v>
      </c>
      <c r="C203" s="66">
        <f>Table9[[#This Row],[WALCL]]-B202</f>
        <v>2870</v>
      </c>
    </row>
    <row r="204" spans="1:3" x14ac:dyDescent="0.2">
      <c r="A204" s="65">
        <v>38952</v>
      </c>
      <c r="B204" s="66">
        <v>837987</v>
      </c>
      <c r="C204" s="66">
        <f>Table9[[#This Row],[WALCL]]-B203</f>
        <v>-4889</v>
      </c>
    </row>
    <row r="205" spans="1:3" x14ac:dyDescent="0.2">
      <c r="A205" s="65">
        <v>38959</v>
      </c>
      <c r="B205" s="66">
        <v>850925</v>
      </c>
      <c r="C205" s="66">
        <f>Table9[[#This Row],[WALCL]]-B204</f>
        <v>12938</v>
      </c>
    </row>
    <row r="206" spans="1:3" x14ac:dyDescent="0.2">
      <c r="A206" s="65">
        <v>38966</v>
      </c>
      <c r="B206" s="66">
        <v>848594</v>
      </c>
      <c r="C206" s="66">
        <f>Table9[[#This Row],[WALCL]]-B205</f>
        <v>-2331</v>
      </c>
    </row>
    <row r="207" spans="1:3" x14ac:dyDescent="0.2">
      <c r="A207" s="65">
        <v>38973</v>
      </c>
      <c r="B207" s="66">
        <v>840886</v>
      </c>
      <c r="C207" s="66">
        <f>Table9[[#This Row],[WALCL]]-B206</f>
        <v>-7708</v>
      </c>
    </row>
    <row r="208" spans="1:3" x14ac:dyDescent="0.2">
      <c r="A208" s="65">
        <v>38980</v>
      </c>
      <c r="B208" s="66">
        <v>838192</v>
      </c>
      <c r="C208" s="66">
        <f>Table9[[#This Row],[WALCL]]-B207</f>
        <v>-2694</v>
      </c>
    </row>
    <row r="209" spans="1:3" x14ac:dyDescent="0.2">
      <c r="A209" s="65">
        <v>38987</v>
      </c>
      <c r="B209" s="66">
        <v>849971</v>
      </c>
      <c r="C209" s="66">
        <f>Table9[[#This Row],[WALCL]]-B208</f>
        <v>11779</v>
      </c>
    </row>
    <row r="210" spans="1:3" x14ac:dyDescent="0.2">
      <c r="A210" s="65">
        <v>38994</v>
      </c>
      <c r="B210" s="66">
        <v>842296</v>
      </c>
      <c r="C210" s="66">
        <f>Table9[[#This Row],[WALCL]]-B209</f>
        <v>-7675</v>
      </c>
    </row>
    <row r="211" spans="1:3" x14ac:dyDescent="0.2">
      <c r="A211" s="65">
        <v>39001</v>
      </c>
      <c r="B211" s="66">
        <v>859339</v>
      </c>
      <c r="C211" s="66">
        <f>Table9[[#This Row],[WALCL]]-B210</f>
        <v>17043</v>
      </c>
    </row>
    <row r="212" spans="1:3" x14ac:dyDescent="0.2">
      <c r="A212" s="65">
        <v>39008</v>
      </c>
      <c r="B212" s="66">
        <v>844200</v>
      </c>
      <c r="C212" s="66">
        <f>Table9[[#This Row],[WALCL]]-B211</f>
        <v>-15139</v>
      </c>
    </row>
    <row r="213" spans="1:3" x14ac:dyDescent="0.2">
      <c r="A213" s="65">
        <v>39015</v>
      </c>
      <c r="B213" s="66">
        <v>852648</v>
      </c>
      <c r="C213" s="66">
        <f>Table9[[#This Row],[WALCL]]-B212</f>
        <v>8448</v>
      </c>
    </row>
    <row r="214" spans="1:3" x14ac:dyDescent="0.2">
      <c r="A214" s="65">
        <v>39022</v>
      </c>
      <c r="B214" s="66">
        <v>855536</v>
      </c>
      <c r="C214" s="66">
        <f>Table9[[#This Row],[WALCL]]-B213</f>
        <v>2888</v>
      </c>
    </row>
    <row r="215" spans="1:3" x14ac:dyDescent="0.2">
      <c r="A215" s="65">
        <v>39029</v>
      </c>
      <c r="B215" s="66">
        <v>858630</v>
      </c>
      <c r="C215" s="66">
        <f>Table9[[#This Row],[WALCL]]-B214</f>
        <v>3094</v>
      </c>
    </row>
    <row r="216" spans="1:3" x14ac:dyDescent="0.2">
      <c r="A216" s="65">
        <v>39036</v>
      </c>
      <c r="B216" s="66">
        <v>855551</v>
      </c>
      <c r="C216" s="66">
        <f>Table9[[#This Row],[WALCL]]-B215</f>
        <v>-3079</v>
      </c>
    </row>
    <row r="217" spans="1:3" x14ac:dyDescent="0.2">
      <c r="A217" s="65">
        <v>39043</v>
      </c>
      <c r="B217" s="66">
        <v>865126</v>
      </c>
      <c r="C217" s="66">
        <f>Table9[[#This Row],[WALCL]]-B216</f>
        <v>9575</v>
      </c>
    </row>
    <row r="218" spans="1:3" x14ac:dyDescent="0.2">
      <c r="A218" s="65">
        <v>39050</v>
      </c>
      <c r="B218" s="66">
        <v>856671</v>
      </c>
      <c r="C218" s="66">
        <f>Table9[[#This Row],[WALCL]]-B217</f>
        <v>-8455</v>
      </c>
    </row>
    <row r="219" spans="1:3" x14ac:dyDescent="0.2">
      <c r="A219" s="65">
        <v>39057</v>
      </c>
      <c r="B219" s="66">
        <v>862178</v>
      </c>
      <c r="C219" s="66">
        <f>Table9[[#This Row],[WALCL]]-B218</f>
        <v>5507</v>
      </c>
    </row>
    <row r="220" spans="1:3" x14ac:dyDescent="0.2">
      <c r="A220" s="65">
        <v>39064</v>
      </c>
      <c r="B220" s="66">
        <v>853851</v>
      </c>
      <c r="C220" s="66">
        <f>Table9[[#This Row],[WALCL]]-B219</f>
        <v>-8327</v>
      </c>
    </row>
    <row r="221" spans="1:3" x14ac:dyDescent="0.2">
      <c r="A221" s="65">
        <v>39071</v>
      </c>
      <c r="B221" s="66">
        <v>865010</v>
      </c>
      <c r="C221" s="66">
        <f>Table9[[#This Row],[WALCL]]-B220</f>
        <v>11159</v>
      </c>
    </row>
    <row r="222" spans="1:3" x14ac:dyDescent="0.2">
      <c r="A222" s="65">
        <v>39078</v>
      </c>
      <c r="B222" s="66">
        <v>869988</v>
      </c>
      <c r="C222" s="66">
        <f>Table9[[#This Row],[WALCL]]-B221</f>
        <v>4978</v>
      </c>
    </row>
    <row r="223" spans="1:3" x14ac:dyDescent="0.2">
      <c r="A223" s="65">
        <v>39085</v>
      </c>
      <c r="B223" s="66">
        <v>874626</v>
      </c>
      <c r="C223" s="66">
        <f>Table9[[#This Row],[WALCL]]-B222</f>
        <v>4638</v>
      </c>
    </row>
    <row r="224" spans="1:3" x14ac:dyDescent="0.2">
      <c r="A224" s="65">
        <v>39092</v>
      </c>
      <c r="B224" s="66">
        <v>854819</v>
      </c>
      <c r="C224" s="66">
        <f>Table9[[#This Row],[WALCL]]-B223</f>
        <v>-19807</v>
      </c>
    </row>
    <row r="225" spans="1:3" x14ac:dyDescent="0.2">
      <c r="A225" s="65">
        <v>39099</v>
      </c>
      <c r="B225" s="66">
        <v>859363</v>
      </c>
      <c r="C225" s="66">
        <f>Table9[[#This Row],[WALCL]]-B224</f>
        <v>4544</v>
      </c>
    </row>
    <row r="226" spans="1:3" x14ac:dyDescent="0.2">
      <c r="A226" s="65">
        <v>39106</v>
      </c>
      <c r="B226" s="66">
        <v>851755</v>
      </c>
      <c r="C226" s="66">
        <f>Table9[[#This Row],[WALCL]]-B225</f>
        <v>-7608</v>
      </c>
    </row>
    <row r="227" spans="1:3" x14ac:dyDescent="0.2">
      <c r="A227" s="65">
        <v>39113</v>
      </c>
      <c r="B227" s="66">
        <v>865730</v>
      </c>
      <c r="C227" s="66">
        <f>Table9[[#This Row],[WALCL]]-B226</f>
        <v>13975</v>
      </c>
    </row>
    <row r="228" spans="1:3" x14ac:dyDescent="0.2">
      <c r="A228" s="65">
        <v>39120</v>
      </c>
      <c r="B228" s="66">
        <v>855057</v>
      </c>
      <c r="C228" s="66">
        <f>Table9[[#This Row],[WALCL]]-B227</f>
        <v>-10673</v>
      </c>
    </row>
    <row r="229" spans="1:3" x14ac:dyDescent="0.2">
      <c r="A229" s="65">
        <v>39127</v>
      </c>
      <c r="B229" s="66">
        <v>867199</v>
      </c>
      <c r="C229" s="66">
        <f>Table9[[#This Row],[WALCL]]-B228</f>
        <v>12142</v>
      </c>
    </row>
    <row r="230" spans="1:3" x14ac:dyDescent="0.2">
      <c r="A230" s="65">
        <v>39134</v>
      </c>
      <c r="B230" s="66">
        <v>869235</v>
      </c>
      <c r="C230" s="66">
        <f>Table9[[#This Row],[WALCL]]-B229</f>
        <v>2036</v>
      </c>
    </row>
    <row r="231" spans="1:3" x14ac:dyDescent="0.2">
      <c r="A231" s="65">
        <v>39141</v>
      </c>
      <c r="B231" s="66">
        <v>877409</v>
      </c>
      <c r="C231" s="66">
        <f>Table9[[#This Row],[WALCL]]-B230</f>
        <v>8174</v>
      </c>
    </row>
    <row r="232" spans="1:3" x14ac:dyDescent="0.2">
      <c r="A232" s="65">
        <v>39148</v>
      </c>
      <c r="B232" s="66">
        <v>864505</v>
      </c>
      <c r="C232" s="66">
        <f>Table9[[#This Row],[WALCL]]-B231</f>
        <v>-12904</v>
      </c>
    </row>
    <row r="233" spans="1:3" x14ac:dyDescent="0.2">
      <c r="A233" s="65">
        <v>39155</v>
      </c>
      <c r="B233" s="66">
        <v>876108</v>
      </c>
      <c r="C233" s="66">
        <f>Table9[[#This Row],[WALCL]]-B232</f>
        <v>11603</v>
      </c>
    </row>
    <row r="234" spans="1:3" x14ac:dyDescent="0.2">
      <c r="A234" s="65">
        <v>39162</v>
      </c>
      <c r="B234" s="66">
        <v>863067</v>
      </c>
      <c r="C234" s="66">
        <f>Table9[[#This Row],[WALCL]]-B233</f>
        <v>-13041</v>
      </c>
    </row>
    <row r="235" spans="1:3" x14ac:dyDescent="0.2">
      <c r="A235" s="65">
        <v>39169</v>
      </c>
      <c r="B235" s="66">
        <v>869803</v>
      </c>
      <c r="C235" s="66">
        <f>Table9[[#This Row],[WALCL]]-B234</f>
        <v>6736</v>
      </c>
    </row>
    <row r="236" spans="1:3" x14ac:dyDescent="0.2">
      <c r="A236" s="65">
        <v>39176</v>
      </c>
      <c r="B236" s="66">
        <v>862319</v>
      </c>
      <c r="C236" s="66">
        <f>Table9[[#This Row],[WALCL]]-B235</f>
        <v>-7484</v>
      </c>
    </row>
    <row r="237" spans="1:3" x14ac:dyDescent="0.2">
      <c r="A237" s="65">
        <v>39183</v>
      </c>
      <c r="B237" s="66">
        <v>865441</v>
      </c>
      <c r="C237" s="66">
        <f>Table9[[#This Row],[WALCL]]-B236</f>
        <v>3122</v>
      </c>
    </row>
    <row r="238" spans="1:3" x14ac:dyDescent="0.2">
      <c r="A238" s="65">
        <v>39190</v>
      </c>
      <c r="B238" s="66">
        <v>861335</v>
      </c>
      <c r="C238" s="66">
        <f>Table9[[#This Row],[WALCL]]-B237</f>
        <v>-4106</v>
      </c>
    </row>
    <row r="239" spans="1:3" x14ac:dyDescent="0.2">
      <c r="A239" s="65">
        <v>39197</v>
      </c>
      <c r="B239" s="66">
        <v>879686</v>
      </c>
      <c r="C239" s="66">
        <f>Table9[[#This Row],[WALCL]]-B238</f>
        <v>18351</v>
      </c>
    </row>
    <row r="240" spans="1:3" x14ac:dyDescent="0.2">
      <c r="A240" s="65">
        <v>39204</v>
      </c>
      <c r="B240" s="66">
        <v>890857</v>
      </c>
      <c r="C240" s="66">
        <f>Table9[[#This Row],[WALCL]]-B239</f>
        <v>11171</v>
      </c>
    </row>
    <row r="241" spans="1:3" x14ac:dyDescent="0.2">
      <c r="A241" s="65">
        <v>39211</v>
      </c>
      <c r="B241" s="66">
        <v>875270</v>
      </c>
      <c r="C241" s="66">
        <f>Table9[[#This Row],[WALCL]]-B240</f>
        <v>-15587</v>
      </c>
    </row>
    <row r="242" spans="1:3" x14ac:dyDescent="0.2">
      <c r="A242" s="65">
        <v>39218</v>
      </c>
      <c r="B242" s="66">
        <v>859559</v>
      </c>
      <c r="C242" s="66">
        <f>Table9[[#This Row],[WALCL]]-B241</f>
        <v>-15711</v>
      </c>
    </row>
    <row r="243" spans="1:3" x14ac:dyDescent="0.2">
      <c r="A243" s="65">
        <v>39225</v>
      </c>
      <c r="B243" s="66">
        <v>873935</v>
      </c>
      <c r="C243" s="66">
        <f>Table9[[#This Row],[WALCL]]-B242</f>
        <v>14376</v>
      </c>
    </row>
    <row r="244" spans="1:3" x14ac:dyDescent="0.2">
      <c r="A244" s="65">
        <v>39232</v>
      </c>
      <c r="B244" s="66">
        <v>876986</v>
      </c>
      <c r="C244" s="66">
        <f>Table9[[#This Row],[WALCL]]-B243</f>
        <v>3051</v>
      </c>
    </row>
    <row r="245" spans="1:3" x14ac:dyDescent="0.2">
      <c r="A245" s="65">
        <v>39239</v>
      </c>
      <c r="B245" s="66">
        <v>872706</v>
      </c>
      <c r="C245" s="66">
        <f>Table9[[#This Row],[WALCL]]-B244</f>
        <v>-4280</v>
      </c>
    </row>
    <row r="246" spans="1:3" x14ac:dyDescent="0.2">
      <c r="A246" s="65">
        <v>39246</v>
      </c>
      <c r="B246" s="66">
        <v>864989</v>
      </c>
      <c r="C246" s="66">
        <f>Table9[[#This Row],[WALCL]]-B245</f>
        <v>-7717</v>
      </c>
    </row>
    <row r="247" spans="1:3" x14ac:dyDescent="0.2">
      <c r="A247" s="65">
        <v>39253</v>
      </c>
      <c r="B247" s="66">
        <v>866089</v>
      </c>
      <c r="C247" s="66">
        <f>Table9[[#This Row],[WALCL]]-B246</f>
        <v>1100</v>
      </c>
    </row>
    <row r="248" spans="1:3" x14ac:dyDescent="0.2">
      <c r="A248" s="65">
        <v>39260</v>
      </c>
      <c r="B248" s="66">
        <v>865105</v>
      </c>
      <c r="C248" s="66">
        <f>Table9[[#This Row],[WALCL]]-B247</f>
        <v>-984</v>
      </c>
    </row>
    <row r="249" spans="1:3" x14ac:dyDescent="0.2">
      <c r="A249" s="65">
        <v>39267</v>
      </c>
      <c r="B249" s="66">
        <v>876611</v>
      </c>
      <c r="C249" s="66">
        <f>Table9[[#This Row],[WALCL]]-B248</f>
        <v>11506</v>
      </c>
    </row>
    <row r="250" spans="1:3" x14ac:dyDescent="0.2">
      <c r="A250" s="65">
        <v>39274</v>
      </c>
      <c r="B250" s="66">
        <v>869407</v>
      </c>
      <c r="C250" s="66">
        <f>Table9[[#This Row],[WALCL]]-B249</f>
        <v>-7204</v>
      </c>
    </row>
    <row r="251" spans="1:3" x14ac:dyDescent="0.2">
      <c r="A251" s="65">
        <v>39281</v>
      </c>
      <c r="B251" s="66">
        <v>872916</v>
      </c>
      <c r="C251" s="66">
        <f>Table9[[#This Row],[WALCL]]-B250</f>
        <v>3509</v>
      </c>
    </row>
    <row r="252" spans="1:3" x14ac:dyDescent="0.2">
      <c r="A252" s="65">
        <v>39288</v>
      </c>
      <c r="B252" s="66">
        <v>863890</v>
      </c>
      <c r="C252" s="66">
        <f>Table9[[#This Row],[WALCL]]-B251</f>
        <v>-9026</v>
      </c>
    </row>
    <row r="253" spans="1:3" x14ac:dyDescent="0.2">
      <c r="A253" s="65">
        <v>39295</v>
      </c>
      <c r="B253" s="66">
        <v>870261</v>
      </c>
      <c r="C253" s="66">
        <f>Table9[[#This Row],[WALCL]]-B252</f>
        <v>6371</v>
      </c>
    </row>
    <row r="254" spans="1:3" x14ac:dyDescent="0.2">
      <c r="A254" s="65">
        <v>39302</v>
      </c>
      <c r="B254" s="66">
        <v>865453</v>
      </c>
      <c r="C254" s="66">
        <f>Table9[[#This Row],[WALCL]]-B253</f>
        <v>-4808</v>
      </c>
    </row>
    <row r="255" spans="1:3" x14ac:dyDescent="0.2">
      <c r="A255" s="65">
        <v>39309</v>
      </c>
      <c r="B255" s="66">
        <v>864931</v>
      </c>
      <c r="C255" s="66">
        <f>Table9[[#This Row],[WALCL]]-B254</f>
        <v>-522</v>
      </c>
    </row>
    <row r="256" spans="1:3" x14ac:dyDescent="0.2">
      <c r="A256" s="65">
        <v>39316</v>
      </c>
      <c r="B256" s="66">
        <v>862775</v>
      </c>
      <c r="C256" s="66">
        <f>Table9[[#This Row],[WALCL]]-B255</f>
        <v>-2156</v>
      </c>
    </row>
    <row r="257" spans="1:3" x14ac:dyDescent="0.2">
      <c r="A257" s="65">
        <v>39323</v>
      </c>
      <c r="B257" s="66">
        <v>872873</v>
      </c>
      <c r="C257" s="66">
        <f>Table9[[#This Row],[WALCL]]-B256</f>
        <v>10098</v>
      </c>
    </row>
    <row r="258" spans="1:3" x14ac:dyDescent="0.2">
      <c r="A258" s="65">
        <v>39330</v>
      </c>
      <c r="B258" s="66">
        <v>871156</v>
      </c>
      <c r="C258" s="66">
        <f>Table9[[#This Row],[WALCL]]-B257</f>
        <v>-1717</v>
      </c>
    </row>
    <row r="259" spans="1:3" x14ac:dyDescent="0.2">
      <c r="A259" s="65">
        <v>39337</v>
      </c>
      <c r="B259" s="66">
        <v>886314</v>
      </c>
      <c r="C259" s="66">
        <f>Table9[[#This Row],[WALCL]]-B258</f>
        <v>15158</v>
      </c>
    </row>
    <row r="260" spans="1:3" x14ac:dyDescent="0.2">
      <c r="A260" s="65">
        <v>39344</v>
      </c>
      <c r="B260" s="66">
        <v>867732</v>
      </c>
      <c r="C260" s="66">
        <f>Table9[[#This Row],[WALCL]]-B259</f>
        <v>-18582</v>
      </c>
    </row>
    <row r="261" spans="1:3" x14ac:dyDescent="0.2">
      <c r="A261" s="65">
        <v>39351</v>
      </c>
      <c r="B261" s="66">
        <v>889900</v>
      </c>
      <c r="C261" s="66">
        <f>Table9[[#This Row],[WALCL]]-B260</f>
        <v>22168</v>
      </c>
    </row>
    <row r="262" spans="1:3" x14ac:dyDescent="0.2">
      <c r="A262" s="65">
        <v>39358</v>
      </c>
      <c r="B262" s="66">
        <v>869051</v>
      </c>
      <c r="C262" s="66">
        <f>Table9[[#This Row],[WALCL]]-B261</f>
        <v>-20849</v>
      </c>
    </row>
    <row r="263" spans="1:3" x14ac:dyDescent="0.2">
      <c r="A263" s="65">
        <v>39365</v>
      </c>
      <c r="B263" s="66">
        <v>886363</v>
      </c>
      <c r="C263" s="66">
        <f>Table9[[#This Row],[WALCL]]-B262</f>
        <v>17312</v>
      </c>
    </row>
    <row r="264" spans="1:3" x14ac:dyDescent="0.2">
      <c r="A264" s="65">
        <v>39372</v>
      </c>
      <c r="B264" s="66">
        <v>869509</v>
      </c>
      <c r="C264" s="66">
        <f>Table9[[#This Row],[WALCL]]-B263</f>
        <v>-16854</v>
      </c>
    </row>
    <row r="265" spans="1:3" x14ac:dyDescent="0.2">
      <c r="A265" s="65">
        <v>39379</v>
      </c>
      <c r="B265" s="66">
        <v>881395</v>
      </c>
      <c r="C265" s="66">
        <f>Table9[[#This Row],[WALCL]]-B264</f>
        <v>11886</v>
      </c>
    </row>
    <row r="266" spans="1:3" x14ac:dyDescent="0.2">
      <c r="A266" s="65">
        <v>39386</v>
      </c>
      <c r="B266" s="66">
        <v>883385</v>
      </c>
      <c r="C266" s="66">
        <f>Table9[[#This Row],[WALCL]]-B265</f>
        <v>1990</v>
      </c>
    </row>
    <row r="267" spans="1:3" x14ac:dyDescent="0.2">
      <c r="A267" s="65">
        <v>39393</v>
      </c>
      <c r="B267" s="66">
        <v>885724</v>
      </c>
      <c r="C267" s="66">
        <f>Table9[[#This Row],[WALCL]]-B266</f>
        <v>2339</v>
      </c>
    </row>
    <row r="268" spans="1:3" x14ac:dyDescent="0.2">
      <c r="A268" s="65">
        <v>39400</v>
      </c>
      <c r="B268" s="66">
        <v>889537</v>
      </c>
      <c r="C268" s="66">
        <f>Table9[[#This Row],[WALCL]]-B267</f>
        <v>3813</v>
      </c>
    </row>
    <row r="269" spans="1:3" x14ac:dyDescent="0.2">
      <c r="A269" s="65">
        <v>39407</v>
      </c>
      <c r="B269" s="66">
        <v>891028</v>
      </c>
      <c r="C269" s="66">
        <f>Table9[[#This Row],[WALCL]]-B268</f>
        <v>1491</v>
      </c>
    </row>
    <row r="270" spans="1:3" x14ac:dyDescent="0.2">
      <c r="A270" s="65">
        <v>39414</v>
      </c>
      <c r="B270" s="66">
        <v>879417</v>
      </c>
      <c r="C270" s="66">
        <f>Table9[[#This Row],[WALCL]]-B269</f>
        <v>-11611</v>
      </c>
    </row>
    <row r="271" spans="1:3" x14ac:dyDescent="0.2">
      <c r="A271" s="65">
        <v>39421</v>
      </c>
      <c r="B271" s="66">
        <v>882764</v>
      </c>
      <c r="C271" s="66">
        <f>Table9[[#This Row],[WALCL]]-B270</f>
        <v>3347</v>
      </c>
    </row>
    <row r="272" spans="1:3" x14ac:dyDescent="0.2">
      <c r="A272" s="65">
        <v>39428</v>
      </c>
      <c r="B272" s="66">
        <v>881750</v>
      </c>
      <c r="C272" s="66">
        <f>Table9[[#This Row],[WALCL]]-B271</f>
        <v>-1014</v>
      </c>
    </row>
    <row r="273" spans="1:3" x14ac:dyDescent="0.2">
      <c r="A273" s="65">
        <v>39435</v>
      </c>
      <c r="B273" s="66">
        <v>887983</v>
      </c>
      <c r="C273" s="66">
        <f>Table9[[#This Row],[WALCL]]-B272</f>
        <v>6233</v>
      </c>
    </row>
    <row r="274" spans="1:3" x14ac:dyDescent="0.2">
      <c r="A274" s="65">
        <v>39442</v>
      </c>
      <c r="B274" s="66">
        <v>890662</v>
      </c>
      <c r="C274" s="66">
        <f>Table9[[#This Row],[WALCL]]-B273</f>
        <v>2679</v>
      </c>
    </row>
    <row r="275" spans="1:3" x14ac:dyDescent="0.2">
      <c r="A275" s="65">
        <v>39449</v>
      </c>
      <c r="B275" s="66">
        <v>922187</v>
      </c>
      <c r="C275" s="66">
        <f>Table9[[#This Row],[WALCL]]-B274</f>
        <v>31525</v>
      </c>
    </row>
    <row r="276" spans="1:3" x14ac:dyDescent="0.2">
      <c r="A276" s="65">
        <v>39456</v>
      </c>
      <c r="B276" s="66">
        <v>880754</v>
      </c>
      <c r="C276" s="66">
        <f>Table9[[#This Row],[WALCL]]-B275</f>
        <v>-41433</v>
      </c>
    </row>
    <row r="277" spans="1:3" x14ac:dyDescent="0.2">
      <c r="A277" s="65">
        <v>39463</v>
      </c>
      <c r="B277" s="66">
        <v>893581</v>
      </c>
      <c r="C277" s="66">
        <f>Table9[[#This Row],[WALCL]]-B276</f>
        <v>12827</v>
      </c>
    </row>
    <row r="278" spans="1:3" x14ac:dyDescent="0.2">
      <c r="A278" s="65">
        <v>39470</v>
      </c>
      <c r="B278" s="66">
        <v>877253</v>
      </c>
      <c r="C278" s="66">
        <f>Table9[[#This Row],[WALCL]]-B277</f>
        <v>-16328</v>
      </c>
    </row>
    <row r="279" spans="1:3" x14ac:dyDescent="0.2">
      <c r="A279" s="65">
        <v>39477</v>
      </c>
      <c r="B279" s="66">
        <v>900264</v>
      </c>
      <c r="C279" s="66">
        <f>Table9[[#This Row],[WALCL]]-B278</f>
        <v>23011</v>
      </c>
    </row>
    <row r="280" spans="1:3" x14ac:dyDescent="0.2">
      <c r="A280" s="65">
        <v>39484</v>
      </c>
      <c r="B280" s="66">
        <v>871022</v>
      </c>
      <c r="C280" s="66">
        <f>Table9[[#This Row],[WALCL]]-B279</f>
        <v>-29242</v>
      </c>
    </row>
    <row r="281" spans="1:3" x14ac:dyDescent="0.2">
      <c r="A281" s="65">
        <v>39491</v>
      </c>
      <c r="B281" s="66">
        <v>883005</v>
      </c>
      <c r="C281" s="66">
        <f>Table9[[#This Row],[WALCL]]-B280</f>
        <v>11983</v>
      </c>
    </row>
    <row r="282" spans="1:3" x14ac:dyDescent="0.2">
      <c r="A282" s="65">
        <v>39498</v>
      </c>
      <c r="B282" s="66">
        <v>878949</v>
      </c>
      <c r="C282" s="66">
        <f>Table9[[#This Row],[WALCL]]-B281</f>
        <v>-4056</v>
      </c>
    </row>
    <row r="283" spans="1:3" x14ac:dyDescent="0.2">
      <c r="A283" s="65">
        <v>39505</v>
      </c>
      <c r="B283" s="66">
        <v>893825</v>
      </c>
      <c r="C283" s="66">
        <f>Table9[[#This Row],[WALCL]]-B282</f>
        <v>14876</v>
      </c>
    </row>
    <row r="284" spans="1:3" x14ac:dyDescent="0.2">
      <c r="A284" s="65">
        <v>39512</v>
      </c>
      <c r="B284" s="66">
        <v>881208</v>
      </c>
      <c r="C284" s="66">
        <f>Table9[[#This Row],[WALCL]]-B283</f>
        <v>-12617</v>
      </c>
    </row>
    <row r="285" spans="1:3" x14ac:dyDescent="0.2">
      <c r="A285" s="65">
        <v>39519</v>
      </c>
      <c r="B285" s="66">
        <v>896565</v>
      </c>
      <c r="C285" s="66">
        <f>Table9[[#This Row],[WALCL]]-B284</f>
        <v>15357</v>
      </c>
    </row>
    <row r="286" spans="1:3" x14ac:dyDescent="0.2">
      <c r="A286" s="65">
        <v>39526</v>
      </c>
      <c r="B286" s="66">
        <v>888646</v>
      </c>
      <c r="C286" s="66">
        <f>Table9[[#This Row],[WALCL]]-B285</f>
        <v>-7919</v>
      </c>
    </row>
    <row r="287" spans="1:3" x14ac:dyDescent="0.2">
      <c r="A287" s="65">
        <v>39533</v>
      </c>
      <c r="B287" s="66">
        <v>893965</v>
      </c>
      <c r="C287" s="66">
        <f>Table9[[#This Row],[WALCL]]-B286</f>
        <v>5319</v>
      </c>
    </row>
    <row r="288" spans="1:3" x14ac:dyDescent="0.2">
      <c r="A288" s="65">
        <v>39540</v>
      </c>
      <c r="B288" s="66">
        <v>883708</v>
      </c>
      <c r="C288" s="66">
        <f>Table9[[#This Row],[WALCL]]-B287</f>
        <v>-10257</v>
      </c>
    </row>
    <row r="289" spans="1:3" x14ac:dyDescent="0.2">
      <c r="A289" s="65">
        <v>39547</v>
      </c>
      <c r="B289" s="66">
        <v>893029</v>
      </c>
      <c r="C289" s="66">
        <f>Table9[[#This Row],[WALCL]]-B288</f>
        <v>9321</v>
      </c>
    </row>
    <row r="290" spans="1:3" x14ac:dyDescent="0.2">
      <c r="A290" s="65">
        <v>39554</v>
      </c>
      <c r="B290" s="66">
        <v>881904</v>
      </c>
      <c r="C290" s="66">
        <f>Table9[[#This Row],[WALCL]]-B289</f>
        <v>-11125</v>
      </c>
    </row>
    <row r="291" spans="1:3" x14ac:dyDescent="0.2">
      <c r="A291" s="65">
        <v>39561</v>
      </c>
      <c r="B291" s="66">
        <v>885781</v>
      </c>
      <c r="C291" s="66">
        <f>Table9[[#This Row],[WALCL]]-B290</f>
        <v>3877</v>
      </c>
    </row>
    <row r="292" spans="1:3" x14ac:dyDescent="0.2">
      <c r="A292" s="65">
        <v>39568</v>
      </c>
      <c r="B292" s="66">
        <v>888131</v>
      </c>
      <c r="C292" s="66">
        <f>Table9[[#This Row],[WALCL]]-B291</f>
        <v>2350</v>
      </c>
    </row>
    <row r="293" spans="1:3" x14ac:dyDescent="0.2">
      <c r="A293" s="65">
        <v>39575</v>
      </c>
      <c r="B293" s="66">
        <v>889228</v>
      </c>
      <c r="C293" s="66">
        <f>Table9[[#This Row],[WALCL]]-B292</f>
        <v>1097</v>
      </c>
    </row>
    <row r="294" spans="1:3" x14ac:dyDescent="0.2">
      <c r="A294" s="65">
        <v>39582</v>
      </c>
      <c r="B294" s="66">
        <v>880175</v>
      </c>
      <c r="C294" s="66">
        <f>Table9[[#This Row],[WALCL]]-B293</f>
        <v>-9053</v>
      </c>
    </row>
    <row r="295" spans="1:3" x14ac:dyDescent="0.2">
      <c r="A295" s="65">
        <v>39589</v>
      </c>
      <c r="B295" s="66">
        <v>898487</v>
      </c>
      <c r="C295" s="66">
        <f>Table9[[#This Row],[WALCL]]-B294</f>
        <v>18312</v>
      </c>
    </row>
    <row r="296" spans="1:3" x14ac:dyDescent="0.2">
      <c r="A296" s="65">
        <v>39596</v>
      </c>
      <c r="B296" s="66">
        <v>904054</v>
      </c>
      <c r="C296" s="66">
        <f>Table9[[#This Row],[WALCL]]-B295</f>
        <v>5567</v>
      </c>
    </row>
    <row r="297" spans="1:3" x14ac:dyDescent="0.2">
      <c r="A297" s="65">
        <v>39603</v>
      </c>
      <c r="B297" s="66">
        <v>895939</v>
      </c>
      <c r="C297" s="66">
        <f>Table9[[#This Row],[WALCL]]-B296</f>
        <v>-8115</v>
      </c>
    </row>
    <row r="298" spans="1:3" x14ac:dyDescent="0.2">
      <c r="A298" s="65">
        <v>39610</v>
      </c>
      <c r="B298" s="66">
        <v>890610</v>
      </c>
      <c r="C298" s="66">
        <f>Table9[[#This Row],[WALCL]]-B297</f>
        <v>-5329</v>
      </c>
    </row>
    <row r="299" spans="1:3" x14ac:dyDescent="0.2">
      <c r="A299" s="65">
        <v>39617</v>
      </c>
      <c r="B299" s="66">
        <v>902304</v>
      </c>
      <c r="C299" s="66">
        <f>Table9[[#This Row],[WALCL]]-B298</f>
        <v>11694</v>
      </c>
    </row>
    <row r="300" spans="1:3" x14ac:dyDescent="0.2">
      <c r="A300" s="65">
        <v>39624</v>
      </c>
      <c r="B300" s="66">
        <v>892713</v>
      </c>
      <c r="C300" s="66">
        <f>Table9[[#This Row],[WALCL]]-B299</f>
        <v>-9591</v>
      </c>
    </row>
    <row r="301" spans="1:3" x14ac:dyDescent="0.2">
      <c r="A301" s="65">
        <v>39631</v>
      </c>
      <c r="B301" s="66">
        <v>902962</v>
      </c>
      <c r="C301" s="66">
        <f>Table9[[#This Row],[WALCL]]-B300</f>
        <v>10249</v>
      </c>
    </row>
    <row r="302" spans="1:3" x14ac:dyDescent="0.2">
      <c r="A302" s="65">
        <v>39638</v>
      </c>
      <c r="B302" s="66">
        <v>898034</v>
      </c>
      <c r="C302" s="66">
        <f>Table9[[#This Row],[WALCL]]-B301</f>
        <v>-4928</v>
      </c>
    </row>
    <row r="303" spans="1:3" x14ac:dyDescent="0.2">
      <c r="A303" s="65">
        <v>39645</v>
      </c>
      <c r="B303" s="66">
        <v>910681</v>
      </c>
      <c r="C303" s="66">
        <f>Table9[[#This Row],[WALCL]]-B302</f>
        <v>12647</v>
      </c>
    </row>
    <row r="304" spans="1:3" x14ac:dyDescent="0.2">
      <c r="A304" s="65">
        <v>39652</v>
      </c>
      <c r="B304" s="66">
        <v>899665</v>
      </c>
      <c r="C304" s="66">
        <f>Table9[[#This Row],[WALCL]]-B303</f>
        <v>-11016</v>
      </c>
    </row>
    <row r="305" spans="1:3" x14ac:dyDescent="0.2">
      <c r="A305" s="65">
        <v>39659</v>
      </c>
      <c r="B305" s="66">
        <v>918625</v>
      </c>
      <c r="C305" s="66">
        <f>Table9[[#This Row],[WALCL]]-B304</f>
        <v>18960</v>
      </c>
    </row>
    <row r="306" spans="1:3" x14ac:dyDescent="0.2">
      <c r="A306" s="65">
        <v>39666</v>
      </c>
      <c r="B306" s="66">
        <v>901710</v>
      </c>
      <c r="C306" s="66">
        <f>Table9[[#This Row],[WALCL]]-B305</f>
        <v>-16915</v>
      </c>
    </row>
    <row r="307" spans="1:3" x14ac:dyDescent="0.2">
      <c r="A307" s="65">
        <v>39673</v>
      </c>
      <c r="B307" s="66">
        <v>914632</v>
      </c>
      <c r="C307" s="66">
        <f>Table9[[#This Row],[WALCL]]-B306</f>
        <v>12922</v>
      </c>
    </row>
    <row r="308" spans="1:3" x14ac:dyDescent="0.2">
      <c r="A308" s="65">
        <v>39680</v>
      </c>
      <c r="B308" s="66">
        <v>898611</v>
      </c>
      <c r="C308" s="66">
        <f>Table9[[#This Row],[WALCL]]-B307</f>
        <v>-16021</v>
      </c>
    </row>
    <row r="309" spans="1:3" x14ac:dyDescent="0.2">
      <c r="A309" s="65">
        <v>39687</v>
      </c>
      <c r="B309" s="66">
        <v>909982</v>
      </c>
      <c r="C309" s="66">
        <f>Table9[[#This Row],[WALCL]]-B308</f>
        <v>11371</v>
      </c>
    </row>
    <row r="310" spans="1:3" x14ac:dyDescent="0.2">
      <c r="A310" s="65">
        <v>39694</v>
      </c>
      <c r="B310" s="66">
        <v>905253</v>
      </c>
      <c r="C310" s="66">
        <f>Table9[[#This Row],[WALCL]]-B309</f>
        <v>-4729</v>
      </c>
    </row>
    <row r="311" spans="1:3" x14ac:dyDescent="0.2">
      <c r="A311" s="65">
        <v>39701</v>
      </c>
      <c r="B311" s="66">
        <v>925725</v>
      </c>
      <c r="C311" s="66">
        <f>Table9[[#This Row],[WALCL]]-B310</f>
        <v>20472</v>
      </c>
    </row>
    <row r="312" spans="1:3" x14ac:dyDescent="0.2">
      <c r="A312" s="65">
        <v>39708</v>
      </c>
      <c r="B312" s="66">
        <v>995093</v>
      </c>
      <c r="C312" s="66">
        <f>Table9[[#This Row],[WALCL]]-B311</f>
        <v>69368</v>
      </c>
    </row>
    <row r="313" spans="1:3" x14ac:dyDescent="0.2">
      <c r="A313" s="65">
        <v>39715</v>
      </c>
      <c r="B313" s="66">
        <v>1211825</v>
      </c>
      <c r="C313" s="66">
        <f>Table9[[#This Row],[WALCL]]-B312</f>
        <v>216732</v>
      </c>
    </row>
    <row r="314" spans="1:3" x14ac:dyDescent="0.2">
      <c r="A314" s="65">
        <v>39722</v>
      </c>
      <c r="B314" s="66">
        <v>1503989</v>
      </c>
      <c r="C314" s="66">
        <f>Table9[[#This Row],[WALCL]]-B313</f>
        <v>292164</v>
      </c>
    </row>
    <row r="315" spans="1:3" x14ac:dyDescent="0.2">
      <c r="A315" s="65">
        <v>39729</v>
      </c>
      <c r="B315" s="66">
        <v>1591587</v>
      </c>
      <c r="C315" s="66">
        <f>Table9[[#This Row],[WALCL]]-B314</f>
        <v>87598</v>
      </c>
    </row>
    <row r="316" spans="1:3" x14ac:dyDescent="0.2">
      <c r="A316" s="65">
        <v>39736</v>
      </c>
      <c r="B316" s="66">
        <v>1770809</v>
      </c>
      <c r="C316" s="66">
        <f>Table9[[#This Row],[WALCL]]-B315</f>
        <v>179222</v>
      </c>
    </row>
    <row r="317" spans="1:3" x14ac:dyDescent="0.2">
      <c r="A317" s="65">
        <v>39743</v>
      </c>
      <c r="B317" s="66">
        <v>1802602</v>
      </c>
      <c r="C317" s="66">
        <f>Table9[[#This Row],[WALCL]]-B316</f>
        <v>31793</v>
      </c>
    </row>
    <row r="318" spans="1:3" x14ac:dyDescent="0.2">
      <c r="A318" s="65">
        <v>39750</v>
      </c>
      <c r="B318" s="66">
        <v>1969086</v>
      </c>
      <c r="C318" s="66">
        <f>Table9[[#This Row],[WALCL]]-B317</f>
        <v>166484</v>
      </c>
    </row>
    <row r="319" spans="1:3" x14ac:dyDescent="0.2">
      <c r="A319" s="65">
        <v>39757</v>
      </c>
      <c r="B319" s="66">
        <v>2074205</v>
      </c>
      <c r="C319" s="66">
        <f>Table9[[#This Row],[WALCL]]-B318</f>
        <v>105119</v>
      </c>
    </row>
    <row r="320" spans="1:3" x14ac:dyDescent="0.2">
      <c r="A320" s="65">
        <v>39764</v>
      </c>
      <c r="B320" s="66">
        <v>2212852</v>
      </c>
      <c r="C320" s="66">
        <f>Table9[[#This Row],[WALCL]]-B319</f>
        <v>138647</v>
      </c>
    </row>
    <row r="321" spans="1:3" x14ac:dyDescent="0.2">
      <c r="A321" s="65">
        <v>39771</v>
      </c>
      <c r="B321" s="66">
        <v>2187137</v>
      </c>
      <c r="C321" s="66">
        <f>Table9[[#This Row],[WALCL]]-B320</f>
        <v>-25715</v>
      </c>
    </row>
    <row r="322" spans="1:3" x14ac:dyDescent="0.2">
      <c r="A322" s="65">
        <v>39778</v>
      </c>
      <c r="B322" s="66">
        <v>2106117</v>
      </c>
      <c r="C322" s="66">
        <f>Table9[[#This Row],[WALCL]]-B321</f>
        <v>-81020</v>
      </c>
    </row>
    <row r="323" spans="1:3" x14ac:dyDescent="0.2">
      <c r="A323" s="65">
        <v>39785</v>
      </c>
      <c r="B323" s="66">
        <v>2136924</v>
      </c>
      <c r="C323" s="66">
        <f>Table9[[#This Row],[WALCL]]-B322</f>
        <v>30807</v>
      </c>
    </row>
    <row r="324" spans="1:3" x14ac:dyDescent="0.2">
      <c r="A324" s="65">
        <v>39792</v>
      </c>
      <c r="B324" s="66">
        <v>2250012</v>
      </c>
      <c r="C324" s="66">
        <f>Table9[[#This Row],[WALCL]]-B323</f>
        <v>113088</v>
      </c>
    </row>
    <row r="325" spans="1:3" x14ac:dyDescent="0.2">
      <c r="A325" s="65">
        <v>39799</v>
      </c>
      <c r="B325" s="66">
        <v>2254983</v>
      </c>
      <c r="C325" s="66">
        <f>Table9[[#This Row],[WALCL]]-B324</f>
        <v>4971</v>
      </c>
    </row>
    <row r="326" spans="1:3" x14ac:dyDescent="0.2">
      <c r="A326" s="65">
        <v>39806</v>
      </c>
      <c r="B326" s="66">
        <v>2232311</v>
      </c>
      <c r="C326" s="66">
        <f>Table9[[#This Row],[WALCL]]-B325</f>
        <v>-22672</v>
      </c>
    </row>
    <row r="327" spans="1:3" x14ac:dyDescent="0.2">
      <c r="A327" s="65">
        <v>39813</v>
      </c>
      <c r="B327" s="66">
        <v>2239457</v>
      </c>
      <c r="C327" s="66">
        <f>Table9[[#This Row],[WALCL]]-B326</f>
        <v>7146</v>
      </c>
    </row>
    <row r="328" spans="1:3" x14ac:dyDescent="0.2">
      <c r="A328" s="65">
        <v>39820</v>
      </c>
      <c r="B328" s="66">
        <v>2121439</v>
      </c>
      <c r="C328" s="66">
        <f>Table9[[#This Row],[WALCL]]-B327</f>
        <v>-118018</v>
      </c>
    </row>
    <row r="329" spans="1:3" x14ac:dyDescent="0.2">
      <c r="A329" s="65">
        <v>39827</v>
      </c>
      <c r="B329" s="66">
        <v>2049714</v>
      </c>
      <c r="C329" s="66">
        <f>Table9[[#This Row],[WALCL]]-B328</f>
        <v>-71725</v>
      </c>
    </row>
    <row r="330" spans="1:3" x14ac:dyDescent="0.2">
      <c r="A330" s="65">
        <v>39834</v>
      </c>
      <c r="B330" s="66">
        <v>2037112</v>
      </c>
      <c r="C330" s="66">
        <f>Table9[[#This Row],[WALCL]]-B329</f>
        <v>-12602</v>
      </c>
    </row>
    <row r="331" spans="1:3" x14ac:dyDescent="0.2">
      <c r="A331" s="65">
        <v>39841</v>
      </c>
      <c r="B331" s="66">
        <v>1927082</v>
      </c>
      <c r="C331" s="66">
        <f>Table9[[#This Row],[WALCL]]-B330</f>
        <v>-110030</v>
      </c>
    </row>
    <row r="332" spans="1:3" x14ac:dyDescent="0.2">
      <c r="A332" s="65">
        <v>39848</v>
      </c>
      <c r="B332" s="66">
        <v>1851437</v>
      </c>
      <c r="C332" s="66">
        <f>Table9[[#This Row],[WALCL]]-B331</f>
        <v>-75645</v>
      </c>
    </row>
    <row r="333" spans="1:3" x14ac:dyDescent="0.2">
      <c r="A333" s="65">
        <v>39855</v>
      </c>
      <c r="B333" s="66">
        <v>1843400</v>
      </c>
      <c r="C333" s="66">
        <f>Table9[[#This Row],[WALCL]]-B332</f>
        <v>-8037</v>
      </c>
    </row>
    <row r="334" spans="1:3" x14ac:dyDescent="0.2">
      <c r="A334" s="65">
        <v>39862</v>
      </c>
      <c r="B334" s="66">
        <v>1915562</v>
      </c>
      <c r="C334" s="66">
        <f>Table9[[#This Row],[WALCL]]-B333</f>
        <v>72162</v>
      </c>
    </row>
    <row r="335" spans="1:3" x14ac:dyDescent="0.2">
      <c r="A335" s="65">
        <v>39869</v>
      </c>
      <c r="B335" s="66">
        <v>1916115</v>
      </c>
      <c r="C335" s="66">
        <f>Table9[[#This Row],[WALCL]]-B334</f>
        <v>553</v>
      </c>
    </row>
    <row r="336" spans="1:3" x14ac:dyDescent="0.2">
      <c r="A336" s="65">
        <v>39876</v>
      </c>
      <c r="B336" s="66">
        <v>1901317</v>
      </c>
      <c r="C336" s="66">
        <f>Table9[[#This Row],[WALCL]]-B335</f>
        <v>-14798</v>
      </c>
    </row>
    <row r="337" spans="1:3" x14ac:dyDescent="0.2">
      <c r="A337" s="65">
        <v>39883</v>
      </c>
      <c r="B337" s="66">
        <v>1899514</v>
      </c>
      <c r="C337" s="66">
        <f>Table9[[#This Row],[WALCL]]-B336</f>
        <v>-1803</v>
      </c>
    </row>
    <row r="338" spans="1:3" x14ac:dyDescent="0.2">
      <c r="A338" s="65">
        <v>39890</v>
      </c>
      <c r="B338" s="66">
        <v>2066942</v>
      </c>
      <c r="C338" s="66">
        <f>Table9[[#This Row],[WALCL]]-B337</f>
        <v>167428</v>
      </c>
    </row>
    <row r="339" spans="1:3" x14ac:dyDescent="0.2">
      <c r="A339" s="65">
        <v>39897</v>
      </c>
      <c r="B339" s="66">
        <v>2071556</v>
      </c>
      <c r="C339" s="66">
        <f>Table9[[#This Row],[WALCL]]-B338</f>
        <v>4614</v>
      </c>
    </row>
    <row r="340" spans="1:3" x14ac:dyDescent="0.2">
      <c r="A340" s="65">
        <v>39904</v>
      </c>
      <c r="B340" s="66">
        <v>2078936</v>
      </c>
      <c r="C340" s="66">
        <f>Table9[[#This Row],[WALCL]]-B339</f>
        <v>7380</v>
      </c>
    </row>
    <row r="341" spans="1:3" x14ac:dyDescent="0.2">
      <c r="A341" s="65">
        <v>39911</v>
      </c>
      <c r="B341" s="66">
        <v>2088573</v>
      </c>
      <c r="C341" s="66">
        <f>Table9[[#This Row],[WALCL]]-B340</f>
        <v>9637</v>
      </c>
    </row>
    <row r="342" spans="1:3" x14ac:dyDescent="0.2">
      <c r="A342" s="65">
        <v>39918</v>
      </c>
      <c r="B342" s="66">
        <v>2186498</v>
      </c>
      <c r="C342" s="66">
        <f>Table9[[#This Row],[WALCL]]-B341</f>
        <v>97925</v>
      </c>
    </row>
    <row r="343" spans="1:3" x14ac:dyDescent="0.2">
      <c r="A343" s="65">
        <v>39925</v>
      </c>
      <c r="B343" s="66">
        <v>2196812</v>
      </c>
      <c r="C343" s="66">
        <f>Table9[[#This Row],[WALCL]]-B342</f>
        <v>10314</v>
      </c>
    </row>
    <row r="344" spans="1:3" x14ac:dyDescent="0.2">
      <c r="A344" s="65">
        <v>39932</v>
      </c>
      <c r="B344" s="66">
        <v>2066712</v>
      </c>
      <c r="C344" s="66">
        <f>Table9[[#This Row],[WALCL]]-B343</f>
        <v>-130100</v>
      </c>
    </row>
    <row r="345" spans="1:3" x14ac:dyDescent="0.2">
      <c r="A345" s="65">
        <v>39939</v>
      </c>
      <c r="B345" s="66">
        <v>2079758</v>
      </c>
      <c r="C345" s="66">
        <f>Table9[[#This Row],[WALCL]]-B344</f>
        <v>13046</v>
      </c>
    </row>
    <row r="346" spans="1:3" x14ac:dyDescent="0.2">
      <c r="A346" s="65">
        <v>39946</v>
      </c>
      <c r="B346" s="66">
        <v>2196351</v>
      </c>
      <c r="C346" s="66">
        <f>Table9[[#This Row],[WALCL]]-B345</f>
        <v>116593</v>
      </c>
    </row>
    <row r="347" spans="1:3" x14ac:dyDescent="0.2">
      <c r="A347" s="65">
        <v>39953</v>
      </c>
      <c r="B347" s="66">
        <v>2181632</v>
      </c>
      <c r="C347" s="66">
        <f>Table9[[#This Row],[WALCL]]-B346</f>
        <v>-14719</v>
      </c>
    </row>
    <row r="348" spans="1:3" x14ac:dyDescent="0.2">
      <c r="A348" s="65">
        <v>39960</v>
      </c>
      <c r="B348" s="66">
        <v>2080115</v>
      </c>
      <c r="C348" s="66">
        <f>Table9[[#This Row],[WALCL]]-B347</f>
        <v>-101517</v>
      </c>
    </row>
    <row r="349" spans="1:3" x14ac:dyDescent="0.2">
      <c r="A349" s="65">
        <v>39967</v>
      </c>
      <c r="B349" s="66">
        <v>2077695</v>
      </c>
      <c r="C349" s="66">
        <f>Table9[[#This Row],[WALCL]]-B348</f>
        <v>-2420</v>
      </c>
    </row>
    <row r="350" spans="1:3" x14ac:dyDescent="0.2">
      <c r="A350" s="65">
        <v>39974</v>
      </c>
      <c r="B350" s="66">
        <v>2052297</v>
      </c>
      <c r="C350" s="66">
        <f>Table9[[#This Row],[WALCL]]-B349</f>
        <v>-25398</v>
      </c>
    </row>
    <row r="351" spans="1:3" x14ac:dyDescent="0.2">
      <c r="A351" s="65">
        <v>39981</v>
      </c>
      <c r="B351" s="66">
        <v>2072527</v>
      </c>
      <c r="C351" s="66">
        <f>Table9[[#This Row],[WALCL]]-B350</f>
        <v>20230</v>
      </c>
    </row>
    <row r="352" spans="1:3" x14ac:dyDescent="0.2">
      <c r="A352" s="65">
        <v>39988</v>
      </c>
      <c r="B352" s="66">
        <v>2025571</v>
      </c>
      <c r="C352" s="66">
        <f>Table9[[#This Row],[WALCL]]-B351</f>
        <v>-46956</v>
      </c>
    </row>
    <row r="353" spans="1:3" x14ac:dyDescent="0.2">
      <c r="A353" s="65">
        <v>39995</v>
      </c>
      <c r="B353" s="66">
        <v>2005627</v>
      </c>
      <c r="C353" s="66">
        <f>Table9[[#This Row],[WALCL]]-B352</f>
        <v>-19944</v>
      </c>
    </row>
    <row r="354" spans="1:3" x14ac:dyDescent="0.2">
      <c r="A354" s="65">
        <v>40002</v>
      </c>
      <c r="B354" s="66">
        <v>1992740</v>
      </c>
      <c r="C354" s="66">
        <f>Table9[[#This Row],[WALCL]]-B353</f>
        <v>-12887</v>
      </c>
    </row>
    <row r="355" spans="1:3" x14ac:dyDescent="0.2">
      <c r="A355" s="65">
        <v>40009</v>
      </c>
      <c r="B355" s="66">
        <v>2072451</v>
      </c>
      <c r="C355" s="66">
        <f>Table9[[#This Row],[WALCL]]-B354</f>
        <v>79711</v>
      </c>
    </row>
    <row r="356" spans="1:3" x14ac:dyDescent="0.2">
      <c r="A356" s="65">
        <v>40016</v>
      </c>
      <c r="B356" s="66">
        <v>2039001</v>
      </c>
      <c r="C356" s="66">
        <f>Table9[[#This Row],[WALCL]]-B355</f>
        <v>-33450</v>
      </c>
    </row>
    <row r="357" spans="1:3" x14ac:dyDescent="0.2">
      <c r="A357" s="65">
        <v>40023</v>
      </c>
      <c r="B357" s="66">
        <v>2000547</v>
      </c>
      <c r="C357" s="66">
        <f>Table9[[#This Row],[WALCL]]-B356</f>
        <v>-38454</v>
      </c>
    </row>
    <row r="358" spans="1:3" x14ac:dyDescent="0.2">
      <c r="A358" s="65">
        <v>40030</v>
      </c>
      <c r="B358" s="66">
        <v>1989203</v>
      </c>
      <c r="C358" s="66">
        <f>Table9[[#This Row],[WALCL]]-B357</f>
        <v>-11344</v>
      </c>
    </row>
    <row r="359" spans="1:3" x14ac:dyDescent="0.2">
      <c r="A359" s="65">
        <v>40037</v>
      </c>
      <c r="B359" s="66">
        <v>2014899</v>
      </c>
      <c r="C359" s="66">
        <f>Table9[[#This Row],[WALCL]]-B358</f>
        <v>25696</v>
      </c>
    </row>
    <row r="360" spans="1:3" x14ac:dyDescent="0.2">
      <c r="A360" s="65">
        <v>40044</v>
      </c>
      <c r="B360" s="66">
        <v>2060641</v>
      </c>
      <c r="C360" s="66">
        <f>Table9[[#This Row],[WALCL]]-B359</f>
        <v>45742</v>
      </c>
    </row>
    <row r="361" spans="1:3" x14ac:dyDescent="0.2">
      <c r="A361" s="65">
        <v>40051</v>
      </c>
      <c r="B361" s="66">
        <v>2074902</v>
      </c>
      <c r="C361" s="66">
        <f>Table9[[#This Row],[WALCL]]-B360</f>
        <v>14261</v>
      </c>
    </row>
    <row r="362" spans="1:3" x14ac:dyDescent="0.2">
      <c r="A362" s="65">
        <v>40058</v>
      </c>
      <c r="B362" s="66">
        <v>2083720</v>
      </c>
      <c r="C362" s="66">
        <f>Table9[[#This Row],[WALCL]]-B361</f>
        <v>8818</v>
      </c>
    </row>
    <row r="363" spans="1:3" x14ac:dyDescent="0.2">
      <c r="A363" s="65">
        <v>40065</v>
      </c>
      <c r="B363" s="66">
        <v>2087946</v>
      </c>
      <c r="C363" s="66">
        <f>Table9[[#This Row],[WALCL]]-B362</f>
        <v>4226</v>
      </c>
    </row>
    <row r="364" spans="1:3" x14ac:dyDescent="0.2">
      <c r="A364" s="65">
        <v>40072</v>
      </c>
      <c r="B364" s="66">
        <v>2139783</v>
      </c>
      <c r="C364" s="66">
        <f>Table9[[#This Row],[WALCL]]-B363</f>
        <v>51837</v>
      </c>
    </row>
    <row r="365" spans="1:3" x14ac:dyDescent="0.2">
      <c r="A365" s="65">
        <v>40079</v>
      </c>
      <c r="B365" s="66">
        <v>2158631</v>
      </c>
      <c r="C365" s="66">
        <f>Table9[[#This Row],[WALCL]]-B364</f>
        <v>18848</v>
      </c>
    </row>
    <row r="366" spans="1:3" x14ac:dyDescent="0.2">
      <c r="A366" s="65">
        <v>40086</v>
      </c>
      <c r="B366" s="66">
        <v>2141020</v>
      </c>
      <c r="C366" s="66">
        <f>Table9[[#This Row],[WALCL]]-B365</f>
        <v>-17611</v>
      </c>
    </row>
    <row r="367" spans="1:3" x14ac:dyDescent="0.2">
      <c r="A367" s="65">
        <v>40093</v>
      </c>
      <c r="B367" s="66">
        <v>2138086</v>
      </c>
      <c r="C367" s="66">
        <f>Table9[[#This Row],[WALCL]]-B366</f>
        <v>-2934</v>
      </c>
    </row>
    <row r="368" spans="1:3" x14ac:dyDescent="0.2">
      <c r="A368" s="65">
        <v>40100</v>
      </c>
      <c r="B368" s="66">
        <v>2192787</v>
      </c>
      <c r="C368" s="66">
        <f>Table9[[#This Row],[WALCL]]-B367</f>
        <v>54701</v>
      </c>
    </row>
    <row r="369" spans="1:3" x14ac:dyDescent="0.2">
      <c r="A369" s="65">
        <v>40107</v>
      </c>
      <c r="B369" s="66">
        <v>2201119</v>
      </c>
      <c r="C369" s="66">
        <f>Table9[[#This Row],[WALCL]]-B368</f>
        <v>8332</v>
      </c>
    </row>
    <row r="370" spans="1:3" x14ac:dyDescent="0.2">
      <c r="A370" s="65">
        <v>40114</v>
      </c>
      <c r="B370" s="66">
        <v>2161537</v>
      </c>
      <c r="C370" s="66">
        <f>Table9[[#This Row],[WALCL]]-B369</f>
        <v>-39582</v>
      </c>
    </row>
    <row r="371" spans="1:3" x14ac:dyDescent="0.2">
      <c r="A371" s="65">
        <v>40121</v>
      </c>
      <c r="B371" s="66">
        <v>2165067</v>
      </c>
      <c r="C371" s="66">
        <f>Table9[[#This Row],[WALCL]]-B370</f>
        <v>3530</v>
      </c>
    </row>
    <row r="372" spans="1:3" x14ac:dyDescent="0.2">
      <c r="A372" s="65">
        <v>40128</v>
      </c>
      <c r="B372" s="66">
        <v>2135035</v>
      </c>
      <c r="C372" s="66">
        <f>Table9[[#This Row],[WALCL]]-B371</f>
        <v>-30032</v>
      </c>
    </row>
    <row r="373" spans="1:3" x14ac:dyDescent="0.2">
      <c r="A373" s="65">
        <v>40135</v>
      </c>
      <c r="B373" s="66">
        <v>2208721</v>
      </c>
      <c r="C373" s="66">
        <f>Table9[[#This Row],[WALCL]]-B372</f>
        <v>73686</v>
      </c>
    </row>
    <row r="374" spans="1:3" x14ac:dyDescent="0.2">
      <c r="A374" s="65">
        <v>40142</v>
      </c>
      <c r="B374" s="66">
        <v>2206359</v>
      </c>
      <c r="C374" s="66">
        <f>Table9[[#This Row],[WALCL]]-B373</f>
        <v>-2362</v>
      </c>
    </row>
    <row r="375" spans="1:3" x14ac:dyDescent="0.2">
      <c r="A375" s="65">
        <v>40149</v>
      </c>
      <c r="B375" s="66">
        <v>2204074</v>
      </c>
      <c r="C375" s="66">
        <f>Table9[[#This Row],[WALCL]]-B374</f>
        <v>-2285</v>
      </c>
    </row>
    <row r="376" spans="1:3" x14ac:dyDescent="0.2">
      <c r="A376" s="65">
        <v>40156</v>
      </c>
      <c r="B376" s="66">
        <v>2186383</v>
      </c>
      <c r="C376" s="66">
        <f>Table9[[#This Row],[WALCL]]-B375</f>
        <v>-17691</v>
      </c>
    </row>
    <row r="377" spans="1:3" x14ac:dyDescent="0.2">
      <c r="A377" s="65">
        <v>40163</v>
      </c>
      <c r="B377" s="66">
        <v>2235763</v>
      </c>
      <c r="C377" s="66">
        <f>Table9[[#This Row],[WALCL]]-B376</f>
        <v>49380</v>
      </c>
    </row>
    <row r="378" spans="1:3" x14ac:dyDescent="0.2">
      <c r="A378" s="65">
        <v>40170</v>
      </c>
      <c r="B378" s="66">
        <v>2235803</v>
      </c>
      <c r="C378" s="66">
        <f>Table9[[#This Row],[WALCL]]-B377</f>
        <v>40</v>
      </c>
    </row>
    <row r="379" spans="1:3" x14ac:dyDescent="0.2">
      <c r="A379" s="65">
        <v>40177</v>
      </c>
      <c r="B379" s="66">
        <v>2234067</v>
      </c>
      <c r="C379" s="66">
        <f>Table9[[#This Row],[WALCL]]-B378</f>
        <v>-1736</v>
      </c>
    </row>
    <row r="380" spans="1:3" x14ac:dyDescent="0.2">
      <c r="A380" s="65">
        <v>40184</v>
      </c>
      <c r="B380" s="66">
        <v>2235304</v>
      </c>
      <c r="C380" s="66">
        <f>Table9[[#This Row],[WALCL]]-B379</f>
        <v>1237</v>
      </c>
    </row>
    <row r="381" spans="1:3" x14ac:dyDescent="0.2">
      <c r="A381" s="65">
        <v>40191</v>
      </c>
      <c r="B381" s="66">
        <v>2291700</v>
      </c>
      <c r="C381" s="66">
        <f>Table9[[#This Row],[WALCL]]-B380</f>
        <v>56396</v>
      </c>
    </row>
    <row r="382" spans="1:3" x14ac:dyDescent="0.2">
      <c r="A382" s="65">
        <v>40198</v>
      </c>
      <c r="B382" s="66">
        <v>2251806</v>
      </c>
      <c r="C382" s="66">
        <f>Table9[[#This Row],[WALCL]]-B381</f>
        <v>-39894</v>
      </c>
    </row>
    <row r="383" spans="1:3" x14ac:dyDescent="0.2">
      <c r="A383" s="65">
        <v>40205</v>
      </c>
      <c r="B383" s="66">
        <v>2246886</v>
      </c>
      <c r="C383" s="66">
        <f>Table9[[#This Row],[WALCL]]-B382</f>
        <v>-4920</v>
      </c>
    </row>
    <row r="384" spans="1:3" x14ac:dyDescent="0.2">
      <c r="A384" s="65">
        <v>40212</v>
      </c>
      <c r="B384" s="66">
        <v>2249319</v>
      </c>
      <c r="C384" s="66">
        <f>Table9[[#This Row],[WALCL]]-B383</f>
        <v>2433</v>
      </c>
    </row>
    <row r="385" spans="1:3" x14ac:dyDescent="0.2">
      <c r="A385" s="65">
        <v>40219</v>
      </c>
      <c r="B385" s="66">
        <v>2256679</v>
      </c>
      <c r="C385" s="66">
        <f>Table9[[#This Row],[WALCL]]-B384</f>
        <v>7360</v>
      </c>
    </row>
    <row r="386" spans="1:3" x14ac:dyDescent="0.2">
      <c r="A386" s="65">
        <v>40226</v>
      </c>
      <c r="B386" s="66">
        <v>2277574</v>
      </c>
      <c r="C386" s="66">
        <f>Table9[[#This Row],[WALCL]]-B385</f>
        <v>20895</v>
      </c>
    </row>
    <row r="387" spans="1:3" x14ac:dyDescent="0.2">
      <c r="A387" s="65">
        <v>40233</v>
      </c>
      <c r="B387" s="66">
        <v>2286127</v>
      </c>
      <c r="C387" s="66">
        <f>Table9[[#This Row],[WALCL]]-B386</f>
        <v>8553</v>
      </c>
    </row>
    <row r="388" spans="1:3" x14ac:dyDescent="0.2">
      <c r="A388" s="65">
        <v>40240</v>
      </c>
      <c r="B388" s="66">
        <v>2280147</v>
      </c>
      <c r="C388" s="66">
        <f>Table9[[#This Row],[WALCL]]-B387</f>
        <v>-5980</v>
      </c>
    </row>
    <row r="389" spans="1:3" x14ac:dyDescent="0.2">
      <c r="A389" s="65">
        <v>40247</v>
      </c>
      <c r="B389" s="66">
        <v>2282474</v>
      </c>
      <c r="C389" s="66">
        <f>Table9[[#This Row],[WALCL]]-B388</f>
        <v>2327</v>
      </c>
    </row>
    <row r="390" spans="1:3" x14ac:dyDescent="0.2">
      <c r="A390" s="65">
        <v>40254</v>
      </c>
      <c r="B390" s="66">
        <v>2307997</v>
      </c>
      <c r="C390" s="66">
        <f>Table9[[#This Row],[WALCL]]-B389</f>
        <v>25523</v>
      </c>
    </row>
    <row r="391" spans="1:3" x14ac:dyDescent="0.2">
      <c r="A391" s="65">
        <v>40261</v>
      </c>
      <c r="B391" s="66">
        <v>2313149</v>
      </c>
      <c r="C391" s="66">
        <f>Table9[[#This Row],[WALCL]]-B390</f>
        <v>5152</v>
      </c>
    </row>
    <row r="392" spans="1:3" x14ac:dyDescent="0.2">
      <c r="A392" s="65">
        <v>40268</v>
      </c>
      <c r="B392" s="66">
        <v>2307150</v>
      </c>
      <c r="C392" s="66">
        <f>Table9[[#This Row],[WALCL]]-B391</f>
        <v>-5999</v>
      </c>
    </row>
    <row r="393" spans="1:3" x14ac:dyDescent="0.2">
      <c r="A393" s="65">
        <v>40275</v>
      </c>
      <c r="B393" s="66">
        <v>2307575</v>
      </c>
      <c r="C393" s="66">
        <f>Table9[[#This Row],[WALCL]]-B392</f>
        <v>425</v>
      </c>
    </row>
    <row r="394" spans="1:3" x14ac:dyDescent="0.2">
      <c r="A394" s="65">
        <v>40282</v>
      </c>
      <c r="B394" s="66">
        <v>2339345</v>
      </c>
      <c r="C394" s="66">
        <f>Table9[[#This Row],[WALCL]]-B393</f>
        <v>31770</v>
      </c>
    </row>
    <row r="395" spans="1:3" x14ac:dyDescent="0.2">
      <c r="A395" s="65">
        <v>40289</v>
      </c>
      <c r="B395" s="66">
        <v>2337556</v>
      </c>
      <c r="C395" s="66">
        <f>Table9[[#This Row],[WALCL]]-B394</f>
        <v>-1789</v>
      </c>
    </row>
    <row r="396" spans="1:3" x14ac:dyDescent="0.2">
      <c r="A396" s="65">
        <v>40296</v>
      </c>
      <c r="B396" s="66">
        <v>2330472</v>
      </c>
      <c r="C396" s="66">
        <f>Table9[[#This Row],[WALCL]]-B395</f>
        <v>-7084</v>
      </c>
    </row>
    <row r="397" spans="1:3" x14ac:dyDescent="0.2">
      <c r="A397" s="65">
        <v>40303</v>
      </c>
      <c r="B397" s="66">
        <v>2326164</v>
      </c>
      <c r="C397" s="66">
        <f>Table9[[#This Row],[WALCL]]-B396</f>
        <v>-4308</v>
      </c>
    </row>
    <row r="398" spans="1:3" x14ac:dyDescent="0.2">
      <c r="A398" s="65">
        <v>40310</v>
      </c>
      <c r="B398" s="66">
        <v>2336103</v>
      </c>
      <c r="C398" s="66">
        <f>Table9[[#This Row],[WALCL]]-B397</f>
        <v>9939</v>
      </c>
    </row>
    <row r="399" spans="1:3" x14ac:dyDescent="0.2">
      <c r="A399" s="65">
        <v>40317</v>
      </c>
      <c r="B399" s="66">
        <v>2350890</v>
      </c>
      <c r="C399" s="66">
        <f>Table9[[#This Row],[WALCL]]-B398</f>
        <v>14787</v>
      </c>
    </row>
    <row r="400" spans="1:3" x14ac:dyDescent="0.2">
      <c r="A400" s="65">
        <v>40324</v>
      </c>
      <c r="B400" s="66">
        <v>2334041</v>
      </c>
      <c r="C400" s="66">
        <f>Table9[[#This Row],[WALCL]]-B399</f>
        <v>-16849</v>
      </c>
    </row>
    <row r="401" spans="1:3" x14ac:dyDescent="0.2">
      <c r="A401" s="65">
        <v>40331</v>
      </c>
      <c r="B401" s="66">
        <v>2336216</v>
      </c>
      <c r="C401" s="66">
        <f>Table9[[#This Row],[WALCL]]-B400</f>
        <v>2175</v>
      </c>
    </row>
    <row r="402" spans="1:3" x14ac:dyDescent="0.2">
      <c r="A402" s="65">
        <v>40338</v>
      </c>
      <c r="B402" s="66">
        <v>2331529</v>
      </c>
      <c r="C402" s="66">
        <f>Table9[[#This Row],[WALCL]]-B401</f>
        <v>-4687</v>
      </c>
    </row>
    <row r="403" spans="1:3" x14ac:dyDescent="0.2">
      <c r="A403" s="65">
        <v>40345</v>
      </c>
      <c r="B403" s="66">
        <v>2344316</v>
      </c>
      <c r="C403" s="66">
        <f>Table9[[#This Row],[WALCL]]-B402</f>
        <v>12787</v>
      </c>
    </row>
    <row r="404" spans="1:3" x14ac:dyDescent="0.2">
      <c r="A404" s="65">
        <v>40352</v>
      </c>
      <c r="B404" s="66">
        <v>2344497</v>
      </c>
      <c r="C404" s="66">
        <f>Table9[[#This Row],[WALCL]]-B403</f>
        <v>181</v>
      </c>
    </row>
    <row r="405" spans="1:3" x14ac:dyDescent="0.2">
      <c r="A405" s="65">
        <v>40359</v>
      </c>
      <c r="B405" s="66">
        <v>2330851</v>
      </c>
      <c r="C405" s="66">
        <f>Table9[[#This Row],[WALCL]]-B404</f>
        <v>-13646</v>
      </c>
    </row>
    <row r="406" spans="1:3" x14ac:dyDescent="0.2">
      <c r="A406" s="65">
        <v>40366</v>
      </c>
      <c r="B406" s="66">
        <v>2332017</v>
      </c>
      <c r="C406" s="66">
        <f>Table9[[#This Row],[WALCL]]-B405</f>
        <v>1166</v>
      </c>
    </row>
    <row r="407" spans="1:3" x14ac:dyDescent="0.2">
      <c r="A407" s="65">
        <v>40373</v>
      </c>
      <c r="B407" s="66">
        <v>2340717</v>
      </c>
      <c r="C407" s="66">
        <f>Table9[[#This Row],[WALCL]]-B406</f>
        <v>8700</v>
      </c>
    </row>
    <row r="408" spans="1:3" x14ac:dyDescent="0.2">
      <c r="A408" s="65">
        <v>40380</v>
      </c>
      <c r="B408" s="66">
        <v>2332322</v>
      </c>
      <c r="C408" s="66">
        <f>Table9[[#This Row],[WALCL]]-B407</f>
        <v>-8395</v>
      </c>
    </row>
    <row r="409" spans="1:3" x14ac:dyDescent="0.2">
      <c r="A409" s="65">
        <v>40387</v>
      </c>
      <c r="B409" s="66">
        <v>2325298</v>
      </c>
      <c r="C409" s="66">
        <f>Table9[[#This Row],[WALCL]]-B408</f>
        <v>-7024</v>
      </c>
    </row>
    <row r="410" spans="1:3" x14ac:dyDescent="0.2">
      <c r="A410" s="65">
        <v>40394</v>
      </c>
      <c r="B410" s="66">
        <v>2326479</v>
      </c>
      <c r="C410" s="66">
        <f>Table9[[#This Row],[WALCL]]-B409</f>
        <v>1181</v>
      </c>
    </row>
    <row r="411" spans="1:3" x14ac:dyDescent="0.2">
      <c r="A411" s="65">
        <v>40401</v>
      </c>
      <c r="B411" s="66">
        <v>2327533</v>
      </c>
      <c r="C411" s="66">
        <f>Table9[[#This Row],[WALCL]]-B410</f>
        <v>1054</v>
      </c>
    </row>
    <row r="412" spans="1:3" x14ac:dyDescent="0.2">
      <c r="A412" s="65">
        <v>40408</v>
      </c>
      <c r="B412" s="66">
        <v>2313662</v>
      </c>
      <c r="C412" s="66">
        <f>Table9[[#This Row],[WALCL]]-B411</f>
        <v>-13871</v>
      </c>
    </row>
    <row r="413" spans="1:3" x14ac:dyDescent="0.2">
      <c r="A413" s="65">
        <v>40415</v>
      </c>
      <c r="B413" s="66">
        <v>2301015</v>
      </c>
      <c r="C413" s="66">
        <f>Table9[[#This Row],[WALCL]]-B412</f>
        <v>-12647</v>
      </c>
    </row>
    <row r="414" spans="1:3" x14ac:dyDescent="0.2">
      <c r="A414" s="65">
        <v>40422</v>
      </c>
      <c r="B414" s="66">
        <v>2301996</v>
      </c>
      <c r="C414" s="66">
        <f>Table9[[#This Row],[WALCL]]-B413</f>
        <v>981</v>
      </c>
    </row>
    <row r="415" spans="1:3" x14ac:dyDescent="0.2">
      <c r="A415" s="65">
        <v>40429</v>
      </c>
      <c r="B415" s="66">
        <v>2305802</v>
      </c>
      <c r="C415" s="66">
        <f>Table9[[#This Row],[WALCL]]-B414</f>
        <v>3806</v>
      </c>
    </row>
    <row r="416" spans="1:3" x14ac:dyDescent="0.2">
      <c r="A416" s="65">
        <v>40436</v>
      </c>
      <c r="B416" s="66">
        <v>2296079</v>
      </c>
      <c r="C416" s="66">
        <f>Table9[[#This Row],[WALCL]]-B415</f>
        <v>-9723</v>
      </c>
    </row>
    <row r="417" spans="1:3" x14ac:dyDescent="0.2">
      <c r="A417" s="65">
        <v>40443</v>
      </c>
      <c r="B417" s="66">
        <v>2307171</v>
      </c>
      <c r="C417" s="66">
        <f>Table9[[#This Row],[WALCL]]-B416</f>
        <v>11092</v>
      </c>
    </row>
    <row r="418" spans="1:3" x14ac:dyDescent="0.2">
      <c r="A418" s="65">
        <v>40450</v>
      </c>
      <c r="B418" s="66">
        <v>2298691</v>
      </c>
      <c r="C418" s="66">
        <f>Table9[[#This Row],[WALCL]]-B417</f>
        <v>-8480</v>
      </c>
    </row>
    <row r="419" spans="1:3" x14ac:dyDescent="0.2">
      <c r="A419" s="65">
        <v>40457</v>
      </c>
      <c r="B419" s="66">
        <v>2308092</v>
      </c>
      <c r="C419" s="66">
        <f>Table9[[#This Row],[WALCL]]-B418</f>
        <v>9401</v>
      </c>
    </row>
    <row r="420" spans="1:3" x14ac:dyDescent="0.2">
      <c r="A420" s="65">
        <v>40464</v>
      </c>
      <c r="B420" s="66">
        <v>2309885</v>
      </c>
      <c r="C420" s="66">
        <f>Table9[[#This Row],[WALCL]]-B419</f>
        <v>1793</v>
      </c>
    </row>
    <row r="421" spans="1:3" x14ac:dyDescent="0.2">
      <c r="A421" s="65">
        <v>40471</v>
      </c>
      <c r="B421" s="66">
        <v>2305227</v>
      </c>
      <c r="C421" s="66">
        <f>Table9[[#This Row],[WALCL]]-B420</f>
        <v>-4658</v>
      </c>
    </row>
    <row r="422" spans="1:3" x14ac:dyDescent="0.2">
      <c r="A422" s="65">
        <v>40478</v>
      </c>
      <c r="B422" s="66">
        <v>2295392</v>
      </c>
      <c r="C422" s="66">
        <f>Table9[[#This Row],[WALCL]]-B421</f>
        <v>-9835</v>
      </c>
    </row>
    <row r="423" spans="1:3" x14ac:dyDescent="0.2">
      <c r="A423" s="65">
        <v>40485</v>
      </c>
      <c r="B423" s="66">
        <v>2300353</v>
      </c>
      <c r="C423" s="66">
        <f>Table9[[#This Row],[WALCL]]-B422</f>
        <v>4961</v>
      </c>
    </row>
    <row r="424" spans="1:3" x14ac:dyDescent="0.2">
      <c r="A424" s="65">
        <v>40492</v>
      </c>
      <c r="B424" s="66">
        <v>2312768</v>
      </c>
      <c r="C424" s="66">
        <f>Table9[[#This Row],[WALCL]]-B423</f>
        <v>12415</v>
      </c>
    </row>
    <row r="425" spans="1:3" x14ac:dyDescent="0.2">
      <c r="A425" s="65">
        <v>40499</v>
      </c>
      <c r="B425" s="66">
        <v>2314757</v>
      </c>
      <c r="C425" s="66">
        <f>Table9[[#This Row],[WALCL]]-B424</f>
        <v>1989</v>
      </c>
    </row>
    <row r="426" spans="1:3" x14ac:dyDescent="0.2">
      <c r="A426" s="65">
        <v>40506</v>
      </c>
      <c r="B426" s="66">
        <v>2346001</v>
      </c>
      <c r="C426" s="66">
        <f>Table9[[#This Row],[WALCL]]-B425</f>
        <v>31244</v>
      </c>
    </row>
    <row r="427" spans="1:3" x14ac:dyDescent="0.2">
      <c r="A427" s="65">
        <v>40513</v>
      </c>
      <c r="B427" s="66">
        <v>2346920</v>
      </c>
      <c r="C427" s="66">
        <f>Table9[[#This Row],[WALCL]]-B426</f>
        <v>919</v>
      </c>
    </row>
    <row r="428" spans="1:3" x14ac:dyDescent="0.2">
      <c r="A428" s="65">
        <v>40520</v>
      </c>
      <c r="B428" s="66">
        <v>2382294</v>
      </c>
      <c r="C428" s="66">
        <f>Table9[[#This Row],[WALCL]]-B427</f>
        <v>35374</v>
      </c>
    </row>
    <row r="429" spans="1:3" x14ac:dyDescent="0.2">
      <c r="A429" s="65">
        <v>40527</v>
      </c>
      <c r="B429" s="66">
        <v>2385754</v>
      </c>
      <c r="C429" s="66">
        <f>Table9[[#This Row],[WALCL]]-B428</f>
        <v>3460</v>
      </c>
    </row>
    <row r="430" spans="1:3" x14ac:dyDescent="0.2">
      <c r="A430" s="65">
        <v>40534</v>
      </c>
      <c r="B430" s="66">
        <v>2427921</v>
      </c>
      <c r="C430" s="66">
        <f>Table9[[#This Row],[WALCL]]-B429</f>
        <v>42167</v>
      </c>
    </row>
    <row r="431" spans="1:3" x14ac:dyDescent="0.2">
      <c r="A431" s="65">
        <v>40541</v>
      </c>
      <c r="B431" s="66">
        <v>2420570</v>
      </c>
      <c r="C431" s="66">
        <f>Table9[[#This Row],[WALCL]]-B430</f>
        <v>-7351</v>
      </c>
    </row>
    <row r="432" spans="1:3" x14ac:dyDescent="0.2">
      <c r="A432" s="65">
        <v>40548</v>
      </c>
      <c r="B432" s="66">
        <v>2436064</v>
      </c>
      <c r="C432" s="66">
        <f>Table9[[#This Row],[WALCL]]-B431</f>
        <v>15494</v>
      </c>
    </row>
    <row r="433" spans="1:3" x14ac:dyDescent="0.2">
      <c r="A433" s="65">
        <v>40555</v>
      </c>
      <c r="B433" s="66">
        <v>2468131</v>
      </c>
      <c r="C433" s="66">
        <f>Table9[[#This Row],[WALCL]]-B432</f>
        <v>32067</v>
      </c>
    </row>
    <row r="434" spans="1:3" x14ac:dyDescent="0.2">
      <c r="A434" s="65">
        <v>40562</v>
      </c>
      <c r="B434" s="66">
        <v>2425164</v>
      </c>
      <c r="C434" s="66">
        <f>Table9[[#This Row],[WALCL]]-B433</f>
        <v>-42967</v>
      </c>
    </row>
    <row r="435" spans="1:3" x14ac:dyDescent="0.2">
      <c r="A435" s="65">
        <v>40569</v>
      </c>
      <c r="B435" s="66">
        <v>2443527</v>
      </c>
      <c r="C435" s="66">
        <f>Table9[[#This Row],[WALCL]]-B434</f>
        <v>18363</v>
      </c>
    </row>
    <row r="436" spans="1:3" x14ac:dyDescent="0.2">
      <c r="A436" s="65">
        <v>40576</v>
      </c>
      <c r="B436" s="66">
        <v>2469419</v>
      </c>
      <c r="C436" s="66">
        <f>Table9[[#This Row],[WALCL]]-B435</f>
        <v>25892</v>
      </c>
    </row>
    <row r="437" spans="1:3" x14ac:dyDescent="0.2">
      <c r="A437" s="65">
        <v>40583</v>
      </c>
      <c r="B437" s="66">
        <v>2500481</v>
      </c>
      <c r="C437" s="66">
        <f>Table9[[#This Row],[WALCL]]-B436</f>
        <v>31062</v>
      </c>
    </row>
    <row r="438" spans="1:3" x14ac:dyDescent="0.2">
      <c r="A438" s="65">
        <v>40590</v>
      </c>
      <c r="B438" s="66">
        <v>2508868</v>
      </c>
      <c r="C438" s="66">
        <f>Table9[[#This Row],[WALCL]]-B437</f>
        <v>8387</v>
      </c>
    </row>
    <row r="439" spans="1:3" x14ac:dyDescent="0.2">
      <c r="A439" s="65">
        <v>40597</v>
      </c>
      <c r="B439" s="66">
        <v>2533221</v>
      </c>
      <c r="C439" s="66">
        <f>Table9[[#This Row],[WALCL]]-B438</f>
        <v>24353</v>
      </c>
    </row>
    <row r="440" spans="1:3" x14ac:dyDescent="0.2">
      <c r="A440" s="65">
        <v>40604</v>
      </c>
      <c r="B440" s="66">
        <v>2545119</v>
      </c>
      <c r="C440" s="66">
        <f>Table9[[#This Row],[WALCL]]-B439</f>
        <v>11898</v>
      </c>
    </row>
    <row r="441" spans="1:3" x14ac:dyDescent="0.2">
      <c r="A441" s="65">
        <v>40611</v>
      </c>
      <c r="B441" s="66">
        <v>2577076</v>
      </c>
      <c r="C441" s="66">
        <f>Table9[[#This Row],[WALCL]]-B440</f>
        <v>31957</v>
      </c>
    </row>
    <row r="442" spans="1:3" x14ac:dyDescent="0.2">
      <c r="A442" s="65">
        <v>40618</v>
      </c>
      <c r="B442" s="66">
        <v>2583046</v>
      </c>
      <c r="C442" s="66">
        <f>Table9[[#This Row],[WALCL]]-B441</f>
        <v>5970</v>
      </c>
    </row>
    <row r="443" spans="1:3" x14ac:dyDescent="0.2">
      <c r="A443" s="65">
        <v>40625</v>
      </c>
      <c r="B443" s="66">
        <v>2601341</v>
      </c>
      <c r="C443" s="66">
        <f>Table9[[#This Row],[WALCL]]-B442</f>
        <v>18295</v>
      </c>
    </row>
    <row r="444" spans="1:3" x14ac:dyDescent="0.2">
      <c r="A444" s="65">
        <v>40632</v>
      </c>
      <c r="B444" s="66">
        <v>2622523</v>
      </c>
      <c r="C444" s="66">
        <f>Table9[[#This Row],[WALCL]]-B443</f>
        <v>21182</v>
      </c>
    </row>
    <row r="445" spans="1:3" x14ac:dyDescent="0.2">
      <c r="A445" s="65">
        <v>40639</v>
      </c>
      <c r="B445" s="66">
        <v>2648676</v>
      </c>
      <c r="C445" s="66">
        <f>Table9[[#This Row],[WALCL]]-B444</f>
        <v>26153</v>
      </c>
    </row>
    <row r="446" spans="1:3" x14ac:dyDescent="0.2">
      <c r="A446" s="65">
        <v>40646</v>
      </c>
      <c r="B446" s="66">
        <v>2665408</v>
      </c>
      <c r="C446" s="66">
        <f>Table9[[#This Row],[WALCL]]-B445</f>
        <v>16732</v>
      </c>
    </row>
    <row r="447" spans="1:3" x14ac:dyDescent="0.2">
      <c r="A447" s="65">
        <v>40653</v>
      </c>
      <c r="B447" s="66">
        <v>2685782</v>
      </c>
      <c r="C447" s="66">
        <f>Table9[[#This Row],[WALCL]]-B446</f>
        <v>20374</v>
      </c>
    </row>
    <row r="448" spans="1:3" x14ac:dyDescent="0.2">
      <c r="A448" s="65">
        <v>40660</v>
      </c>
      <c r="B448" s="66">
        <v>2690985</v>
      </c>
      <c r="C448" s="66">
        <f>Table9[[#This Row],[WALCL]]-B447</f>
        <v>5203</v>
      </c>
    </row>
    <row r="449" spans="1:3" x14ac:dyDescent="0.2">
      <c r="A449" s="65">
        <v>40667</v>
      </c>
      <c r="B449" s="66">
        <v>2718757</v>
      </c>
      <c r="C449" s="66">
        <f>Table9[[#This Row],[WALCL]]-B448</f>
        <v>27772</v>
      </c>
    </row>
    <row r="450" spans="1:3" x14ac:dyDescent="0.2">
      <c r="A450" s="65">
        <v>40674</v>
      </c>
      <c r="B450" s="66">
        <v>2744498</v>
      </c>
      <c r="C450" s="66">
        <f>Table9[[#This Row],[WALCL]]-B449</f>
        <v>25741</v>
      </c>
    </row>
    <row r="451" spans="1:3" x14ac:dyDescent="0.2">
      <c r="A451" s="65">
        <v>40681</v>
      </c>
      <c r="B451" s="66">
        <v>2758009</v>
      </c>
      <c r="C451" s="66">
        <f>Table9[[#This Row],[WALCL]]-B450</f>
        <v>13511</v>
      </c>
    </row>
    <row r="452" spans="1:3" x14ac:dyDescent="0.2">
      <c r="A452" s="65">
        <v>40688</v>
      </c>
      <c r="B452" s="66">
        <v>2774996</v>
      </c>
      <c r="C452" s="66">
        <f>Table9[[#This Row],[WALCL]]-B451</f>
        <v>16987</v>
      </c>
    </row>
    <row r="453" spans="1:3" x14ac:dyDescent="0.2">
      <c r="A453" s="65">
        <v>40695</v>
      </c>
      <c r="B453" s="66">
        <v>2788723</v>
      </c>
      <c r="C453" s="66">
        <f>Table9[[#This Row],[WALCL]]-B452</f>
        <v>13727</v>
      </c>
    </row>
    <row r="454" spans="1:3" x14ac:dyDescent="0.2">
      <c r="A454" s="65">
        <v>40702</v>
      </c>
      <c r="B454" s="66">
        <v>2811206</v>
      </c>
      <c r="C454" s="66">
        <f>Table9[[#This Row],[WALCL]]-B453</f>
        <v>22483</v>
      </c>
    </row>
    <row r="455" spans="1:3" x14ac:dyDescent="0.2">
      <c r="A455" s="65">
        <v>40709</v>
      </c>
      <c r="B455" s="66">
        <v>2827549</v>
      </c>
      <c r="C455" s="66">
        <f>Table9[[#This Row],[WALCL]]-B454</f>
        <v>16343</v>
      </c>
    </row>
    <row r="456" spans="1:3" x14ac:dyDescent="0.2">
      <c r="A456" s="65">
        <v>40716</v>
      </c>
      <c r="B456" s="66">
        <v>2856403</v>
      </c>
      <c r="C456" s="66">
        <f>Table9[[#This Row],[WALCL]]-B455</f>
        <v>28854</v>
      </c>
    </row>
    <row r="457" spans="1:3" x14ac:dyDescent="0.2">
      <c r="A457" s="65">
        <v>40723</v>
      </c>
      <c r="B457" s="66">
        <v>2865251</v>
      </c>
      <c r="C457" s="66">
        <f>Table9[[#This Row],[WALCL]]-B456</f>
        <v>8848</v>
      </c>
    </row>
    <row r="458" spans="1:3" x14ac:dyDescent="0.2">
      <c r="A458" s="65">
        <v>40730</v>
      </c>
      <c r="B458" s="66">
        <v>2870103</v>
      </c>
      <c r="C458" s="66">
        <f>Table9[[#This Row],[WALCL]]-B457</f>
        <v>4852</v>
      </c>
    </row>
    <row r="459" spans="1:3" x14ac:dyDescent="0.2">
      <c r="A459" s="65">
        <v>40737</v>
      </c>
      <c r="B459" s="66">
        <v>2878074</v>
      </c>
      <c r="C459" s="66">
        <f>Table9[[#This Row],[WALCL]]-B458</f>
        <v>7971</v>
      </c>
    </row>
    <row r="460" spans="1:3" x14ac:dyDescent="0.2">
      <c r="A460" s="65">
        <v>40744</v>
      </c>
      <c r="B460" s="66">
        <v>2871301</v>
      </c>
      <c r="C460" s="66">
        <f>Table9[[#This Row],[WALCL]]-B459</f>
        <v>-6773</v>
      </c>
    </row>
    <row r="461" spans="1:3" x14ac:dyDescent="0.2">
      <c r="A461" s="65">
        <v>40751</v>
      </c>
      <c r="B461" s="66">
        <v>2863576</v>
      </c>
      <c r="C461" s="66">
        <f>Table9[[#This Row],[WALCL]]-B460</f>
        <v>-7725</v>
      </c>
    </row>
    <row r="462" spans="1:3" x14ac:dyDescent="0.2">
      <c r="A462" s="65">
        <v>40758</v>
      </c>
      <c r="B462" s="66">
        <v>2867215</v>
      </c>
      <c r="C462" s="66">
        <f>Table9[[#This Row],[WALCL]]-B461</f>
        <v>3639</v>
      </c>
    </row>
    <row r="463" spans="1:3" x14ac:dyDescent="0.2">
      <c r="A463" s="65">
        <v>40765</v>
      </c>
      <c r="B463" s="66">
        <v>2872423</v>
      </c>
      <c r="C463" s="66">
        <f>Table9[[#This Row],[WALCL]]-B462</f>
        <v>5208</v>
      </c>
    </row>
    <row r="464" spans="1:3" x14ac:dyDescent="0.2">
      <c r="A464" s="65">
        <v>40772</v>
      </c>
      <c r="B464" s="66">
        <v>2857906</v>
      </c>
      <c r="C464" s="66">
        <f>Table9[[#This Row],[WALCL]]-B463</f>
        <v>-14517</v>
      </c>
    </row>
    <row r="465" spans="1:3" x14ac:dyDescent="0.2">
      <c r="A465" s="65">
        <v>40779</v>
      </c>
      <c r="B465" s="66">
        <v>2859433</v>
      </c>
      <c r="C465" s="66">
        <f>Table9[[#This Row],[WALCL]]-B464</f>
        <v>1527</v>
      </c>
    </row>
    <row r="466" spans="1:3" x14ac:dyDescent="0.2">
      <c r="A466" s="65">
        <v>40786</v>
      </c>
      <c r="B466" s="66">
        <v>2853888</v>
      </c>
      <c r="C466" s="66">
        <f>Table9[[#This Row],[WALCL]]-B465</f>
        <v>-5545</v>
      </c>
    </row>
    <row r="467" spans="1:3" x14ac:dyDescent="0.2">
      <c r="A467" s="65">
        <v>40793</v>
      </c>
      <c r="B467" s="66">
        <v>2858660</v>
      </c>
      <c r="C467" s="66">
        <f>Table9[[#This Row],[WALCL]]-B466</f>
        <v>4772</v>
      </c>
    </row>
    <row r="468" spans="1:3" x14ac:dyDescent="0.2">
      <c r="A468" s="65">
        <v>40800</v>
      </c>
      <c r="B468" s="66">
        <v>2863540</v>
      </c>
      <c r="C468" s="66">
        <f>Table9[[#This Row],[WALCL]]-B467</f>
        <v>4880</v>
      </c>
    </row>
    <row r="469" spans="1:3" x14ac:dyDescent="0.2">
      <c r="A469" s="65">
        <v>40807</v>
      </c>
      <c r="B469" s="66">
        <v>2857747</v>
      </c>
      <c r="C469" s="66">
        <f>Table9[[#This Row],[WALCL]]-B468</f>
        <v>-5793</v>
      </c>
    </row>
    <row r="470" spans="1:3" x14ac:dyDescent="0.2">
      <c r="A470" s="65">
        <v>40814</v>
      </c>
      <c r="B470" s="66">
        <v>2850921</v>
      </c>
      <c r="C470" s="66">
        <f>Table9[[#This Row],[WALCL]]-B469</f>
        <v>-6826</v>
      </c>
    </row>
    <row r="471" spans="1:3" x14ac:dyDescent="0.2">
      <c r="A471" s="65">
        <v>40821</v>
      </c>
      <c r="B471" s="66">
        <v>2859701</v>
      </c>
      <c r="C471" s="66">
        <f>Table9[[#This Row],[WALCL]]-B470</f>
        <v>8780</v>
      </c>
    </row>
    <row r="472" spans="1:3" x14ac:dyDescent="0.2">
      <c r="A472" s="65">
        <v>40828</v>
      </c>
      <c r="B472" s="66">
        <v>2860822</v>
      </c>
      <c r="C472" s="66">
        <f>Table9[[#This Row],[WALCL]]-B471</f>
        <v>1121</v>
      </c>
    </row>
    <row r="473" spans="1:3" x14ac:dyDescent="0.2">
      <c r="A473" s="65">
        <v>40835</v>
      </c>
      <c r="B473" s="66">
        <v>2852390</v>
      </c>
      <c r="C473" s="66">
        <f>Table9[[#This Row],[WALCL]]-B472</f>
        <v>-8432</v>
      </c>
    </row>
    <row r="474" spans="1:3" x14ac:dyDescent="0.2">
      <c r="A474" s="65">
        <v>40842</v>
      </c>
      <c r="B474" s="66">
        <v>2845685</v>
      </c>
      <c r="C474" s="66">
        <f>Table9[[#This Row],[WALCL]]-B473</f>
        <v>-6705</v>
      </c>
    </row>
    <row r="475" spans="1:3" x14ac:dyDescent="0.2">
      <c r="A475" s="65">
        <v>40849</v>
      </c>
      <c r="B475" s="66">
        <v>2822034</v>
      </c>
      <c r="C475" s="66">
        <f>Table9[[#This Row],[WALCL]]-B474</f>
        <v>-23651</v>
      </c>
    </row>
    <row r="476" spans="1:3" x14ac:dyDescent="0.2">
      <c r="A476" s="65">
        <v>40856</v>
      </c>
      <c r="B476" s="66">
        <v>2839786</v>
      </c>
      <c r="C476" s="66">
        <f>Table9[[#This Row],[WALCL]]-B475</f>
        <v>17752</v>
      </c>
    </row>
    <row r="477" spans="1:3" x14ac:dyDescent="0.2">
      <c r="A477" s="65">
        <v>40863</v>
      </c>
      <c r="B477" s="66">
        <v>2831576</v>
      </c>
      <c r="C477" s="66">
        <f>Table9[[#This Row],[WALCL]]-B476</f>
        <v>-8210</v>
      </c>
    </row>
    <row r="478" spans="1:3" x14ac:dyDescent="0.2">
      <c r="A478" s="65">
        <v>40870</v>
      </c>
      <c r="B478" s="66">
        <v>2821980</v>
      </c>
      <c r="C478" s="66">
        <f>Table9[[#This Row],[WALCL]]-B477</f>
        <v>-9596</v>
      </c>
    </row>
    <row r="479" spans="1:3" x14ac:dyDescent="0.2">
      <c r="A479" s="65">
        <v>40877</v>
      </c>
      <c r="B479" s="66">
        <v>2814235</v>
      </c>
      <c r="C479" s="66">
        <f>Table9[[#This Row],[WALCL]]-B478</f>
        <v>-7745</v>
      </c>
    </row>
    <row r="480" spans="1:3" x14ac:dyDescent="0.2">
      <c r="A480" s="65">
        <v>40884</v>
      </c>
      <c r="B480" s="66">
        <v>2820691</v>
      </c>
      <c r="C480" s="66">
        <f>Table9[[#This Row],[WALCL]]-B479</f>
        <v>6456</v>
      </c>
    </row>
    <row r="481" spans="1:3" x14ac:dyDescent="0.2">
      <c r="A481" s="65">
        <v>40891</v>
      </c>
      <c r="B481" s="66">
        <v>2902488</v>
      </c>
      <c r="C481" s="66">
        <f>Table9[[#This Row],[WALCL]]-B480</f>
        <v>81797</v>
      </c>
    </row>
    <row r="482" spans="1:3" x14ac:dyDescent="0.2">
      <c r="A482" s="65">
        <v>40898</v>
      </c>
      <c r="B482" s="66">
        <v>2916085</v>
      </c>
      <c r="C482" s="66">
        <f>Table9[[#This Row],[WALCL]]-B481</f>
        <v>13597</v>
      </c>
    </row>
    <row r="483" spans="1:3" x14ac:dyDescent="0.2">
      <c r="A483" s="65">
        <v>40905</v>
      </c>
      <c r="B483" s="66">
        <v>2926095</v>
      </c>
      <c r="C483" s="66">
        <f>Table9[[#This Row],[WALCL]]-B482</f>
        <v>10010</v>
      </c>
    </row>
    <row r="484" spans="1:3" x14ac:dyDescent="0.2">
      <c r="A484" s="65">
        <v>40912</v>
      </c>
      <c r="B484" s="66">
        <v>2917689</v>
      </c>
      <c r="C484" s="66">
        <f>Table9[[#This Row],[WALCL]]-B483</f>
        <v>-8406</v>
      </c>
    </row>
    <row r="485" spans="1:3" x14ac:dyDescent="0.2">
      <c r="A485" s="65">
        <v>40919</v>
      </c>
      <c r="B485" s="66">
        <v>2899149</v>
      </c>
      <c r="C485" s="66">
        <f>Table9[[#This Row],[WALCL]]-B484</f>
        <v>-18540</v>
      </c>
    </row>
    <row r="486" spans="1:3" x14ac:dyDescent="0.2">
      <c r="A486" s="65">
        <v>40926</v>
      </c>
      <c r="B486" s="66">
        <v>2919423</v>
      </c>
      <c r="C486" s="66">
        <f>Table9[[#This Row],[WALCL]]-B485</f>
        <v>20274</v>
      </c>
    </row>
    <row r="487" spans="1:3" x14ac:dyDescent="0.2">
      <c r="A487" s="65">
        <v>40933</v>
      </c>
      <c r="B487" s="66">
        <v>2919545</v>
      </c>
      <c r="C487" s="66">
        <f>Table9[[#This Row],[WALCL]]-B486</f>
        <v>122</v>
      </c>
    </row>
    <row r="488" spans="1:3" x14ac:dyDescent="0.2">
      <c r="A488" s="65">
        <v>40940</v>
      </c>
      <c r="B488" s="66">
        <v>2924947</v>
      </c>
      <c r="C488" s="66">
        <f>Table9[[#This Row],[WALCL]]-B487</f>
        <v>5402</v>
      </c>
    </row>
    <row r="489" spans="1:3" x14ac:dyDescent="0.2">
      <c r="A489" s="65">
        <v>40947</v>
      </c>
      <c r="B489" s="66">
        <v>2928275</v>
      </c>
      <c r="C489" s="66">
        <f>Table9[[#This Row],[WALCL]]-B488</f>
        <v>3328</v>
      </c>
    </row>
    <row r="490" spans="1:3" x14ac:dyDescent="0.2">
      <c r="A490" s="65">
        <v>40954</v>
      </c>
      <c r="B490" s="66">
        <v>2937893</v>
      </c>
      <c r="C490" s="66">
        <f>Table9[[#This Row],[WALCL]]-B489</f>
        <v>9618</v>
      </c>
    </row>
    <row r="491" spans="1:3" x14ac:dyDescent="0.2">
      <c r="A491" s="65">
        <v>40961</v>
      </c>
      <c r="B491" s="66">
        <v>2932813</v>
      </c>
      <c r="C491" s="66">
        <f>Table9[[#This Row],[WALCL]]-B490</f>
        <v>-5080</v>
      </c>
    </row>
    <row r="492" spans="1:3" x14ac:dyDescent="0.2">
      <c r="A492" s="65">
        <v>40968</v>
      </c>
      <c r="B492" s="66">
        <v>2925722</v>
      </c>
      <c r="C492" s="66">
        <f>Table9[[#This Row],[WALCL]]-B491</f>
        <v>-7091</v>
      </c>
    </row>
    <row r="493" spans="1:3" x14ac:dyDescent="0.2">
      <c r="A493" s="65">
        <v>40975</v>
      </c>
      <c r="B493" s="66">
        <v>2884747</v>
      </c>
      <c r="C493" s="66">
        <f>Table9[[#This Row],[WALCL]]-B492</f>
        <v>-40975</v>
      </c>
    </row>
    <row r="494" spans="1:3" x14ac:dyDescent="0.2">
      <c r="A494" s="65">
        <v>40982</v>
      </c>
      <c r="B494" s="66">
        <v>2893560</v>
      </c>
      <c r="C494" s="66">
        <f>Table9[[#This Row],[WALCL]]-B493</f>
        <v>8813</v>
      </c>
    </row>
    <row r="495" spans="1:3" x14ac:dyDescent="0.2">
      <c r="A495" s="65">
        <v>40989</v>
      </c>
      <c r="B495" s="66">
        <v>2892646</v>
      </c>
      <c r="C495" s="66">
        <f>Table9[[#This Row],[WALCL]]-B494</f>
        <v>-914</v>
      </c>
    </row>
    <row r="496" spans="1:3" x14ac:dyDescent="0.2">
      <c r="A496" s="65">
        <v>40996</v>
      </c>
      <c r="B496" s="66">
        <v>2878137</v>
      </c>
      <c r="C496" s="66">
        <f>Table9[[#This Row],[WALCL]]-B495</f>
        <v>-14509</v>
      </c>
    </row>
    <row r="497" spans="1:3" x14ac:dyDescent="0.2">
      <c r="A497" s="65">
        <v>41003</v>
      </c>
      <c r="B497" s="66">
        <v>2865478</v>
      </c>
      <c r="C497" s="66">
        <f>Table9[[#This Row],[WALCL]]-B496</f>
        <v>-12659</v>
      </c>
    </row>
    <row r="498" spans="1:3" x14ac:dyDescent="0.2">
      <c r="A498" s="65">
        <v>41010</v>
      </c>
      <c r="B498" s="66">
        <v>2867200</v>
      </c>
      <c r="C498" s="66">
        <f>Table9[[#This Row],[WALCL]]-B497</f>
        <v>1722</v>
      </c>
    </row>
    <row r="499" spans="1:3" x14ac:dyDescent="0.2">
      <c r="A499" s="65">
        <v>41017</v>
      </c>
      <c r="B499" s="66">
        <v>2875470</v>
      </c>
      <c r="C499" s="66">
        <f>Table9[[#This Row],[WALCL]]-B498</f>
        <v>8270</v>
      </c>
    </row>
    <row r="500" spans="1:3" x14ac:dyDescent="0.2">
      <c r="A500" s="65">
        <v>41024</v>
      </c>
      <c r="B500" s="66">
        <v>2866561</v>
      </c>
      <c r="C500" s="66">
        <f>Table9[[#This Row],[WALCL]]-B499</f>
        <v>-8909</v>
      </c>
    </row>
    <row r="501" spans="1:3" x14ac:dyDescent="0.2">
      <c r="A501" s="65">
        <v>41031</v>
      </c>
      <c r="B501" s="66">
        <v>2864280</v>
      </c>
      <c r="C501" s="66">
        <f>Table9[[#This Row],[WALCL]]-B500</f>
        <v>-2281</v>
      </c>
    </row>
    <row r="502" spans="1:3" x14ac:dyDescent="0.2">
      <c r="A502" s="65">
        <v>41038</v>
      </c>
      <c r="B502" s="66">
        <v>2864150</v>
      </c>
      <c r="C502" s="66">
        <f>Table9[[#This Row],[WALCL]]-B501</f>
        <v>-130</v>
      </c>
    </row>
    <row r="503" spans="1:3" x14ac:dyDescent="0.2">
      <c r="A503" s="65">
        <v>41045</v>
      </c>
      <c r="B503" s="66">
        <v>2850984</v>
      </c>
      <c r="C503" s="66">
        <f>Table9[[#This Row],[WALCL]]-B502</f>
        <v>-13166</v>
      </c>
    </row>
    <row r="504" spans="1:3" x14ac:dyDescent="0.2">
      <c r="A504" s="65">
        <v>41052</v>
      </c>
      <c r="B504" s="66">
        <v>2859495</v>
      </c>
      <c r="C504" s="66">
        <f>Table9[[#This Row],[WALCL]]-B503</f>
        <v>8511</v>
      </c>
    </row>
    <row r="505" spans="1:3" x14ac:dyDescent="0.2">
      <c r="A505" s="65">
        <v>41059</v>
      </c>
      <c r="B505" s="66">
        <v>2842654</v>
      </c>
      <c r="C505" s="66">
        <f>Table9[[#This Row],[WALCL]]-B504</f>
        <v>-16841</v>
      </c>
    </row>
    <row r="506" spans="1:3" x14ac:dyDescent="0.2">
      <c r="A506" s="65">
        <v>41066</v>
      </c>
      <c r="B506" s="66">
        <v>2852018</v>
      </c>
      <c r="C506" s="66">
        <f>Table9[[#This Row],[WALCL]]-B505</f>
        <v>9364</v>
      </c>
    </row>
    <row r="507" spans="1:3" x14ac:dyDescent="0.2">
      <c r="A507" s="65">
        <v>41073</v>
      </c>
      <c r="B507" s="66">
        <v>2869071</v>
      </c>
      <c r="C507" s="66">
        <f>Table9[[#This Row],[WALCL]]-B506</f>
        <v>17053</v>
      </c>
    </row>
    <row r="508" spans="1:3" x14ac:dyDescent="0.2">
      <c r="A508" s="65">
        <v>41080</v>
      </c>
      <c r="B508" s="66">
        <v>2870846</v>
      </c>
      <c r="C508" s="66">
        <f>Table9[[#This Row],[WALCL]]-B507</f>
        <v>1775</v>
      </c>
    </row>
    <row r="509" spans="1:3" x14ac:dyDescent="0.2">
      <c r="A509" s="65">
        <v>41087</v>
      </c>
      <c r="B509" s="66">
        <v>2863547</v>
      </c>
      <c r="C509" s="66">
        <f>Table9[[#This Row],[WALCL]]-B508</f>
        <v>-7299</v>
      </c>
    </row>
    <row r="510" spans="1:3" x14ac:dyDescent="0.2">
      <c r="A510" s="65">
        <v>41094</v>
      </c>
      <c r="B510" s="66">
        <v>2865858</v>
      </c>
      <c r="C510" s="66">
        <f>Table9[[#This Row],[WALCL]]-B509</f>
        <v>2311</v>
      </c>
    </row>
    <row r="511" spans="1:3" x14ac:dyDescent="0.2">
      <c r="A511" s="65">
        <v>41101</v>
      </c>
      <c r="B511" s="66">
        <v>2866279</v>
      </c>
      <c r="C511" s="66">
        <f>Table9[[#This Row],[WALCL]]-B510</f>
        <v>421</v>
      </c>
    </row>
    <row r="512" spans="1:3" x14ac:dyDescent="0.2">
      <c r="A512" s="65">
        <v>41108</v>
      </c>
      <c r="B512" s="66">
        <v>2855807</v>
      </c>
      <c r="C512" s="66">
        <f>Table9[[#This Row],[WALCL]]-B511</f>
        <v>-10472</v>
      </c>
    </row>
    <row r="513" spans="1:3" x14ac:dyDescent="0.2">
      <c r="A513" s="65">
        <v>41115</v>
      </c>
      <c r="B513" s="66">
        <v>2846757</v>
      </c>
      <c r="C513" s="66">
        <f>Table9[[#This Row],[WALCL]]-B512</f>
        <v>-9050</v>
      </c>
    </row>
    <row r="514" spans="1:3" x14ac:dyDescent="0.2">
      <c r="A514" s="65">
        <v>41122</v>
      </c>
      <c r="B514" s="66">
        <v>2851118</v>
      </c>
      <c r="C514" s="66">
        <f>Table9[[#This Row],[WALCL]]-B513</f>
        <v>4361</v>
      </c>
    </row>
    <row r="515" spans="1:3" x14ac:dyDescent="0.2">
      <c r="A515" s="65">
        <v>41129</v>
      </c>
      <c r="B515" s="66">
        <v>2856181</v>
      </c>
      <c r="C515" s="66">
        <f>Table9[[#This Row],[WALCL]]-B514</f>
        <v>5063</v>
      </c>
    </row>
    <row r="516" spans="1:3" x14ac:dyDescent="0.2">
      <c r="A516" s="65">
        <v>41136</v>
      </c>
      <c r="B516" s="66">
        <v>2833317</v>
      </c>
      <c r="C516" s="66">
        <f>Table9[[#This Row],[WALCL]]-B515</f>
        <v>-22864</v>
      </c>
    </row>
    <row r="517" spans="1:3" x14ac:dyDescent="0.2">
      <c r="A517" s="65">
        <v>41143</v>
      </c>
      <c r="B517" s="66">
        <v>2825661</v>
      </c>
      <c r="C517" s="66">
        <f>Table9[[#This Row],[WALCL]]-B516</f>
        <v>-7656</v>
      </c>
    </row>
    <row r="518" spans="1:3" x14ac:dyDescent="0.2">
      <c r="A518" s="65">
        <v>41150</v>
      </c>
      <c r="B518" s="66">
        <v>2812806</v>
      </c>
      <c r="C518" s="66">
        <f>Table9[[#This Row],[WALCL]]-B517</f>
        <v>-12855</v>
      </c>
    </row>
    <row r="519" spans="1:3" x14ac:dyDescent="0.2">
      <c r="A519" s="65">
        <v>41157</v>
      </c>
      <c r="B519" s="66">
        <v>2822169</v>
      </c>
      <c r="C519" s="66">
        <f>Table9[[#This Row],[WALCL]]-B518</f>
        <v>9363</v>
      </c>
    </row>
    <row r="520" spans="1:3" x14ac:dyDescent="0.2">
      <c r="A520" s="65">
        <v>41164</v>
      </c>
      <c r="B520" s="66">
        <v>2823448</v>
      </c>
      <c r="C520" s="66">
        <f>Table9[[#This Row],[WALCL]]-B519</f>
        <v>1279</v>
      </c>
    </row>
    <row r="521" spans="1:3" x14ac:dyDescent="0.2">
      <c r="A521" s="65">
        <v>41171</v>
      </c>
      <c r="B521" s="66">
        <v>2821574</v>
      </c>
      <c r="C521" s="66">
        <f>Table9[[#This Row],[WALCL]]-B520</f>
        <v>-1874</v>
      </c>
    </row>
    <row r="522" spans="1:3" x14ac:dyDescent="0.2">
      <c r="A522" s="65">
        <v>41178</v>
      </c>
      <c r="B522" s="66">
        <v>2804457</v>
      </c>
      <c r="C522" s="66">
        <f>Table9[[#This Row],[WALCL]]-B521</f>
        <v>-17117</v>
      </c>
    </row>
    <row r="523" spans="1:3" x14ac:dyDescent="0.2">
      <c r="A523" s="65">
        <v>41185</v>
      </c>
      <c r="B523" s="66">
        <v>2808512</v>
      </c>
      <c r="C523" s="66">
        <f>Table9[[#This Row],[WALCL]]-B522</f>
        <v>4055</v>
      </c>
    </row>
    <row r="524" spans="1:3" x14ac:dyDescent="0.2">
      <c r="A524" s="65">
        <v>41192</v>
      </c>
      <c r="B524" s="66">
        <v>2811623</v>
      </c>
      <c r="C524" s="66">
        <f>Table9[[#This Row],[WALCL]]-B523</f>
        <v>3111</v>
      </c>
    </row>
    <row r="525" spans="1:3" x14ac:dyDescent="0.2">
      <c r="A525" s="65">
        <v>41199</v>
      </c>
      <c r="B525" s="66">
        <v>2846920</v>
      </c>
      <c r="C525" s="66">
        <f>Table9[[#This Row],[WALCL]]-B524</f>
        <v>35297</v>
      </c>
    </row>
    <row r="526" spans="1:3" x14ac:dyDescent="0.2">
      <c r="A526" s="65">
        <v>41206</v>
      </c>
      <c r="B526" s="66">
        <v>2840964</v>
      </c>
      <c r="C526" s="66">
        <f>Table9[[#This Row],[WALCL]]-B525</f>
        <v>-5956</v>
      </c>
    </row>
    <row r="527" spans="1:3" x14ac:dyDescent="0.2">
      <c r="A527" s="65">
        <v>41213</v>
      </c>
      <c r="B527" s="66">
        <v>2823137</v>
      </c>
      <c r="C527" s="66">
        <f>Table9[[#This Row],[WALCL]]-B526</f>
        <v>-17827</v>
      </c>
    </row>
    <row r="528" spans="1:3" x14ac:dyDescent="0.2">
      <c r="A528" s="65">
        <v>41220</v>
      </c>
      <c r="B528" s="66">
        <v>2830791</v>
      </c>
      <c r="C528" s="66">
        <f>Table9[[#This Row],[WALCL]]-B527</f>
        <v>7654</v>
      </c>
    </row>
    <row r="529" spans="1:3" x14ac:dyDescent="0.2">
      <c r="A529" s="65">
        <v>41227</v>
      </c>
      <c r="B529" s="66">
        <v>2877244</v>
      </c>
      <c r="C529" s="66">
        <f>Table9[[#This Row],[WALCL]]-B528</f>
        <v>46453</v>
      </c>
    </row>
    <row r="530" spans="1:3" x14ac:dyDescent="0.2">
      <c r="A530" s="65">
        <v>41234</v>
      </c>
      <c r="B530" s="66">
        <v>2871161</v>
      </c>
      <c r="C530" s="66">
        <f>Table9[[#This Row],[WALCL]]-B529</f>
        <v>-6083</v>
      </c>
    </row>
    <row r="531" spans="1:3" x14ac:dyDescent="0.2">
      <c r="A531" s="65">
        <v>41241</v>
      </c>
      <c r="B531" s="66">
        <v>2851362</v>
      </c>
      <c r="C531" s="66">
        <f>Table9[[#This Row],[WALCL]]-B530</f>
        <v>-19799</v>
      </c>
    </row>
    <row r="532" spans="1:3" x14ac:dyDescent="0.2">
      <c r="A532" s="65">
        <v>41248</v>
      </c>
      <c r="B532" s="66">
        <v>2859807</v>
      </c>
      <c r="C532" s="66">
        <f>Table9[[#This Row],[WALCL]]-B531</f>
        <v>8445</v>
      </c>
    </row>
    <row r="533" spans="1:3" x14ac:dyDescent="0.2">
      <c r="A533" s="65">
        <v>41255</v>
      </c>
      <c r="B533" s="66">
        <v>2917260</v>
      </c>
      <c r="C533" s="66">
        <f>Table9[[#This Row],[WALCL]]-B532</f>
        <v>57453</v>
      </c>
    </row>
    <row r="534" spans="1:3" x14ac:dyDescent="0.2">
      <c r="A534" s="65">
        <v>41262</v>
      </c>
      <c r="B534" s="66">
        <v>2920231</v>
      </c>
      <c r="C534" s="66">
        <f>Table9[[#This Row],[WALCL]]-B533</f>
        <v>2971</v>
      </c>
    </row>
    <row r="535" spans="1:3" x14ac:dyDescent="0.2">
      <c r="A535" s="65">
        <v>41269</v>
      </c>
      <c r="B535" s="66">
        <v>2907300</v>
      </c>
      <c r="C535" s="66">
        <f>Table9[[#This Row],[WALCL]]-B534</f>
        <v>-12931</v>
      </c>
    </row>
    <row r="536" spans="1:3" x14ac:dyDescent="0.2">
      <c r="A536" s="65">
        <v>41276</v>
      </c>
      <c r="B536" s="66">
        <v>2917189</v>
      </c>
      <c r="C536" s="66">
        <f>Table9[[#This Row],[WALCL]]-B535</f>
        <v>9889</v>
      </c>
    </row>
    <row r="537" spans="1:3" x14ac:dyDescent="0.2">
      <c r="A537" s="65">
        <v>41283</v>
      </c>
      <c r="B537" s="66">
        <v>2928728</v>
      </c>
      <c r="C537" s="66">
        <f>Table9[[#This Row],[WALCL]]-B536</f>
        <v>11539</v>
      </c>
    </row>
    <row r="538" spans="1:3" x14ac:dyDescent="0.2">
      <c r="A538" s="65">
        <v>41290</v>
      </c>
      <c r="B538" s="66">
        <v>2963812</v>
      </c>
      <c r="C538" s="66">
        <f>Table9[[#This Row],[WALCL]]-B537</f>
        <v>35084</v>
      </c>
    </row>
    <row r="539" spans="1:3" x14ac:dyDescent="0.2">
      <c r="A539" s="65">
        <v>41297</v>
      </c>
      <c r="B539" s="66">
        <v>3011697</v>
      </c>
      <c r="C539" s="66">
        <f>Table9[[#This Row],[WALCL]]-B538</f>
        <v>47885</v>
      </c>
    </row>
    <row r="540" spans="1:3" x14ac:dyDescent="0.2">
      <c r="A540" s="65">
        <v>41304</v>
      </c>
      <c r="B540" s="66">
        <v>3008704</v>
      </c>
      <c r="C540" s="66">
        <f>Table9[[#This Row],[WALCL]]-B539</f>
        <v>-2993</v>
      </c>
    </row>
    <row r="541" spans="1:3" x14ac:dyDescent="0.2">
      <c r="A541" s="65">
        <v>41311</v>
      </c>
      <c r="B541" s="66">
        <v>3014975</v>
      </c>
      <c r="C541" s="66">
        <f>Table9[[#This Row],[WALCL]]-B540</f>
        <v>6271</v>
      </c>
    </row>
    <row r="542" spans="1:3" x14ac:dyDescent="0.2">
      <c r="A542" s="65">
        <v>41318</v>
      </c>
      <c r="B542" s="66">
        <v>3074225</v>
      </c>
      <c r="C542" s="66">
        <f>Table9[[#This Row],[WALCL]]-B541</f>
        <v>59250</v>
      </c>
    </row>
    <row r="543" spans="1:3" x14ac:dyDescent="0.2">
      <c r="A543" s="65">
        <v>41325</v>
      </c>
      <c r="B543" s="66">
        <v>3095150</v>
      </c>
      <c r="C543" s="66">
        <f>Table9[[#This Row],[WALCL]]-B542</f>
        <v>20925</v>
      </c>
    </row>
    <row r="544" spans="1:3" x14ac:dyDescent="0.2">
      <c r="A544" s="65">
        <v>41332</v>
      </c>
      <c r="B544" s="66">
        <v>3090600</v>
      </c>
      <c r="C544" s="66">
        <f>Table9[[#This Row],[WALCL]]-B543</f>
        <v>-4550</v>
      </c>
    </row>
    <row r="545" spans="1:3" x14ac:dyDescent="0.2">
      <c r="A545" s="65">
        <v>41339</v>
      </c>
      <c r="B545" s="66">
        <v>3108805</v>
      </c>
      <c r="C545" s="66">
        <f>Table9[[#This Row],[WALCL]]-B544</f>
        <v>18205</v>
      </c>
    </row>
    <row r="546" spans="1:3" x14ac:dyDescent="0.2">
      <c r="A546" s="65">
        <v>41346</v>
      </c>
      <c r="B546" s="66">
        <v>3165396</v>
      </c>
      <c r="C546" s="66">
        <f>Table9[[#This Row],[WALCL]]-B545</f>
        <v>56591</v>
      </c>
    </row>
    <row r="547" spans="1:3" x14ac:dyDescent="0.2">
      <c r="A547" s="65">
        <v>41353</v>
      </c>
      <c r="B547" s="66">
        <v>3206888</v>
      </c>
      <c r="C547" s="66">
        <f>Table9[[#This Row],[WALCL]]-B546</f>
        <v>41492</v>
      </c>
    </row>
    <row r="548" spans="1:3" x14ac:dyDescent="0.2">
      <c r="A548" s="65">
        <v>41360</v>
      </c>
      <c r="B548" s="66">
        <v>3202256</v>
      </c>
      <c r="C548" s="66">
        <f>Table9[[#This Row],[WALCL]]-B547</f>
        <v>-4632</v>
      </c>
    </row>
    <row r="549" spans="1:3" x14ac:dyDescent="0.2">
      <c r="A549" s="65">
        <v>41367</v>
      </c>
      <c r="B549" s="66">
        <v>3215432</v>
      </c>
      <c r="C549" s="66">
        <f>Table9[[#This Row],[WALCL]]-B548</f>
        <v>13176</v>
      </c>
    </row>
    <row r="550" spans="1:3" x14ac:dyDescent="0.2">
      <c r="A550" s="65">
        <v>41374</v>
      </c>
      <c r="B550" s="66">
        <v>3227762</v>
      </c>
      <c r="C550" s="66">
        <f>Table9[[#This Row],[WALCL]]-B549</f>
        <v>12330</v>
      </c>
    </row>
    <row r="551" spans="1:3" x14ac:dyDescent="0.2">
      <c r="A551" s="65">
        <v>41381</v>
      </c>
      <c r="B551" s="66">
        <v>3295109</v>
      </c>
      <c r="C551" s="66">
        <f>Table9[[#This Row],[WALCL]]-B550</f>
        <v>67347</v>
      </c>
    </row>
    <row r="552" spans="1:3" x14ac:dyDescent="0.2">
      <c r="A552" s="65">
        <v>41388</v>
      </c>
      <c r="B552" s="66">
        <v>3318649</v>
      </c>
      <c r="C552" s="66">
        <f>Table9[[#This Row],[WALCL]]-B551</f>
        <v>23540</v>
      </c>
    </row>
    <row r="553" spans="1:3" x14ac:dyDescent="0.2">
      <c r="A553" s="65">
        <v>41395</v>
      </c>
      <c r="B553" s="66">
        <v>3317194</v>
      </c>
      <c r="C553" s="66">
        <f>Table9[[#This Row],[WALCL]]-B552</f>
        <v>-1455</v>
      </c>
    </row>
    <row r="554" spans="1:3" x14ac:dyDescent="0.2">
      <c r="A554" s="65">
        <v>41402</v>
      </c>
      <c r="B554" s="66">
        <v>3324615</v>
      </c>
      <c r="C554" s="66">
        <f>Table9[[#This Row],[WALCL]]-B553</f>
        <v>7421</v>
      </c>
    </row>
    <row r="555" spans="1:3" x14ac:dyDescent="0.2">
      <c r="A555" s="65">
        <v>41409</v>
      </c>
      <c r="B555" s="66">
        <v>3354269</v>
      </c>
      <c r="C555" s="66">
        <f>Table9[[#This Row],[WALCL]]-B554</f>
        <v>29654</v>
      </c>
    </row>
    <row r="556" spans="1:3" x14ac:dyDescent="0.2">
      <c r="A556" s="65">
        <v>41416</v>
      </c>
      <c r="B556" s="66">
        <v>3398713</v>
      </c>
      <c r="C556" s="66">
        <f>Table9[[#This Row],[WALCL]]-B555</f>
        <v>44444</v>
      </c>
    </row>
    <row r="557" spans="1:3" x14ac:dyDescent="0.2">
      <c r="A557" s="65">
        <v>41423</v>
      </c>
      <c r="B557" s="66">
        <v>3385128</v>
      </c>
      <c r="C557" s="66">
        <f>Table9[[#This Row],[WALCL]]-B556</f>
        <v>-13585</v>
      </c>
    </row>
    <row r="558" spans="1:3" x14ac:dyDescent="0.2">
      <c r="A558" s="65">
        <v>41430</v>
      </c>
      <c r="B558" s="66">
        <v>3400183</v>
      </c>
      <c r="C558" s="66">
        <f>Table9[[#This Row],[WALCL]]-B557</f>
        <v>15055</v>
      </c>
    </row>
    <row r="559" spans="1:3" x14ac:dyDescent="0.2">
      <c r="A559" s="65">
        <v>41437</v>
      </c>
      <c r="B559" s="66">
        <v>3410842</v>
      </c>
      <c r="C559" s="66">
        <f>Table9[[#This Row],[WALCL]]-B558</f>
        <v>10659</v>
      </c>
    </row>
    <row r="560" spans="1:3" x14ac:dyDescent="0.2">
      <c r="A560" s="65">
        <v>41444</v>
      </c>
      <c r="B560" s="66">
        <v>3470530</v>
      </c>
      <c r="C560" s="66">
        <f>Table9[[#This Row],[WALCL]]-B559</f>
        <v>59688</v>
      </c>
    </row>
    <row r="561" spans="1:3" x14ac:dyDescent="0.2">
      <c r="A561" s="65">
        <v>41451</v>
      </c>
      <c r="B561" s="66">
        <v>3478672</v>
      </c>
      <c r="C561" s="66">
        <f>Table9[[#This Row],[WALCL]]-B560</f>
        <v>8142</v>
      </c>
    </row>
    <row r="562" spans="1:3" x14ac:dyDescent="0.2">
      <c r="A562" s="65">
        <v>41458</v>
      </c>
      <c r="B562" s="66">
        <v>3492742</v>
      </c>
      <c r="C562" s="66">
        <f>Table9[[#This Row],[WALCL]]-B561</f>
        <v>14070</v>
      </c>
    </row>
    <row r="563" spans="1:3" x14ac:dyDescent="0.2">
      <c r="A563" s="65">
        <v>41465</v>
      </c>
      <c r="B563" s="66">
        <v>3504095</v>
      </c>
      <c r="C563" s="66">
        <f>Table9[[#This Row],[WALCL]]-B562</f>
        <v>11353</v>
      </c>
    </row>
    <row r="564" spans="1:3" x14ac:dyDescent="0.2">
      <c r="A564" s="65">
        <v>41472</v>
      </c>
      <c r="B564" s="66">
        <v>3537861</v>
      </c>
      <c r="C564" s="66">
        <f>Table9[[#This Row],[WALCL]]-B563</f>
        <v>33766</v>
      </c>
    </row>
    <row r="565" spans="1:3" x14ac:dyDescent="0.2">
      <c r="A565" s="65">
        <v>41479</v>
      </c>
      <c r="B565" s="66">
        <v>3574574</v>
      </c>
      <c r="C565" s="66">
        <f>Table9[[#This Row],[WALCL]]-B564</f>
        <v>36713</v>
      </c>
    </row>
    <row r="566" spans="1:3" x14ac:dyDescent="0.2">
      <c r="A566" s="65">
        <v>41486</v>
      </c>
      <c r="B566" s="66">
        <v>3571797</v>
      </c>
      <c r="C566" s="66">
        <f>Table9[[#This Row],[WALCL]]-B565</f>
        <v>-2777</v>
      </c>
    </row>
    <row r="567" spans="1:3" x14ac:dyDescent="0.2">
      <c r="A567" s="65">
        <v>41493</v>
      </c>
      <c r="B567" s="66">
        <v>3585359</v>
      </c>
      <c r="C567" s="66">
        <f>Table9[[#This Row],[WALCL]]-B566</f>
        <v>13562</v>
      </c>
    </row>
    <row r="568" spans="1:3" x14ac:dyDescent="0.2">
      <c r="A568" s="65">
        <v>41500</v>
      </c>
      <c r="B568" s="66">
        <v>3646323</v>
      </c>
      <c r="C568" s="66">
        <f>Table9[[#This Row],[WALCL]]-B567</f>
        <v>60964</v>
      </c>
    </row>
    <row r="569" spans="1:3" x14ac:dyDescent="0.2">
      <c r="A569" s="65">
        <v>41507</v>
      </c>
      <c r="B569" s="66">
        <v>3645668</v>
      </c>
      <c r="C569" s="66">
        <f>Table9[[#This Row],[WALCL]]-B568</f>
        <v>-655</v>
      </c>
    </row>
    <row r="570" spans="1:3" x14ac:dyDescent="0.2">
      <c r="A570" s="65">
        <v>41514</v>
      </c>
      <c r="B570" s="66">
        <v>3644456</v>
      </c>
      <c r="C570" s="66">
        <f>Table9[[#This Row],[WALCL]]-B569</f>
        <v>-1212</v>
      </c>
    </row>
    <row r="571" spans="1:3" x14ac:dyDescent="0.2">
      <c r="A571" s="65">
        <v>41521</v>
      </c>
      <c r="B571" s="66">
        <v>3654182</v>
      </c>
      <c r="C571" s="66">
        <f>Table9[[#This Row],[WALCL]]-B570</f>
        <v>9726</v>
      </c>
    </row>
    <row r="572" spans="1:3" x14ac:dyDescent="0.2">
      <c r="A572" s="65">
        <v>41528</v>
      </c>
      <c r="B572" s="66">
        <v>3662035</v>
      </c>
      <c r="C572" s="66">
        <f>Table9[[#This Row],[WALCL]]-B571</f>
        <v>7853</v>
      </c>
    </row>
    <row r="573" spans="1:3" x14ac:dyDescent="0.2">
      <c r="A573" s="65">
        <v>41535</v>
      </c>
      <c r="B573" s="66">
        <v>3722192</v>
      </c>
      <c r="C573" s="66">
        <f>Table9[[#This Row],[WALCL]]-B572</f>
        <v>60157</v>
      </c>
    </row>
    <row r="574" spans="1:3" x14ac:dyDescent="0.2">
      <c r="A574" s="65">
        <v>41542</v>
      </c>
      <c r="B574" s="66">
        <v>3734018</v>
      </c>
      <c r="C574" s="66">
        <f>Table9[[#This Row],[WALCL]]-B573</f>
        <v>11826</v>
      </c>
    </row>
    <row r="575" spans="1:3" x14ac:dyDescent="0.2">
      <c r="A575" s="65">
        <v>41549</v>
      </c>
      <c r="B575" s="66">
        <v>3747387</v>
      </c>
      <c r="C575" s="66">
        <f>Table9[[#This Row],[WALCL]]-B574</f>
        <v>13369</v>
      </c>
    </row>
    <row r="576" spans="1:3" x14ac:dyDescent="0.2">
      <c r="A576" s="65">
        <v>41556</v>
      </c>
      <c r="B576" s="66">
        <v>3758663</v>
      </c>
      <c r="C576" s="66">
        <f>Table9[[#This Row],[WALCL]]-B575</f>
        <v>11276</v>
      </c>
    </row>
    <row r="577" spans="1:3" x14ac:dyDescent="0.2">
      <c r="A577" s="65">
        <v>41563</v>
      </c>
      <c r="B577" s="66">
        <v>3813599</v>
      </c>
      <c r="C577" s="66">
        <f>Table9[[#This Row],[WALCL]]-B576</f>
        <v>54936</v>
      </c>
    </row>
    <row r="578" spans="1:3" x14ac:dyDescent="0.2">
      <c r="A578" s="65">
        <v>41570</v>
      </c>
      <c r="B578" s="66">
        <v>3839033</v>
      </c>
      <c r="C578" s="66">
        <f>Table9[[#This Row],[WALCL]]-B577</f>
        <v>25434</v>
      </c>
    </row>
    <row r="579" spans="1:3" x14ac:dyDescent="0.2">
      <c r="A579" s="65">
        <v>41577</v>
      </c>
      <c r="B579" s="66">
        <v>3843396</v>
      </c>
      <c r="C579" s="66">
        <f>Table9[[#This Row],[WALCL]]-B578</f>
        <v>4363</v>
      </c>
    </row>
    <row r="580" spans="1:3" x14ac:dyDescent="0.2">
      <c r="A580" s="65">
        <v>41584</v>
      </c>
      <c r="B580" s="66">
        <v>3851623</v>
      </c>
      <c r="C580" s="66">
        <f>Table9[[#This Row],[WALCL]]-B579</f>
        <v>8227</v>
      </c>
    </row>
    <row r="581" spans="1:3" x14ac:dyDescent="0.2">
      <c r="A581" s="65">
        <v>41591</v>
      </c>
      <c r="B581" s="66">
        <v>3907424</v>
      </c>
      <c r="C581" s="66">
        <f>Table9[[#This Row],[WALCL]]-B580</f>
        <v>55801</v>
      </c>
    </row>
    <row r="582" spans="1:3" x14ac:dyDescent="0.2">
      <c r="A582" s="65">
        <v>41598</v>
      </c>
      <c r="B582" s="66">
        <v>3906620</v>
      </c>
      <c r="C582" s="66">
        <f>Table9[[#This Row],[WALCL]]-B581</f>
        <v>-804</v>
      </c>
    </row>
    <row r="583" spans="1:3" x14ac:dyDescent="0.2">
      <c r="A583" s="65">
        <v>41605</v>
      </c>
      <c r="B583" s="66">
        <v>3925876</v>
      </c>
      <c r="C583" s="66">
        <f>Table9[[#This Row],[WALCL]]-B582</f>
        <v>19256</v>
      </c>
    </row>
    <row r="584" spans="1:3" x14ac:dyDescent="0.2">
      <c r="A584" s="65">
        <v>41612</v>
      </c>
      <c r="B584" s="66">
        <v>3932626</v>
      </c>
      <c r="C584" s="66">
        <f>Table9[[#This Row],[WALCL]]-B583</f>
        <v>6750</v>
      </c>
    </row>
    <row r="585" spans="1:3" x14ac:dyDescent="0.2">
      <c r="A585" s="65">
        <v>41619</v>
      </c>
      <c r="B585" s="66">
        <v>3993955</v>
      </c>
      <c r="C585" s="66">
        <f>Table9[[#This Row],[WALCL]]-B584</f>
        <v>61329</v>
      </c>
    </row>
    <row r="586" spans="1:3" x14ac:dyDescent="0.2">
      <c r="A586" s="65">
        <v>41626</v>
      </c>
      <c r="B586" s="66">
        <v>4008062</v>
      </c>
      <c r="C586" s="66">
        <f>Table9[[#This Row],[WALCL]]-B585</f>
        <v>14107</v>
      </c>
    </row>
    <row r="587" spans="1:3" x14ac:dyDescent="0.2">
      <c r="A587" s="65">
        <v>41633</v>
      </c>
      <c r="B587" s="66">
        <v>4032575</v>
      </c>
      <c r="C587" s="66">
        <f>Table9[[#This Row],[WALCL]]-B586</f>
        <v>24513</v>
      </c>
    </row>
    <row r="588" spans="1:3" x14ac:dyDescent="0.2">
      <c r="A588" s="65">
        <v>41640</v>
      </c>
      <c r="B588" s="66">
        <v>4023640</v>
      </c>
      <c r="C588" s="66">
        <f>Table9[[#This Row],[WALCL]]-B587</f>
        <v>-8935</v>
      </c>
    </row>
    <row r="589" spans="1:3" x14ac:dyDescent="0.2">
      <c r="A589" s="65">
        <v>41647</v>
      </c>
      <c r="B589" s="66">
        <v>4028185</v>
      </c>
      <c r="C589" s="66">
        <f>Table9[[#This Row],[WALCL]]-B588</f>
        <v>4545</v>
      </c>
    </row>
    <row r="590" spans="1:3" x14ac:dyDescent="0.2">
      <c r="A590" s="65">
        <v>41654</v>
      </c>
      <c r="B590" s="66">
        <v>4071528</v>
      </c>
      <c r="C590" s="66">
        <f>Table9[[#This Row],[WALCL]]-B589</f>
        <v>43343</v>
      </c>
    </row>
    <row r="591" spans="1:3" x14ac:dyDescent="0.2">
      <c r="A591" s="65">
        <v>41661</v>
      </c>
      <c r="B591" s="66">
        <v>4097914</v>
      </c>
      <c r="C591" s="66">
        <f>Table9[[#This Row],[WALCL]]-B590</f>
        <v>26386</v>
      </c>
    </row>
    <row r="592" spans="1:3" x14ac:dyDescent="0.2">
      <c r="A592" s="65">
        <v>41668</v>
      </c>
      <c r="B592" s="66">
        <v>4102138</v>
      </c>
      <c r="C592" s="66">
        <f>Table9[[#This Row],[WALCL]]-B591</f>
        <v>4224</v>
      </c>
    </row>
    <row r="593" spans="1:3" x14ac:dyDescent="0.2">
      <c r="A593" s="65">
        <v>41675</v>
      </c>
      <c r="B593" s="66">
        <v>4109285</v>
      </c>
      <c r="C593" s="66">
        <f>Table9[[#This Row],[WALCL]]-B592</f>
        <v>7147</v>
      </c>
    </row>
    <row r="594" spans="1:3" x14ac:dyDescent="0.2">
      <c r="A594" s="65">
        <v>41682</v>
      </c>
      <c r="B594" s="66">
        <v>4119474</v>
      </c>
      <c r="C594" s="66">
        <f>Table9[[#This Row],[WALCL]]-B593</f>
        <v>10189</v>
      </c>
    </row>
    <row r="595" spans="1:3" x14ac:dyDescent="0.2">
      <c r="A595" s="65">
        <v>41689</v>
      </c>
      <c r="B595" s="66">
        <v>4149224</v>
      </c>
      <c r="C595" s="66">
        <f>Table9[[#This Row],[WALCL]]-B594</f>
        <v>29750</v>
      </c>
    </row>
    <row r="596" spans="1:3" x14ac:dyDescent="0.2">
      <c r="A596" s="65">
        <v>41696</v>
      </c>
      <c r="B596" s="66">
        <v>4159972</v>
      </c>
      <c r="C596" s="66">
        <f>Table9[[#This Row],[WALCL]]-B595</f>
        <v>10748</v>
      </c>
    </row>
    <row r="597" spans="1:3" x14ac:dyDescent="0.2">
      <c r="A597" s="65">
        <v>41703</v>
      </c>
      <c r="B597" s="66">
        <v>4171762</v>
      </c>
      <c r="C597" s="66">
        <f>Table9[[#This Row],[WALCL]]-B596</f>
        <v>11790</v>
      </c>
    </row>
    <row r="598" spans="1:3" x14ac:dyDescent="0.2">
      <c r="A598" s="65">
        <v>41710</v>
      </c>
      <c r="B598" s="66">
        <v>4181361</v>
      </c>
      <c r="C598" s="66">
        <f>Table9[[#This Row],[WALCL]]-B597</f>
        <v>9599</v>
      </c>
    </row>
    <row r="599" spans="1:3" x14ac:dyDescent="0.2">
      <c r="A599" s="65">
        <v>41717</v>
      </c>
      <c r="B599" s="66">
        <v>4222081</v>
      </c>
      <c r="C599" s="66">
        <f>Table9[[#This Row],[WALCL]]-B598</f>
        <v>40720</v>
      </c>
    </row>
    <row r="600" spans="1:3" x14ac:dyDescent="0.2">
      <c r="A600" s="65">
        <v>41724</v>
      </c>
      <c r="B600" s="66">
        <v>4226971</v>
      </c>
      <c r="C600" s="66">
        <f>Table9[[#This Row],[WALCL]]-B599</f>
        <v>4890</v>
      </c>
    </row>
    <row r="601" spans="1:3" x14ac:dyDescent="0.2">
      <c r="A601" s="65">
        <v>41731</v>
      </c>
      <c r="B601" s="66">
        <v>4236441</v>
      </c>
      <c r="C601" s="66">
        <f>Table9[[#This Row],[WALCL]]-B600</f>
        <v>9470</v>
      </c>
    </row>
    <row r="602" spans="1:3" x14ac:dyDescent="0.2">
      <c r="A602" s="65">
        <v>41738</v>
      </c>
      <c r="B602" s="66">
        <v>4244188</v>
      </c>
      <c r="C602" s="66">
        <f>Table9[[#This Row],[WALCL]]-B601</f>
        <v>7747</v>
      </c>
    </row>
    <row r="603" spans="1:3" x14ac:dyDescent="0.2">
      <c r="A603" s="65">
        <v>41745</v>
      </c>
      <c r="B603" s="66">
        <v>4283967</v>
      </c>
      <c r="C603" s="66">
        <f>Table9[[#This Row],[WALCL]]-B602</f>
        <v>39779</v>
      </c>
    </row>
    <row r="604" spans="1:3" x14ac:dyDescent="0.2">
      <c r="A604" s="65">
        <v>41752</v>
      </c>
      <c r="B604" s="66">
        <v>4296339</v>
      </c>
      <c r="C604" s="66">
        <f>Table9[[#This Row],[WALCL]]-B603</f>
        <v>12372</v>
      </c>
    </row>
    <row r="605" spans="1:3" x14ac:dyDescent="0.2">
      <c r="A605" s="65">
        <v>41759</v>
      </c>
      <c r="B605" s="66">
        <v>4296049</v>
      </c>
      <c r="C605" s="66">
        <f>Table9[[#This Row],[WALCL]]-B604</f>
        <v>-290</v>
      </c>
    </row>
    <row r="606" spans="1:3" x14ac:dyDescent="0.2">
      <c r="A606" s="65">
        <v>41766</v>
      </c>
      <c r="B606" s="66">
        <v>4303143</v>
      </c>
      <c r="C606" s="66">
        <f>Table9[[#This Row],[WALCL]]-B605</f>
        <v>7094</v>
      </c>
    </row>
    <row r="607" spans="1:3" x14ac:dyDescent="0.2">
      <c r="A607" s="65">
        <v>41773</v>
      </c>
      <c r="B607" s="66">
        <v>4336649</v>
      </c>
      <c r="C607" s="66">
        <f>Table9[[#This Row],[WALCL]]-B606</f>
        <v>33506</v>
      </c>
    </row>
    <row r="608" spans="1:3" x14ac:dyDescent="0.2">
      <c r="A608" s="65">
        <v>41780</v>
      </c>
      <c r="B608" s="66">
        <v>4327560</v>
      </c>
      <c r="C608" s="66">
        <f>Table9[[#This Row],[WALCL]]-B607</f>
        <v>-9089</v>
      </c>
    </row>
    <row r="609" spans="1:3" x14ac:dyDescent="0.2">
      <c r="A609" s="65">
        <v>41787</v>
      </c>
      <c r="B609" s="66">
        <v>4322654</v>
      </c>
      <c r="C609" s="66">
        <f>Table9[[#This Row],[WALCL]]-B608</f>
        <v>-4906</v>
      </c>
    </row>
    <row r="610" spans="1:3" x14ac:dyDescent="0.2">
      <c r="A610" s="65">
        <v>41794</v>
      </c>
      <c r="B610" s="66">
        <v>4330917</v>
      </c>
      <c r="C610" s="66">
        <f>Table9[[#This Row],[WALCL]]-B609</f>
        <v>8263</v>
      </c>
    </row>
    <row r="611" spans="1:3" x14ac:dyDescent="0.2">
      <c r="A611" s="65">
        <v>41801</v>
      </c>
      <c r="B611" s="66">
        <v>4340904</v>
      </c>
      <c r="C611" s="66">
        <f>Table9[[#This Row],[WALCL]]-B610</f>
        <v>9987</v>
      </c>
    </row>
    <row r="612" spans="1:3" x14ac:dyDescent="0.2">
      <c r="A612" s="65">
        <v>41808</v>
      </c>
      <c r="B612" s="66">
        <v>4368168</v>
      </c>
      <c r="C612" s="66">
        <f>Table9[[#This Row],[WALCL]]-B611</f>
        <v>27264</v>
      </c>
    </row>
    <row r="613" spans="1:3" x14ac:dyDescent="0.2">
      <c r="A613" s="65">
        <v>41815</v>
      </c>
      <c r="B613" s="66">
        <v>4368348</v>
      </c>
      <c r="C613" s="66">
        <f>Table9[[#This Row],[WALCL]]-B612</f>
        <v>180</v>
      </c>
    </row>
    <row r="614" spans="1:3" x14ac:dyDescent="0.2">
      <c r="A614" s="65">
        <v>41822</v>
      </c>
      <c r="B614" s="66">
        <v>4377031</v>
      </c>
      <c r="C614" s="66">
        <f>Table9[[#This Row],[WALCL]]-B613</f>
        <v>8683</v>
      </c>
    </row>
    <row r="615" spans="1:3" x14ac:dyDescent="0.2">
      <c r="A615" s="65">
        <v>41829</v>
      </c>
      <c r="B615" s="66">
        <v>4383401</v>
      </c>
      <c r="C615" s="66">
        <f>Table9[[#This Row],[WALCL]]-B614</f>
        <v>6370</v>
      </c>
    </row>
    <row r="616" spans="1:3" x14ac:dyDescent="0.2">
      <c r="A616" s="65">
        <v>41836</v>
      </c>
      <c r="B616" s="66">
        <v>4398201</v>
      </c>
      <c r="C616" s="66">
        <f>Table9[[#This Row],[WALCL]]-B615</f>
        <v>14800</v>
      </c>
    </row>
    <row r="617" spans="1:3" x14ac:dyDescent="0.2">
      <c r="A617" s="65">
        <v>41843</v>
      </c>
      <c r="B617" s="66">
        <v>4410746</v>
      </c>
      <c r="C617" s="66">
        <f>Table9[[#This Row],[WALCL]]-B616</f>
        <v>12545</v>
      </c>
    </row>
    <row r="618" spans="1:3" x14ac:dyDescent="0.2">
      <c r="A618" s="65">
        <v>41850</v>
      </c>
      <c r="B618" s="66">
        <v>4406637</v>
      </c>
      <c r="C618" s="66">
        <f>Table9[[#This Row],[WALCL]]-B617</f>
        <v>-4109</v>
      </c>
    </row>
    <row r="619" spans="1:3" x14ac:dyDescent="0.2">
      <c r="A619" s="65">
        <v>41857</v>
      </c>
      <c r="B619" s="66">
        <v>4410111</v>
      </c>
      <c r="C619" s="66">
        <f>Table9[[#This Row],[WALCL]]-B618</f>
        <v>3474</v>
      </c>
    </row>
    <row r="620" spans="1:3" x14ac:dyDescent="0.2">
      <c r="A620" s="65">
        <v>41864</v>
      </c>
      <c r="B620" s="66">
        <v>4431923</v>
      </c>
      <c r="C620" s="66">
        <f>Table9[[#This Row],[WALCL]]-B619</f>
        <v>21812</v>
      </c>
    </row>
    <row r="621" spans="1:3" x14ac:dyDescent="0.2">
      <c r="A621" s="65">
        <v>41871</v>
      </c>
      <c r="B621" s="66">
        <v>4412924</v>
      </c>
      <c r="C621" s="66">
        <f>Table9[[#This Row],[WALCL]]-B620</f>
        <v>-18999</v>
      </c>
    </row>
    <row r="622" spans="1:3" x14ac:dyDescent="0.2">
      <c r="A622" s="65">
        <v>41878</v>
      </c>
      <c r="B622" s="66">
        <v>4413736</v>
      </c>
      <c r="C622" s="66">
        <f>Table9[[#This Row],[WALCL]]-B621</f>
        <v>812</v>
      </c>
    </row>
    <row r="623" spans="1:3" x14ac:dyDescent="0.2">
      <c r="A623" s="65">
        <v>41885</v>
      </c>
      <c r="B623" s="66">
        <v>4415587</v>
      </c>
      <c r="C623" s="66">
        <f>Table9[[#This Row],[WALCL]]-B622</f>
        <v>1851</v>
      </c>
    </row>
    <row r="624" spans="1:3" x14ac:dyDescent="0.2">
      <c r="A624" s="65">
        <v>41892</v>
      </c>
      <c r="B624" s="66">
        <v>4421408</v>
      </c>
      <c r="C624" s="66">
        <f>Table9[[#This Row],[WALCL]]-B623</f>
        <v>5821</v>
      </c>
    </row>
    <row r="625" spans="1:3" x14ac:dyDescent="0.2">
      <c r="A625" s="65">
        <v>41899</v>
      </c>
      <c r="B625" s="66">
        <v>4449588</v>
      </c>
      <c r="C625" s="66">
        <f>Table9[[#This Row],[WALCL]]-B624</f>
        <v>28180</v>
      </c>
    </row>
    <row r="626" spans="1:3" x14ac:dyDescent="0.2">
      <c r="A626" s="65">
        <v>41906</v>
      </c>
      <c r="B626" s="66">
        <v>4459050</v>
      </c>
      <c r="C626" s="66">
        <f>Table9[[#This Row],[WALCL]]-B625</f>
        <v>9462</v>
      </c>
    </row>
    <row r="627" spans="1:3" x14ac:dyDescent="0.2">
      <c r="A627" s="65">
        <v>41913</v>
      </c>
      <c r="B627" s="66">
        <v>4450260</v>
      </c>
      <c r="C627" s="66">
        <f>Table9[[#This Row],[WALCL]]-B626</f>
        <v>-8790</v>
      </c>
    </row>
    <row r="628" spans="1:3" x14ac:dyDescent="0.2">
      <c r="A628" s="65">
        <v>41920</v>
      </c>
      <c r="B628" s="66">
        <v>4455403</v>
      </c>
      <c r="C628" s="66">
        <f>Table9[[#This Row],[WALCL]]-B627</f>
        <v>5143</v>
      </c>
    </row>
    <row r="629" spans="1:3" x14ac:dyDescent="0.2">
      <c r="A629" s="65">
        <v>41927</v>
      </c>
      <c r="B629" s="66">
        <v>4474360</v>
      </c>
      <c r="C629" s="66">
        <f>Table9[[#This Row],[WALCL]]-B628</f>
        <v>18957</v>
      </c>
    </row>
    <row r="630" spans="1:3" x14ac:dyDescent="0.2">
      <c r="A630" s="65">
        <v>41934</v>
      </c>
      <c r="B630" s="66">
        <v>4481616</v>
      </c>
      <c r="C630" s="66">
        <f>Table9[[#This Row],[WALCL]]-B629</f>
        <v>7256</v>
      </c>
    </row>
    <row r="631" spans="1:3" x14ac:dyDescent="0.2">
      <c r="A631" s="65">
        <v>41941</v>
      </c>
      <c r="B631" s="66">
        <v>4486754</v>
      </c>
      <c r="C631" s="66">
        <f>Table9[[#This Row],[WALCL]]-B630</f>
        <v>5138</v>
      </c>
    </row>
    <row r="632" spans="1:3" x14ac:dyDescent="0.2">
      <c r="A632" s="65">
        <v>41948</v>
      </c>
      <c r="B632" s="66">
        <v>4486585</v>
      </c>
      <c r="C632" s="66">
        <f>Table9[[#This Row],[WALCL]]-B631</f>
        <v>-169</v>
      </c>
    </row>
    <row r="633" spans="1:3" x14ac:dyDescent="0.2">
      <c r="A633" s="65">
        <v>41955</v>
      </c>
      <c r="B633" s="66">
        <v>4488895</v>
      </c>
      <c r="C633" s="66">
        <f>Table9[[#This Row],[WALCL]]-B632</f>
        <v>2310</v>
      </c>
    </row>
    <row r="634" spans="1:3" x14ac:dyDescent="0.2">
      <c r="A634" s="65">
        <v>41962</v>
      </c>
      <c r="B634" s="66">
        <v>4492759</v>
      </c>
      <c r="C634" s="66">
        <f>Table9[[#This Row],[WALCL]]-B633</f>
        <v>3864</v>
      </c>
    </row>
    <row r="635" spans="1:3" x14ac:dyDescent="0.2">
      <c r="A635" s="65">
        <v>41969</v>
      </c>
      <c r="B635" s="66">
        <v>4485931</v>
      </c>
      <c r="C635" s="66">
        <f>Table9[[#This Row],[WALCL]]-B634</f>
        <v>-6828</v>
      </c>
    </row>
    <row r="636" spans="1:3" x14ac:dyDescent="0.2">
      <c r="A636" s="65">
        <v>41976</v>
      </c>
      <c r="B636" s="66">
        <v>4486190</v>
      </c>
      <c r="C636" s="66">
        <f>Table9[[#This Row],[WALCL]]-B635</f>
        <v>259</v>
      </c>
    </row>
    <row r="637" spans="1:3" x14ac:dyDescent="0.2">
      <c r="A637" s="65">
        <v>41983</v>
      </c>
      <c r="B637" s="66">
        <v>4488865</v>
      </c>
      <c r="C637" s="66">
        <f>Table9[[#This Row],[WALCL]]-B636</f>
        <v>2675</v>
      </c>
    </row>
    <row r="638" spans="1:3" x14ac:dyDescent="0.2">
      <c r="A638" s="65">
        <v>41990</v>
      </c>
      <c r="B638" s="66">
        <v>4502247</v>
      </c>
      <c r="C638" s="66">
        <f>Table9[[#This Row],[WALCL]]-B637</f>
        <v>13382</v>
      </c>
    </row>
    <row r="639" spans="1:3" x14ac:dyDescent="0.2">
      <c r="A639" s="65">
        <v>41997</v>
      </c>
      <c r="B639" s="66">
        <v>4509462</v>
      </c>
      <c r="C639" s="66">
        <f>Table9[[#This Row],[WALCL]]-B638</f>
        <v>7215</v>
      </c>
    </row>
    <row r="640" spans="1:3" x14ac:dyDescent="0.2">
      <c r="A640" s="65">
        <v>42004</v>
      </c>
      <c r="B640" s="66">
        <v>4497660</v>
      </c>
      <c r="C640" s="66">
        <f>Table9[[#This Row],[WALCL]]-B639</f>
        <v>-11802</v>
      </c>
    </row>
    <row r="641" spans="1:3" x14ac:dyDescent="0.2">
      <c r="A641" s="65">
        <v>42011</v>
      </c>
      <c r="B641" s="66">
        <v>4499524</v>
      </c>
      <c r="C641" s="66">
        <f>Table9[[#This Row],[WALCL]]-B640</f>
        <v>1864</v>
      </c>
    </row>
    <row r="642" spans="1:3" x14ac:dyDescent="0.2">
      <c r="A642" s="65">
        <v>42018</v>
      </c>
      <c r="B642" s="66">
        <v>4516077</v>
      </c>
      <c r="C642" s="66">
        <f>Table9[[#This Row],[WALCL]]-B641</f>
        <v>16553</v>
      </c>
    </row>
    <row r="643" spans="1:3" x14ac:dyDescent="0.2">
      <c r="A643" s="65">
        <v>42025</v>
      </c>
      <c r="B643" s="66">
        <v>4512936</v>
      </c>
      <c r="C643" s="66">
        <f>Table9[[#This Row],[WALCL]]-B642</f>
        <v>-3141</v>
      </c>
    </row>
    <row r="644" spans="1:3" x14ac:dyDescent="0.2">
      <c r="A644" s="65">
        <v>42032</v>
      </c>
      <c r="B644" s="66">
        <v>4500064</v>
      </c>
      <c r="C644" s="66">
        <f>Table9[[#This Row],[WALCL]]-B643</f>
        <v>-12872</v>
      </c>
    </row>
    <row r="645" spans="1:3" x14ac:dyDescent="0.2">
      <c r="A645" s="65">
        <v>42039</v>
      </c>
      <c r="B645" s="66">
        <v>4500348</v>
      </c>
      <c r="C645" s="66">
        <f>Table9[[#This Row],[WALCL]]-B644</f>
        <v>284</v>
      </c>
    </row>
    <row r="646" spans="1:3" x14ac:dyDescent="0.2">
      <c r="A646" s="65">
        <v>42046</v>
      </c>
      <c r="B646" s="66">
        <v>4501685</v>
      </c>
      <c r="C646" s="66">
        <f>Table9[[#This Row],[WALCL]]-B645</f>
        <v>1337</v>
      </c>
    </row>
    <row r="647" spans="1:3" x14ac:dyDescent="0.2">
      <c r="A647" s="65">
        <v>42053</v>
      </c>
      <c r="B647" s="66">
        <v>4496851</v>
      </c>
      <c r="C647" s="66">
        <f>Table9[[#This Row],[WALCL]]-B646</f>
        <v>-4834</v>
      </c>
    </row>
    <row r="648" spans="1:3" x14ac:dyDescent="0.2">
      <c r="A648" s="65">
        <v>42060</v>
      </c>
      <c r="B648" s="66">
        <v>4486725</v>
      </c>
      <c r="C648" s="66">
        <f>Table9[[#This Row],[WALCL]]-B647</f>
        <v>-10126</v>
      </c>
    </row>
    <row r="649" spans="1:3" x14ac:dyDescent="0.2">
      <c r="A649" s="65">
        <v>42067</v>
      </c>
      <c r="B649" s="66">
        <v>4487583</v>
      </c>
      <c r="C649" s="66">
        <f>Table9[[#This Row],[WALCL]]-B648</f>
        <v>858</v>
      </c>
    </row>
    <row r="650" spans="1:3" x14ac:dyDescent="0.2">
      <c r="A650" s="65">
        <v>42074</v>
      </c>
      <c r="B650" s="66">
        <v>4489279</v>
      </c>
      <c r="C650" s="66">
        <f>Table9[[#This Row],[WALCL]]-B649</f>
        <v>1696</v>
      </c>
    </row>
    <row r="651" spans="1:3" x14ac:dyDescent="0.2">
      <c r="A651" s="65">
        <v>42081</v>
      </c>
      <c r="B651" s="66">
        <v>4495888</v>
      </c>
      <c r="C651" s="66">
        <f>Table9[[#This Row],[WALCL]]-B650</f>
        <v>6609</v>
      </c>
    </row>
    <row r="652" spans="1:3" x14ac:dyDescent="0.2">
      <c r="A652" s="65">
        <v>42088</v>
      </c>
      <c r="B652" s="66">
        <v>4480603</v>
      </c>
      <c r="C652" s="66">
        <f>Table9[[#This Row],[WALCL]]-B651</f>
        <v>-15285</v>
      </c>
    </row>
    <row r="653" spans="1:3" x14ac:dyDescent="0.2">
      <c r="A653" s="65">
        <v>42095</v>
      </c>
      <c r="B653" s="66">
        <v>4481799</v>
      </c>
      <c r="C653" s="66">
        <f>Table9[[#This Row],[WALCL]]-B652</f>
        <v>1196</v>
      </c>
    </row>
    <row r="654" spans="1:3" x14ac:dyDescent="0.2">
      <c r="A654" s="65">
        <v>42102</v>
      </c>
      <c r="B654" s="66">
        <v>4483419</v>
      </c>
      <c r="C654" s="66">
        <f>Table9[[#This Row],[WALCL]]-B653</f>
        <v>1620</v>
      </c>
    </row>
    <row r="655" spans="1:3" x14ac:dyDescent="0.2">
      <c r="A655" s="65">
        <v>42109</v>
      </c>
      <c r="B655" s="66">
        <v>4485366</v>
      </c>
      <c r="C655" s="66">
        <f>Table9[[#This Row],[WALCL]]-B654</f>
        <v>1947</v>
      </c>
    </row>
    <row r="656" spans="1:3" x14ac:dyDescent="0.2">
      <c r="A656" s="65">
        <v>42116</v>
      </c>
      <c r="B656" s="66">
        <v>4489695</v>
      </c>
      <c r="C656" s="66">
        <f>Table9[[#This Row],[WALCL]]-B655</f>
        <v>4329</v>
      </c>
    </row>
    <row r="657" spans="1:3" x14ac:dyDescent="0.2">
      <c r="A657" s="65">
        <v>42123</v>
      </c>
      <c r="B657" s="66">
        <v>4471499</v>
      </c>
      <c r="C657" s="66">
        <f>Table9[[#This Row],[WALCL]]-B656</f>
        <v>-18196</v>
      </c>
    </row>
    <row r="658" spans="1:3" x14ac:dyDescent="0.2">
      <c r="A658" s="65">
        <v>42130</v>
      </c>
      <c r="B658" s="66">
        <v>4472703</v>
      </c>
      <c r="C658" s="66">
        <f>Table9[[#This Row],[WALCL]]-B657</f>
        <v>1204</v>
      </c>
    </row>
    <row r="659" spans="1:3" x14ac:dyDescent="0.2">
      <c r="A659" s="65">
        <v>42137</v>
      </c>
      <c r="B659" s="66">
        <v>4501188</v>
      </c>
      <c r="C659" s="66">
        <f>Table9[[#This Row],[WALCL]]-B658</f>
        <v>28485</v>
      </c>
    </row>
    <row r="660" spans="1:3" x14ac:dyDescent="0.2">
      <c r="A660" s="65">
        <v>42144</v>
      </c>
      <c r="B660" s="66">
        <v>4480384</v>
      </c>
      <c r="C660" s="66">
        <f>Table9[[#This Row],[WALCL]]-B659</f>
        <v>-20804</v>
      </c>
    </row>
    <row r="661" spans="1:3" x14ac:dyDescent="0.2">
      <c r="A661" s="65">
        <v>42151</v>
      </c>
      <c r="B661" s="66">
        <v>4463981</v>
      </c>
      <c r="C661" s="66">
        <f>Table9[[#This Row],[WALCL]]-B660</f>
        <v>-16403</v>
      </c>
    </row>
    <row r="662" spans="1:3" x14ac:dyDescent="0.2">
      <c r="A662" s="65">
        <v>42158</v>
      </c>
      <c r="B662" s="66">
        <v>4465360</v>
      </c>
      <c r="C662" s="66">
        <f>Table9[[#This Row],[WALCL]]-B661</f>
        <v>1379</v>
      </c>
    </row>
    <row r="663" spans="1:3" x14ac:dyDescent="0.2">
      <c r="A663" s="65">
        <v>42165</v>
      </c>
      <c r="B663" s="66">
        <v>4468005</v>
      </c>
      <c r="C663" s="66">
        <f>Table9[[#This Row],[WALCL]]-B662</f>
        <v>2645</v>
      </c>
    </row>
    <row r="664" spans="1:3" x14ac:dyDescent="0.2">
      <c r="A664" s="65">
        <v>42172</v>
      </c>
      <c r="B664" s="66">
        <v>4487817</v>
      </c>
      <c r="C664" s="66">
        <f>Table9[[#This Row],[WALCL]]-B663</f>
        <v>19812</v>
      </c>
    </row>
    <row r="665" spans="1:3" x14ac:dyDescent="0.2">
      <c r="A665" s="65">
        <v>42179</v>
      </c>
      <c r="B665" s="66">
        <v>4495055</v>
      </c>
      <c r="C665" s="66">
        <f>Table9[[#This Row],[WALCL]]-B664</f>
        <v>7238</v>
      </c>
    </row>
    <row r="666" spans="1:3" x14ac:dyDescent="0.2">
      <c r="A666" s="65">
        <v>42186</v>
      </c>
      <c r="B666" s="66">
        <v>4479130</v>
      </c>
      <c r="C666" s="66">
        <f>Table9[[#This Row],[WALCL]]-B665</f>
        <v>-15925</v>
      </c>
    </row>
    <row r="667" spans="1:3" x14ac:dyDescent="0.2">
      <c r="A667" s="65">
        <v>42193</v>
      </c>
      <c r="B667" s="66">
        <v>4481289</v>
      </c>
      <c r="C667" s="66">
        <f>Table9[[#This Row],[WALCL]]-B666</f>
        <v>2159</v>
      </c>
    </row>
    <row r="668" spans="1:3" x14ac:dyDescent="0.2">
      <c r="A668" s="65">
        <v>42200</v>
      </c>
      <c r="B668" s="66">
        <v>4493605</v>
      </c>
      <c r="C668" s="66">
        <f>Table9[[#This Row],[WALCL]]-B667</f>
        <v>12316</v>
      </c>
    </row>
    <row r="669" spans="1:3" x14ac:dyDescent="0.2">
      <c r="A669" s="65">
        <v>42207</v>
      </c>
      <c r="B669" s="66">
        <v>4500503</v>
      </c>
      <c r="C669" s="66">
        <f>Table9[[#This Row],[WALCL]]-B668</f>
        <v>6898</v>
      </c>
    </row>
    <row r="670" spans="1:3" x14ac:dyDescent="0.2">
      <c r="A670" s="65">
        <v>42214</v>
      </c>
      <c r="B670" s="66">
        <v>4485480</v>
      </c>
      <c r="C670" s="66">
        <f>Table9[[#This Row],[WALCL]]-B669</f>
        <v>-15023</v>
      </c>
    </row>
    <row r="671" spans="1:3" x14ac:dyDescent="0.2">
      <c r="A671" s="65">
        <v>42221</v>
      </c>
      <c r="B671" s="66">
        <v>4486329</v>
      </c>
      <c r="C671" s="66">
        <f>Table9[[#This Row],[WALCL]]-B670</f>
        <v>849</v>
      </c>
    </row>
    <row r="672" spans="1:3" x14ac:dyDescent="0.2">
      <c r="A672" s="65">
        <v>42228</v>
      </c>
      <c r="B672" s="66">
        <v>4489250</v>
      </c>
      <c r="C672" s="66">
        <f>Table9[[#This Row],[WALCL]]-B671</f>
        <v>2921</v>
      </c>
    </row>
    <row r="673" spans="1:3" x14ac:dyDescent="0.2">
      <c r="A673" s="65">
        <v>42235</v>
      </c>
      <c r="B673" s="66">
        <v>4487208</v>
      </c>
      <c r="C673" s="66">
        <f>Table9[[#This Row],[WALCL]]-B672</f>
        <v>-2042</v>
      </c>
    </row>
    <row r="674" spans="1:3" x14ac:dyDescent="0.2">
      <c r="A674" s="65">
        <v>42242</v>
      </c>
      <c r="B674" s="66">
        <v>4475105</v>
      </c>
      <c r="C674" s="66">
        <f>Table9[[#This Row],[WALCL]]-B673</f>
        <v>-12103</v>
      </c>
    </row>
    <row r="675" spans="1:3" x14ac:dyDescent="0.2">
      <c r="A675" s="65">
        <v>42249</v>
      </c>
      <c r="B675" s="66">
        <v>4475886</v>
      </c>
      <c r="C675" s="66">
        <f>Table9[[#This Row],[WALCL]]-B674</f>
        <v>781</v>
      </c>
    </row>
    <row r="676" spans="1:3" x14ac:dyDescent="0.2">
      <c r="A676" s="65">
        <v>42256</v>
      </c>
      <c r="B676" s="66">
        <v>4478213</v>
      </c>
      <c r="C676" s="66">
        <f>Table9[[#This Row],[WALCL]]-B675</f>
        <v>2327</v>
      </c>
    </row>
    <row r="677" spans="1:3" x14ac:dyDescent="0.2">
      <c r="A677" s="65">
        <v>42263</v>
      </c>
      <c r="B677" s="66">
        <v>4487809</v>
      </c>
      <c r="C677" s="66">
        <f>Table9[[#This Row],[WALCL]]-B676</f>
        <v>9596</v>
      </c>
    </row>
    <row r="678" spans="1:3" x14ac:dyDescent="0.2">
      <c r="A678" s="65">
        <v>42270</v>
      </c>
      <c r="B678" s="66">
        <v>4497484</v>
      </c>
      <c r="C678" s="66">
        <f>Table9[[#This Row],[WALCL]]-B677</f>
        <v>9675</v>
      </c>
    </row>
    <row r="679" spans="1:3" x14ac:dyDescent="0.2">
      <c r="A679" s="65">
        <v>42277</v>
      </c>
      <c r="B679" s="66">
        <v>4484111</v>
      </c>
      <c r="C679" s="66">
        <f>Table9[[#This Row],[WALCL]]-B678</f>
        <v>-13373</v>
      </c>
    </row>
    <row r="680" spans="1:3" x14ac:dyDescent="0.2">
      <c r="A680" s="65">
        <v>42284</v>
      </c>
      <c r="B680" s="66">
        <v>4486185</v>
      </c>
      <c r="C680" s="66">
        <f>Table9[[#This Row],[WALCL]]-B679</f>
        <v>2074</v>
      </c>
    </row>
    <row r="681" spans="1:3" x14ac:dyDescent="0.2">
      <c r="A681" s="65">
        <v>42291</v>
      </c>
      <c r="B681" s="66">
        <v>4504704</v>
      </c>
      <c r="C681" s="66">
        <f>Table9[[#This Row],[WALCL]]-B680</f>
        <v>18519</v>
      </c>
    </row>
    <row r="682" spans="1:3" x14ac:dyDescent="0.2">
      <c r="A682" s="65">
        <v>42298</v>
      </c>
      <c r="B682" s="66">
        <v>4501372</v>
      </c>
      <c r="C682" s="66">
        <f>Table9[[#This Row],[WALCL]]-B681</f>
        <v>-3332</v>
      </c>
    </row>
    <row r="683" spans="1:3" x14ac:dyDescent="0.2">
      <c r="A683" s="65">
        <v>42305</v>
      </c>
      <c r="B683" s="66">
        <v>4489339</v>
      </c>
      <c r="C683" s="66">
        <f>Table9[[#This Row],[WALCL]]-B682</f>
        <v>-12033</v>
      </c>
    </row>
    <row r="684" spans="1:3" x14ac:dyDescent="0.2">
      <c r="A684" s="65">
        <v>42312</v>
      </c>
      <c r="B684" s="66">
        <v>4489702</v>
      </c>
      <c r="C684" s="66">
        <f>Table9[[#This Row],[WALCL]]-B683</f>
        <v>363</v>
      </c>
    </row>
    <row r="685" spans="1:3" x14ac:dyDescent="0.2">
      <c r="A685" s="65">
        <v>42319</v>
      </c>
      <c r="B685" s="66">
        <v>4492012</v>
      </c>
      <c r="C685" s="66">
        <f>Table9[[#This Row],[WALCL]]-B684</f>
        <v>2310</v>
      </c>
    </row>
    <row r="686" spans="1:3" x14ac:dyDescent="0.2">
      <c r="A686" s="65">
        <v>42326</v>
      </c>
      <c r="B686" s="66">
        <v>4486721</v>
      </c>
      <c r="C686" s="66">
        <f>Table9[[#This Row],[WALCL]]-B685</f>
        <v>-5291</v>
      </c>
    </row>
    <row r="687" spans="1:3" x14ac:dyDescent="0.2">
      <c r="A687" s="65">
        <v>42333</v>
      </c>
      <c r="B687" s="66">
        <v>4477088</v>
      </c>
      <c r="C687" s="66">
        <f>Table9[[#This Row],[WALCL]]-B686</f>
        <v>-9633</v>
      </c>
    </row>
    <row r="688" spans="1:3" x14ac:dyDescent="0.2">
      <c r="A688" s="65">
        <v>42340</v>
      </c>
      <c r="B688" s="66">
        <v>4478069</v>
      </c>
      <c r="C688" s="66">
        <f>Table9[[#This Row],[WALCL]]-B687</f>
        <v>981</v>
      </c>
    </row>
    <row r="689" spans="1:3" x14ac:dyDescent="0.2">
      <c r="A689" s="65">
        <v>42347</v>
      </c>
      <c r="B689" s="66">
        <v>4480436</v>
      </c>
      <c r="C689" s="66">
        <f>Table9[[#This Row],[WALCL]]-B688</f>
        <v>2367</v>
      </c>
    </row>
    <row r="690" spans="1:3" x14ac:dyDescent="0.2">
      <c r="A690" s="65">
        <v>42354</v>
      </c>
      <c r="B690" s="66">
        <v>4489593</v>
      </c>
      <c r="C690" s="66">
        <f>Table9[[#This Row],[WALCL]]-B689</f>
        <v>9157</v>
      </c>
    </row>
    <row r="691" spans="1:3" x14ac:dyDescent="0.2">
      <c r="A691" s="65">
        <v>42361</v>
      </c>
      <c r="B691" s="66">
        <v>4496523</v>
      </c>
      <c r="C691" s="66">
        <f>Table9[[#This Row],[WALCL]]-B690</f>
        <v>6930</v>
      </c>
    </row>
    <row r="692" spans="1:3" x14ac:dyDescent="0.2">
      <c r="A692" s="65">
        <v>42368</v>
      </c>
      <c r="B692" s="66">
        <v>4486587</v>
      </c>
      <c r="C692" s="66">
        <f>Table9[[#This Row],[WALCL]]-B691</f>
        <v>-9936</v>
      </c>
    </row>
    <row r="693" spans="1:3" x14ac:dyDescent="0.2">
      <c r="A693" s="65">
        <v>42375</v>
      </c>
      <c r="B693" s="66">
        <v>4486606</v>
      </c>
      <c r="C693" s="66">
        <f>Table9[[#This Row],[WALCL]]-B692</f>
        <v>19</v>
      </c>
    </row>
    <row r="694" spans="1:3" x14ac:dyDescent="0.2">
      <c r="A694" s="65">
        <v>42382</v>
      </c>
      <c r="B694" s="66">
        <v>4501695</v>
      </c>
      <c r="C694" s="66">
        <f>Table9[[#This Row],[WALCL]]-B693</f>
        <v>15089</v>
      </c>
    </row>
    <row r="695" spans="1:3" x14ac:dyDescent="0.2">
      <c r="A695" s="65">
        <v>42389</v>
      </c>
      <c r="B695" s="66">
        <v>4488840</v>
      </c>
      <c r="C695" s="66">
        <f>Table9[[#This Row],[WALCL]]-B694</f>
        <v>-12855</v>
      </c>
    </row>
    <row r="696" spans="1:3" x14ac:dyDescent="0.2">
      <c r="A696" s="65">
        <v>42396</v>
      </c>
      <c r="B696" s="66">
        <v>4482349</v>
      </c>
      <c r="C696" s="66">
        <f>Table9[[#This Row],[WALCL]]-B695</f>
        <v>-6491</v>
      </c>
    </row>
    <row r="697" spans="1:3" x14ac:dyDescent="0.2">
      <c r="A697" s="65">
        <v>42403</v>
      </c>
      <c r="B697" s="66">
        <v>4483495</v>
      </c>
      <c r="C697" s="66">
        <f>Table9[[#This Row],[WALCL]]-B696</f>
        <v>1146</v>
      </c>
    </row>
    <row r="698" spans="1:3" x14ac:dyDescent="0.2">
      <c r="A698" s="65">
        <v>42410</v>
      </c>
      <c r="B698" s="66">
        <v>4486278</v>
      </c>
      <c r="C698" s="66">
        <f>Table9[[#This Row],[WALCL]]-B697</f>
        <v>2783</v>
      </c>
    </row>
    <row r="699" spans="1:3" x14ac:dyDescent="0.2">
      <c r="A699" s="65">
        <v>42417</v>
      </c>
      <c r="B699" s="66">
        <v>4483629</v>
      </c>
      <c r="C699" s="66">
        <f>Table9[[#This Row],[WALCL]]-B698</f>
        <v>-2649</v>
      </c>
    </row>
    <row r="700" spans="1:3" x14ac:dyDescent="0.2">
      <c r="A700" s="65">
        <v>42424</v>
      </c>
      <c r="B700" s="66">
        <v>4489796</v>
      </c>
      <c r="C700" s="66">
        <f>Table9[[#This Row],[WALCL]]-B699</f>
        <v>6167</v>
      </c>
    </row>
    <row r="701" spans="1:3" x14ac:dyDescent="0.2">
      <c r="A701" s="65">
        <v>42431</v>
      </c>
      <c r="B701" s="66">
        <v>4478485</v>
      </c>
      <c r="C701" s="66">
        <f>Table9[[#This Row],[WALCL]]-B700</f>
        <v>-11311</v>
      </c>
    </row>
    <row r="702" spans="1:3" x14ac:dyDescent="0.2">
      <c r="A702" s="65">
        <v>42438</v>
      </c>
      <c r="B702" s="66">
        <v>4481083</v>
      </c>
      <c r="C702" s="66">
        <f>Table9[[#This Row],[WALCL]]-B701</f>
        <v>2598</v>
      </c>
    </row>
    <row r="703" spans="1:3" x14ac:dyDescent="0.2">
      <c r="A703" s="65">
        <v>42445</v>
      </c>
      <c r="B703" s="66">
        <v>4486333</v>
      </c>
      <c r="C703" s="66">
        <f>Table9[[#This Row],[WALCL]]-B702</f>
        <v>5250</v>
      </c>
    </row>
    <row r="704" spans="1:3" x14ac:dyDescent="0.2">
      <c r="A704" s="65">
        <v>42452</v>
      </c>
      <c r="B704" s="66">
        <v>4492857</v>
      </c>
      <c r="C704" s="66">
        <f>Table9[[#This Row],[WALCL]]-B703</f>
        <v>6524</v>
      </c>
    </row>
    <row r="705" spans="1:3" x14ac:dyDescent="0.2">
      <c r="A705" s="65">
        <v>42459</v>
      </c>
      <c r="B705" s="66">
        <v>4482840</v>
      </c>
      <c r="C705" s="66">
        <f>Table9[[#This Row],[WALCL]]-B704</f>
        <v>-10017</v>
      </c>
    </row>
    <row r="706" spans="1:3" x14ac:dyDescent="0.2">
      <c r="A706" s="65">
        <v>42466</v>
      </c>
      <c r="B706" s="66">
        <v>4484069</v>
      </c>
      <c r="C706" s="66">
        <f>Table9[[#This Row],[WALCL]]-B705</f>
        <v>1229</v>
      </c>
    </row>
    <row r="707" spans="1:3" x14ac:dyDescent="0.2">
      <c r="A707" s="65">
        <v>42473</v>
      </c>
      <c r="B707" s="66">
        <v>4499729</v>
      </c>
      <c r="C707" s="66">
        <f>Table9[[#This Row],[WALCL]]-B706</f>
        <v>15660</v>
      </c>
    </row>
    <row r="708" spans="1:3" x14ac:dyDescent="0.2">
      <c r="A708" s="65">
        <v>42480</v>
      </c>
      <c r="B708" s="66">
        <v>4490131</v>
      </c>
      <c r="C708" s="66">
        <f>Table9[[#This Row],[WALCL]]-B707</f>
        <v>-9598</v>
      </c>
    </row>
    <row r="709" spans="1:3" x14ac:dyDescent="0.2">
      <c r="A709" s="65">
        <v>42487</v>
      </c>
      <c r="B709" s="66">
        <v>4474665</v>
      </c>
      <c r="C709" s="66">
        <f>Table9[[#This Row],[WALCL]]-B708</f>
        <v>-15466</v>
      </c>
    </row>
    <row r="710" spans="1:3" x14ac:dyDescent="0.2">
      <c r="A710" s="65">
        <v>42494</v>
      </c>
      <c r="B710" s="66">
        <v>4477270</v>
      </c>
      <c r="C710" s="66">
        <f>Table9[[#This Row],[WALCL]]-B709</f>
        <v>2605</v>
      </c>
    </row>
    <row r="711" spans="1:3" x14ac:dyDescent="0.2">
      <c r="A711" s="65">
        <v>42501</v>
      </c>
      <c r="B711" s="66">
        <v>4478411</v>
      </c>
      <c r="C711" s="66">
        <f>Table9[[#This Row],[WALCL]]-B710</f>
        <v>1141</v>
      </c>
    </row>
    <row r="712" spans="1:3" x14ac:dyDescent="0.2">
      <c r="A712" s="65">
        <v>42508</v>
      </c>
      <c r="B712" s="66">
        <v>4473741</v>
      </c>
      <c r="C712" s="66">
        <f>Table9[[#This Row],[WALCL]]-B711</f>
        <v>-4670</v>
      </c>
    </row>
    <row r="713" spans="1:3" x14ac:dyDescent="0.2">
      <c r="A713" s="65">
        <v>42515</v>
      </c>
      <c r="B713" s="66">
        <v>4461111</v>
      </c>
      <c r="C713" s="66">
        <f>Table9[[#This Row],[WALCL]]-B712</f>
        <v>-12630</v>
      </c>
    </row>
    <row r="714" spans="1:3" x14ac:dyDescent="0.2">
      <c r="A714" s="65">
        <v>42522</v>
      </c>
      <c r="B714" s="66">
        <v>4461393</v>
      </c>
      <c r="C714" s="66">
        <f>Table9[[#This Row],[WALCL]]-B713</f>
        <v>282</v>
      </c>
    </row>
    <row r="715" spans="1:3" x14ac:dyDescent="0.2">
      <c r="A715" s="65">
        <v>42529</v>
      </c>
      <c r="B715" s="66">
        <v>4463542</v>
      </c>
      <c r="C715" s="66">
        <f>Table9[[#This Row],[WALCL]]-B714</f>
        <v>2149</v>
      </c>
    </row>
    <row r="716" spans="1:3" x14ac:dyDescent="0.2">
      <c r="A716" s="65">
        <v>42536</v>
      </c>
      <c r="B716" s="66">
        <v>4472817</v>
      </c>
      <c r="C716" s="66">
        <f>Table9[[#This Row],[WALCL]]-B715</f>
        <v>9275</v>
      </c>
    </row>
    <row r="717" spans="1:3" x14ac:dyDescent="0.2">
      <c r="A717" s="65">
        <v>42543</v>
      </c>
      <c r="B717" s="66">
        <v>4482009</v>
      </c>
      <c r="C717" s="66">
        <f>Table9[[#This Row],[WALCL]]-B716</f>
        <v>9192</v>
      </c>
    </row>
    <row r="718" spans="1:3" x14ac:dyDescent="0.2">
      <c r="A718" s="65">
        <v>42550</v>
      </c>
      <c r="B718" s="66">
        <v>4466482</v>
      </c>
      <c r="C718" s="66">
        <f>Table9[[#This Row],[WALCL]]-B717</f>
        <v>-15527</v>
      </c>
    </row>
    <row r="719" spans="1:3" x14ac:dyDescent="0.2">
      <c r="A719" s="65">
        <v>42557</v>
      </c>
      <c r="B719" s="66">
        <v>4470605</v>
      </c>
      <c r="C719" s="66">
        <f>Table9[[#This Row],[WALCL]]-B718</f>
        <v>4123</v>
      </c>
    </row>
    <row r="720" spans="1:3" x14ac:dyDescent="0.2">
      <c r="A720" s="65">
        <v>42564</v>
      </c>
      <c r="B720" s="66">
        <v>4472202</v>
      </c>
      <c r="C720" s="66">
        <f>Table9[[#This Row],[WALCL]]-B719</f>
        <v>1597</v>
      </c>
    </row>
    <row r="721" spans="1:3" x14ac:dyDescent="0.2">
      <c r="A721" s="65">
        <v>42571</v>
      </c>
      <c r="B721" s="66">
        <v>4480973</v>
      </c>
      <c r="C721" s="66">
        <f>Table9[[#This Row],[WALCL]]-B720</f>
        <v>8771</v>
      </c>
    </row>
    <row r="722" spans="1:3" x14ac:dyDescent="0.2">
      <c r="A722" s="65">
        <v>42578</v>
      </c>
      <c r="B722" s="66">
        <v>4464498</v>
      </c>
      <c r="C722" s="66">
        <f>Table9[[#This Row],[WALCL]]-B721</f>
        <v>-16475</v>
      </c>
    </row>
    <row r="723" spans="1:3" x14ac:dyDescent="0.2">
      <c r="A723" s="65">
        <v>42585</v>
      </c>
      <c r="B723" s="66">
        <v>4466793</v>
      </c>
      <c r="C723" s="66">
        <f>Table9[[#This Row],[WALCL]]-B722</f>
        <v>2295</v>
      </c>
    </row>
    <row r="724" spans="1:3" x14ac:dyDescent="0.2">
      <c r="A724" s="65">
        <v>42592</v>
      </c>
      <c r="B724" s="66">
        <v>4468929</v>
      </c>
      <c r="C724" s="66">
        <f>Table9[[#This Row],[WALCL]]-B723</f>
        <v>2136</v>
      </c>
    </row>
    <row r="725" spans="1:3" x14ac:dyDescent="0.2">
      <c r="A725" s="65">
        <v>42599</v>
      </c>
      <c r="B725" s="66">
        <v>4466476</v>
      </c>
      <c r="C725" s="66">
        <f>Table9[[#This Row],[WALCL]]-B724</f>
        <v>-2453</v>
      </c>
    </row>
    <row r="726" spans="1:3" x14ac:dyDescent="0.2">
      <c r="A726" s="65">
        <v>42606</v>
      </c>
      <c r="B726" s="66">
        <v>4473840</v>
      </c>
      <c r="C726" s="66">
        <f>Table9[[#This Row],[WALCL]]-B725</f>
        <v>7364</v>
      </c>
    </row>
    <row r="727" spans="1:3" x14ac:dyDescent="0.2">
      <c r="A727" s="65">
        <v>42613</v>
      </c>
      <c r="B727" s="66">
        <v>4457907</v>
      </c>
      <c r="C727" s="66">
        <f>Table9[[#This Row],[WALCL]]-B726</f>
        <v>-15933</v>
      </c>
    </row>
    <row r="728" spans="1:3" x14ac:dyDescent="0.2">
      <c r="A728" s="65">
        <v>42620</v>
      </c>
      <c r="B728" s="66">
        <v>4459394</v>
      </c>
      <c r="C728" s="66">
        <f>Table9[[#This Row],[WALCL]]-B727</f>
        <v>1487</v>
      </c>
    </row>
    <row r="729" spans="1:3" x14ac:dyDescent="0.2">
      <c r="A729" s="65">
        <v>42627</v>
      </c>
      <c r="B729" s="66">
        <v>4481635</v>
      </c>
      <c r="C729" s="66">
        <f>Table9[[#This Row],[WALCL]]-B728</f>
        <v>22241</v>
      </c>
    </row>
    <row r="730" spans="1:3" x14ac:dyDescent="0.2">
      <c r="A730" s="65">
        <v>42634</v>
      </c>
      <c r="B730" s="66">
        <v>4473032</v>
      </c>
      <c r="C730" s="66">
        <f>Table9[[#This Row],[WALCL]]-B729</f>
        <v>-8603</v>
      </c>
    </row>
    <row r="731" spans="1:3" x14ac:dyDescent="0.2">
      <c r="A731" s="65">
        <v>42641</v>
      </c>
      <c r="B731" s="66">
        <v>4452002</v>
      </c>
      <c r="C731" s="66">
        <f>Table9[[#This Row],[WALCL]]-B730</f>
        <v>-21030</v>
      </c>
    </row>
    <row r="732" spans="1:3" x14ac:dyDescent="0.2">
      <c r="A732" s="65">
        <v>42648</v>
      </c>
      <c r="B732" s="66">
        <v>4459407</v>
      </c>
      <c r="C732" s="66">
        <f>Table9[[#This Row],[WALCL]]-B731</f>
        <v>7405</v>
      </c>
    </row>
    <row r="733" spans="1:3" x14ac:dyDescent="0.2">
      <c r="A733" s="65">
        <v>42655</v>
      </c>
      <c r="B733" s="66">
        <v>4457698</v>
      </c>
      <c r="C733" s="66">
        <f>Table9[[#This Row],[WALCL]]-B732</f>
        <v>-1709</v>
      </c>
    </row>
    <row r="734" spans="1:3" x14ac:dyDescent="0.2">
      <c r="A734" s="65">
        <v>42662</v>
      </c>
      <c r="B734" s="66">
        <v>4467382</v>
      </c>
      <c r="C734" s="66">
        <f>Table9[[#This Row],[WALCL]]-B733</f>
        <v>9684</v>
      </c>
    </row>
    <row r="735" spans="1:3" x14ac:dyDescent="0.2">
      <c r="A735" s="65">
        <v>42669</v>
      </c>
      <c r="B735" s="66">
        <v>4454326</v>
      </c>
      <c r="C735" s="66">
        <f>Table9[[#This Row],[WALCL]]-B734</f>
        <v>-13056</v>
      </c>
    </row>
    <row r="736" spans="1:3" x14ac:dyDescent="0.2">
      <c r="A736" s="65">
        <v>42676</v>
      </c>
      <c r="B736" s="66">
        <v>4453087</v>
      </c>
      <c r="C736" s="66">
        <f>Table9[[#This Row],[WALCL]]-B735</f>
        <v>-1239</v>
      </c>
    </row>
    <row r="737" spans="1:3" x14ac:dyDescent="0.2">
      <c r="A737" s="65">
        <v>42683</v>
      </c>
      <c r="B737" s="66">
        <v>4455087</v>
      </c>
      <c r="C737" s="66">
        <f>Table9[[#This Row],[WALCL]]-B736</f>
        <v>2000</v>
      </c>
    </row>
    <row r="738" spans="1:3" x14ac:dyDescent="0.2">
      <c r="A738" s="65">
        <v>42690</v>
      </c>
      <c r="B738" s="66">
        <v>4453633</v>
      </c>
      <c r="C738" s="66">
        <f>Table9[[#This Row],[WALCL]]-B737</f>
        <v>-1454</v>
      </c>
    </row>
    <row r="739" spans="1:3" x14ac:dyDescent="0.2">
      <c r="A739" s="65">
        <v>42697</v>
      </c>
      <c r="B739" s="66">
        <v>4465782</v>
      </c>
      <c r="C739" s="66">
        <f>Table9[[#This Row],[WALCL]]-B738</f>
        <v>12149</v>
      </c>
    </row>
    <row r="740" spans="1:3" x14ac:dyDescent="0.2">
      <c r="A740" s="65">
        <v>42704</v>
      </c>
      <c r="B740" s="66">
        <v>4446307</v>
      </c>
      <c r="C740" s="66">
        <f>Table9[[#This Row],[WALCL]]-B739</f>
        <v>-19475</v>
      </c>
    </row>
    <row r="741" spans="1:3" x14ac:dyDescent="0.2">
      <c r="A741" s="65">
        <v>42711</v>
      </c>
      <c r="B741" s="66">
        <v>4448618</v>
      </c>
      <c r="C741" s="66">
        <f>Table9[[#This Row],[WALCL]]-B740</f>
        <v>2311</v>
      </c>
    </row>
    <row r="742" spans="1:3" x14ac:dyDescent="0.2">
      <c r="A742" s="65">
        <v>42718</v>
      </c>
      <c r="B742" s="66">
        <v>4470973</v>
      </c>
      <c r="C742" s="66">
        <f>Table9[[#This Row],[WALCL]]-B741</f>
        <v>22355</v>
      </c>
    </row>
    <row r="743" spans="1:3" x14ac:dyDescent="0.2">
      <c r="A743" s="65">
        <v>42725</v>
      </c>
      <c r="B743" s="66">
        <v>4469089</v>
      </c>
      <c r="C743" s="66">
        <f>Table9[[#This Row],[WALCL]]-B742</f>
        <v>-1884</v>
      </c>
    </row>
    <row r="744" spans="1:3" x14ac:dyDescent="0.2">
      <c r="A744" s="65">
        <v>42732</v>
      </c>
      <c r="B744" s="66">
        <v>4451451</v>
      </c>
      <c r="C744" s="66">
        <f>Table9[[#This Row],[WALCL]]-B743</f>
        <v>-17638</v>
      </c>
    </row>
    <row r="745" spans="1:3" x14ac:dyDescent="0.2">
      <c r="A745" s="65">
        <v>42739</v>
      </c>
      <c r="B745" s="66">
        <v>4453101</v>
      </c>
      <c r="C745" s="66">
        <f>Table9[[#This Row],[WALCL]]-B744</f>
        <v>1650</v>
      </c>
    </row>
    <row r="746" spans="1:3" x14ac:dyDescent="0.2">
      <c r="A746" s="65">
        <v>42746</v>
      </c>
      <c r="B746" s="66">
        <v>4452509</v>
      </c>
      <c r="C746" s="66">
        <f>Table9[[#This Row],[WALCL]]-B745</f>
        <v>-592</v>
      </c>
    </row>
    <row r="747" spans="1:3" x14ac:dyDescent="0.2">
      <c r="A747" s="65">
        <v>42753</v>
      </c>
      <c r="B747" s="66">
        <v>4460758</v>
      </c>
      <c r="C747" s="66">
        <f>Table9[[#This Row],[WALCL]]-B746</f>
        <v>8249</v>
      </c>
    </row>
    <row r="748" spans="1:3" x14ac:dyDescent="0.2">
      <c r="A748" s="65">
        <v>42760</v>
      </c>
      <c r="B748" s="66">
        <v>4452838</v>
      </c>
      <c r="C748" s="66">
        <f>Table9[[#This Row],[WALCL]]-B747</f>
        <v>-7920</v>
      </c>
    </row>
    <row r="749" spans="1:3" x14ac:dyDescent="0.2">
      <c r="A749" s="65">
        <v>42767</v>
      </c>
      <c r="B749" s="66">
        <v>4453881</v>
      </c>
      <c r="C749" s="66">
        <f>Table9[[#This Row],[WALCL]]-B748</f>
        <v>1043</v>
      </c>
    </row>
    <row r="750" spans="1:3" x14ac:dyDescent="0.2">
      <c r="A750" s="65">
        <v>42774</v>
      </c>
      <c r="B750" s="66">
        <v>4456236</v>
      </c>
      <c r="C750" s="66">
        <f>Table9[[#This Row],[WALCL]]-B749</f>
        <v>2355</v>
      </c>
    </row>
    <row r="751" spans="1:3" x14ac:dyDescent="0.2">
      <c r="A751" s="65">
        <v>42781</v>
      </c>
      <c r="B751" s="66">
        <v>4454676</v>
      </c>
      <c r="C751" s="66">
        <f>Table9[[#This Row],[WALCL]]-B750</f>
        <v>-1560</v>
      </c>
    </row>
    <row r="752" spans="1:3" x14ac:dyDescent="0.2">
      <c r="A752" s="65">
        <v>42788</v>
      </c>
      <c r="B752" s="66">
        <v>4468702</v>
      </c>
      <c r="C752" s="66">
        <f>Table9[[#This Row],[WALCL]]-B751</f>
        <v>14026</v>
      </c>
    </row>
    <row r="753" spans="1:3" x14ac:dyDescent="0.2">
      <c r="A753" s="65">
        <v>42795</v>
      </c>
      <c r="B753" s="66">
        <v>4458018</v>
      </c>
      <c r="C753" s="66">
        <f>Table9[[#This Row],[WALCL]]-B752</f>
        <v>-10684</v>
      </c>
    </row>
    <row r="754" spans="1:3" x14ac:dyDescent="0.2">
      <c r="A754" s="65">
        <v>42802</v>
      </c>
      <c r="B754" s="66">
        <v>4459840</v>
      </c>
      <c r="C754" s="66">
        <f>Table9[[#This Row],[WALCL]]-B753</f>
        <v>1822</v>
      </c>
    </row>
    <row r="755" spans="1:3" x14ac:dyDescent="0.2">
      <c r="A755" s="65">
        <v>42809</v>
      </c>
      <c r="B755" s="66">
        <v>4469577</v>
      </c>
      <c r="C755" s="66">
        <f>Table9[[#This Row],[WALCL]]-B754</f>
        <v>9737</v>
      </c>
    </row>
    <row r="756" spans="1:3" x14ac:dyDescent="0.2">
      <c r="A756" s="65">
        <v>42816</v>
      </c>
      <c r="B756" s="66">
        <v>4478236</v>
      </c>
      <c r="C756" s="66">
        <f>Table9[[#This Row],[WALCL]]-B755</f>
        <v>8659</v>
      </c>
    </row>
    <row r="757" spans="1:3" x14ac:dyDescent="0.2">
      <c r="A757" s="65">
        <v>42823</v>
      </c>
      <c r="B757" s="66">
        <v>4469618</v>
      </c>
      <c r="C757" s="66">
        <f>Table9[[#This Row],[WALCL]]-B756</f>
        <v>-8618</v>
      </c>
    </row>
    <row r="758" spans="1:3" x14ac:dyDescent="0.2">
      <c r="A758" s="65">
        <v>42830</v>
      </c>
      <c r="B758" s="66">
        <v>4474634</v>
      </c>
      <c r="C758" s="66">
        <f>Table9[[#This Row],[WALCL]]-B757</f>
        <v>5016</v>
      </c>
    </row>
    <row r="759" spans="1:3" x14ac:dyDescent="0.2">
      <c r="A759" s="65">
        <v>42837</v>
      </c>
      <c r="B759" s="66">
        <v>4484492</v>
      </c>
      <c r="C759" s="66">
        <f>Table9[[#This Row],[WALCL]]-B758</f>
        <v>9858</v>
      </c>
    </row>
    <row r="760" spans="1:3" x14ac:dyDescent="0.2">
      <c r="A760" s="65">
        <v>42844</v>
      </c>
      <c r="B760" s="66">
        <v>4479270</v>
      </c>
      <c r="C760" s="66">
        <f>Table9[[#This Row],[WALCL]]-B759</f>
        <v>-5222</v>
      </c>
    </row>
    <row r="761" spans="1:3" x14ac:dyDescent="0.2">
      <c r="A761" s="65">
        <v>42851</v>
      </c>
      <c r="B761" s="66">
        <v>4470142</v>
      </c>
      <c r="C761" s="66">
        <f>Table9[[#This Row],[WALCL]]-B760</f>
        <v>-9128</v>
      </c>
    </row>
    <row r="762" spans="1:3" x14ac:dyDescent="0.2">
      <c r="A762" s="65">
        <v>42858</v>
      </c>
      <c r="B762" s="66">
        <v>4471246</v>
      </c>
      <c r="C762" s="66">
        <f>Table9[[#This Row],[WALCL]]-B761</f>
        <v>1104</v>
      </c>
    </row>
    <row r="763" spans="1:3" x14ac:dyDescent="0.2">
      <c r="A763" s="65">
        <v>42865</v>
      </c>
      <c r="B763" s="66">
        <v>4473459</v>
      </c>
      <c r="C763" s="66">
        <f>Table9[[#This Row],[WALCL]]-B762</f>
        <v>2213</v>
      </c>
    </row>
    <row r="764" spans="1:3" x14ac:dyDescent="0.2">
      <c r="A764" s="65">
        <v>42872</v>
      </c>
      <c r="B764" s="66">
        <v>4467108</v>
      </c>
      <c r="C764" s="66">
        <f>Table9[[#This Row],[WALCL]]-B763</f>
        <v>-6351</v>
      </c>
    </row>
    <row r="765" spans="1:3" x14ac:dyDescent="0.2">
      <c r="A765" s="65">
        <v>42879</v>
      </c>
      <c r="B765" s="66">
        <v>4470852</v>
      </c>
      <c r="C765" s="66">
        <f>Table9[[#This Row],[WALCL]]-B764</f>
        <v>3744</v>
      </c>
    </row>
    <row r="766" spans="1:3" x14ac:dyDescent="0.2">
      <c r="A766" s="65">
        <v>42886</v>
      </c>
      <c r="B766" s="66">
        <v>4459914</v>
      </c>
      <c r="C766" s="66">
        <f>Table9[[#This Row],[WALCL]]-B765</f>
        <v>-10938</v>
      </c>
    </row>
    <row r="767" spans="1:3" x14ac:dyDescent="0.2">
      <c r="A767" s="65">
        <v>42893</v>
      </c>
      <c r="B767" s="66">
        <v>4462443</v>
      </c>
      <c r="C767" s="66">
        <f>Table9[[#This Row],[WALCL]]-B766</f>
        <v>2529</v>
      </c>
    </row>
    <row r="768" spans="1:3" x14ac:dyDescent="0.2">
      <c r="A768" s="65">
        <v>42900</v>
      </c>
      <c r="B768" s="66">
        <v>4476269</v>
      </c>
      <c r="C768" s="66">
        <f>Table9[[#This Row],[WALCL]]-B767</f>
        <v>13826</v>
      </c>
    </row>
    <row r="769" spans="1:3" x14ac:dyDescent="0.2">
      <c r="A769" s="65">
        <v>42907</v>
      </c>
      <c r="B769" s="66">
        <v>4474257</v>
      </c>
      <c r="C769" s="66">
        <f>Table9[[#This Row],[WALCL]]-B768</f>
        <v>-2012</v>
      </c>
    </row>
    <row r="770" spans="1:3" x14ac:dyDescent="0.2">
      <c r="A770" s="65">
        <v>42914</v>
      </c>
      <c r="B770" s="66">
        <v>4463347</v>
      </c>
      <c r="C770" s="66">
        <f>Table9[[#This Row],[WALCL]]-B769</f>
        <v>-10910</v>
      </c>
    </row>
    <row r="771" spans="1:3" x14ac:dyDescent="0.2">
      <c r="A771" s="65">
        <v>42921</v>
      </c>
      <c r="B771" s="66">
        <v>4467272</v>
      </c>
      <c r="C771" s="66">
        <f>Table9[[#This Row],[WALCL]]-B770</f>
        <v>3925</v>
      </c>
    </row>
    <row r="772" spans="1:3" x14ac:dyDescent="0.2">
      <c r="A772" s="65">
        <v>42928</v>
      </c>
      <c r="B772" s="66">
        <v>4466702</v>
      </c>
      <c r="C772" s="66">
        <f>Table9[[#This Row],[WALCL]]-B771</f>
        <v>-570</v>
      </c>
    </row>
    <row r="773" spans="1:3" x14ac:dyDescent="0.2">
      <c r="A773" s="65">
        <v>42935</v>
      </c>
      <c r="B773" s="66">
        <v>4476903</v>
      </c>
      <c r="C773" s="66">
        <f>Table9[[#This Row],[WALCL]]-B772</f>
        <v>10201</v>
      </c>
    </row>
    <row r="774" spans="1:3" x14ac:dyDescent="0.2">
      <c r="A774" s="65">
        <v>42942</v>
      </c>
      <c r="B774" s="66">
        <v>4465284</v>
      </c>
      <c r="C774" s="66">
        <f>Table9[[#This Row],[WALCL]]-B773</f>
        <v>-11619</v>
      </c>
    </row>
    <row r="775" spans="1:3" x14ac:dyDescent="0.2">
      <c r="A775" s="65">
        <v>42949</v>
      </c>
      <c r="B775" s="66">
        <v>4466846</v>
      </c>
      <c r="C775" s="66">
        <f>Table9[[#This Row],[WALCL]]-B774</f>
        <v>1562</v>
      </c>
    </row>
    <row r="776" spans="1:3" x14ac:dyDescent="0.2">
      <c r="A776" s="65">
        <v>42956</v>
      </c>
      <c r="B776" s="66">
        <v>4469083</v>
      </c>
      <c r="C776" s="66">
        <f>Table9[[#This Row],[WALCL]]-B775</f>
        <v>2237</v>
      </c>
    </row>
    <row r="777" spans="1:3" x14ac:dyDescent="0.2">
      <c r="A777" s="65">
        <v>42963</v>
      </c>
      <c r="B777" s="66">
        <v>4462871</v>
      </c>
      <c r="C777" s="66">
        <f>Table9[[#This Row],[WALCL]]-B776</f>
        <v>-6212</v>
      </c>
    </row>
    <row r="778" spans="1:3" x14ac:dyDescent="0.2">
      <c r="A778" s="65">
        <v>42970</v>
      </c>
      <c r="B778" s="66">
        <v>4463837</v>
      </c>
      <c r="C778" s="66">
        <f>Table9[[#This Row],[WALCL]]-B777</f>
        <v>966</v>
      </c>
    </row>
    <row r="779" spans="1:3" x14ac:dyDescent="0.2">
      <c r="A779" s="65">
        <v>42977</v>
      </c>
      <c r="B779" s="66">
        <v>4452360</v>
      </c>
      <c r="C779" s="66">
        <f>Table9[[#This Row],[WALCL]]-B778</f>
        <v>-11477</v>
      </c>
    </row>
    <row r="780" spans="1:3" x14ac:dyDescent="0.2">
      <c r="A780" s="65">
        <v>42984</v>
      </c>
      <c r="B780" s="66">
        <v>4453474</v>
      </c>
      <c r="C780" s="66">
        <f>Table9[[#This Row],[WALCL]]-B779</f>
        <v>1114</v>
      </c>
    </row>
    <row r="781" spans="1:3" x14ac:dyDescent="0.2">
      <c r="A781" s="65">
        <v>42991</v>
      </c>
      <c r="B781" s="66">
        <v>4471174</v>
      </c>
      <c r="C781" s="66">
        <f>Table9[[#This Row],[WALCL]]-B780</f>
        <v>17700</v>
      </c>
    </row>
    <row r="782" spans="1:3" x14ac:dyDescent="0.2">
      <c r="A782" s="65">
        <v>42998</v>
      </c>
      <c r="B782" s="66">
        <v>4458576</v>
      </c>
      <c r="C782" s="66">
        <f>Table9[[#This Row],[WALCL]]-B781</f>
        <v>-12598</v>
      </c>
    </row>
    <row r="783" spans="1:3" x14ac:dyDescent="0.2">
      <c r="A783" s="65">
        <v>43005</v>
      </c>
      <c r="B783" s="66">
        <v>4455661</v>
      </c>
      <c r="C783" s="66">
        <f>Table9[[#This Row],[WALCL]]-B782</f>
        <v>-2915</v>
      </c>
    </row>
    <row r="784" spans="1:3" x14ac:dyDescent="0.2">
      <c r="A784" s="65">
        <v>43012</v>
      </c>
      <c r="B784" s="66">
        <v>4460422</v>
      </c>
      <c r="C784" s="66">
        <f>Table9[[#This Row],[WALCL]]-B783</f>
        <v>4761</v>
      </c>
    </row>
    <row r="785" spans="1:3" x14ac:dyDescent="0.2">
      <c r="A785" s="65">
        <v>43019</v>
      </c>
      <c r="B785" s="66">
        <v>4459415</v>
      </c>
      <c r="C785" s="66">
        <f>Table9[[#This Row],[WALCL]]-B784</f>
        <v>-1007</v>
      </c>
    </row>
    <row r="786" spans="1:3" x14ac:dyDescent="0.2">
      <c r="A786" s="65">
        <v>43026</v>
      </c>
      <c r="B786" s="66">
        <v>4469723</v>
      </c>
      <c r="C786" s="66">
        <f>Table9[[#This Row],[WALCL]]-B785</f>
        <v>10308</v>
      </c>
    </row>
    <row r="787" spans="1:3" x14ac:dyDescent="0.2">
      <c r="A787" s="65">
        <v>43033</v>
      </c>
      <c r="B787" s="66">
        <v>4461117</v>
      </c>
      <c r="C787" s="66">
        <f>Table9[[#This Row],[WALCL]]-B786</f>
        <v>-8606</v>
      </c>
    </row>
    <row r="788" spans="1:3" x14ac:dyDescent="0.2">
      <c r="A788" s="65">
        <v>43040</v>
      </c>
      <c r="B788" s="66">
        <v>4455887</v>
      </c>
      <c r="C788" s="66">
        <f>Table9[[#This Row],[WALCL]]-B787</f>
        <v>-5230</v>
      </c>
    </row>
    <row r="789" spans="1:3" x14ac:dyDescent="0.2">
      <c r="A789" s="65">
        <v>43047</v>
      </c>
      <c r="B789" s="66">
        <v>4458552</v>
      </c>
      <c r="C789" s="66">
        <f>Table9[[#This Row],[WALCL]]-B788</f>
        <v>2665</v>
      </c>
    </row>
    <row r="790" spans="1:3" x14ac:dyDescent="0.2">
      <c r="A790" s="65">
        <v>43054</v>
      </c>
      <c r="B790" s="66">
        <v>4448289</v>
      </c>
      <c r="C790" s="66">
        <f>Table9[[#This Row],[WALCL]]-B789</f>
        <v>-10263</v>
      </c>
    </row>
    <row r="791" spans="1:3" x14ac:dyDescent="0.2">
      <c r="A791" s="65">
        <v>43061</v>
      </c>
      <c r="B791" s="66">
        <v>4450615</v>
      </c>
      <c r="C791" s="66">
        <f>Table9[[#This Row],[WALCL]]-B790</f>
        <v>2326</v>
      </c>
    </row>
    <row r="792" spans="1:3" x14ac:dyDescent="0.2">
      <c r="A792" s="65">
        <v>43068</v>
      </c>
      <c r="B792" s="66">
        <v>4438592</v>
      </c>
      <c r="C792" s="66">
        <f>Table9[[#This Row],[WALCL]]-B791</f>
        <v>-12023</v>
      </c>
    </row>
    <row r="793" spans="1:3" x14ac:dyDescent="0.2">
      <c r="A793" s="65">
        <v>43075</v>
      </c>
      <c r="B793" s="66">
        <v>4437148</v>
      </c>
      <c r="C793" s="66">
        <f>Table9[[#This Row],[WALCL]]-B792</f>
        <v>-1444</v>
      </c>
    </row>
    <row r="794" spans="1:3" x14ac:dyDescent="0.2">
      <c r="A794" s="65">
        <v>43082</v>
      </c>
      <c r="B794" s="66">
        <v>4452726</v>
      </c>
      <c r="C794" s="66">
        <f>Table9[[#This Row],[WALCL]]-B793</f>
        <v>15578</v>
      </c>
    </row>
    <row r="795" spans="1:3" x14ac:dyDescent="0.2">
      <c r="A795" s="65">
        <v>43089</v>
      </c>
      <c r="B795" s="66">
        <v>4447470</v>
      </c>
      <c r="C795" s="66">
        <f>Table9[[#This Row],[WALCL]]-B794</f>
        <v>-5256</v>
      </c>
    </row>
    <row r="796" spans="1:3" x14ac:dyDescent="0.2">
      <c r="A796" s="65">
        <v>43096</v>
      </c>
      <c r="B796" s="66">
        <v>4448680</v>
      </c>
      <c r="C796" s="66">
        <f>Table9[[#This Row],[WALCL]]-B795</f>
        <v>1210</v>
      </c>
    </row>
    <row r="797" spans="1:3" x14ac:dyDescent="0.2">
      <c r="A797" s="65">
        <v>43103</v>
      </c>
      <c r="B797" s="66">
        <v>4443718</v>
      </c>
      <c r="C797" s="66">
        <f>Table9[[#This Row],[WALCL]]-B796</f>
        <v>-4962</v>
      </c>
    </row>
    <row r="798" spans="1:3" x14ac:dyDescent="0.2">
      <c r="A798" s="65">
        <v>43110</v>
      </c>
      <c r="B798" s="66">
        <v>4446062</v>
      </c>
      <c r="C798" s="66">
        <f>Table9[[#This Row],[WALCL]]-B797</f>
        <v>2344</v>
      </c>
    </row>
    <row r="799" spans="1:3" x14ac:dyDescent="0.2">
      <c r="A799" s="65">
        <v>43117</v>
      </c>
      <c r="B799" s="66">
        <v>4439145</v>
      </c>
      <c r="C799" s="66">
        <f>Table9[[#This Row],[WALCL]]-B798</f>
        <v>-6917</v>
      </c>
    </row>
    <row r="800" spans="1:3" x14ac:dyDescent="0.2">
      <c r="A800" s="65">
        <v>43124</v>
      </c>
      <c r="B800" s="66">
        <v>4441317</v>
      </c>
      <c r="C800" s="66">
        <f>Table9[[#This Row],[WALCL]]-B799</f>
        <v>2172</v>
      </c>
    </row>
    <row r="801" spans="1:3" x14ac:dyDescent="0.2">
      <c r="A801" s="65">
        <v>43131</v>
      </c>
      <c r="B801" s="66">
        <v>4419225</v>
      </c>
      <c r="C801" s="66">
        <f>Table9[[#This Row],[WALCL]]-B800</f>
        <v>-22092</v>
      </c>
    </row>
    <row r="802" spans="1:3" x14ac:dyDescent="0.2">
      <c r="A802" s="65">
        <v>43138</v>
      </c>
      <c r="B802" s="66">
        <v>4420745</v>
      </c>
      <c r="C802" s="66">
        <f>Table9[[#This Row],[WALCL]]-B801</f>
        <v>1520</v>
      </c>
    </row>
    <row r="803" spans="1:3" x14ac:dyDescent="0.2">
      <c r="A803" s="65">
        <v>43145</v>
      </c>
      <c r="B803" s="66">
        <v>4434863</v>
      </c>
      <c r="C803" s="66">
        <f>Table9[[#This Row],[WALCL]]-B802</f>
        <v>14118</v>
      </c>
    </row>
    <row r="804" spans="1:3" x14ac:dyDescent="0.2">
      <c r="A804" s="65">
        <v>43152</v>
      </c>
      <c r="B804" s="66">
        <v>4411660</v>
      </c>
      <c r="C804" s="66">
        <f>Table9[[#This Row],[WALCL]]-B803</f>
        <v>-23203</v>
      </c>
    </row>
    <row r="805" spans="1:3" x14ac:dyDescent="0.2">
      <c r="A805" s="65">
        <v>43159</v>
      </c>
      <c r="B805" s="66">
        <v>4393401</v>
      </c>
      <c r="C805" s="66">
        <f>Table9[[#This Row],[WALCL]]-B804</f>
        <v>-18259</v>
      </c>
    </row>
    <row r="806" spans="1:3" x14ac:dyDescent="0.2">
      <c r="A806" s="65">
        <v>43166</v>
      </c>
      <c r="B806" s="66">
        <v>4396097</v>
      </c>
      <c r="C806" s="66">
        <f>Table9[[#This Row],[WALCL]]-B805</f>
        <v>2696</v>
      </c>
    </row>
    <row r="807" spans="1:3" x14ac:dyDescent="0.2">
      <c r="A807" s="65">
        <v>43173</v>
      </c>
      <c r="B807" s="66">
        <v>4407258</v>
      </c>
      <c r="C807" s="66">
        <f>Table9[[#This Row],[WALCL]]-B806</f>
        <v>11161</v>
      </c>
    </row>
    <row r="808" spans="1:3" x14ac:dyDescent="0.2">
      <c r="A808" s="65">
        <v>43180</v>
      </c>
      <c r="B808" s="66">
        <v>4401222</v>
      </c>
      <c r="C808" s="66">
        <f>Table9[[#This Row],[WALCL]]-B807</f>
        <v>-6036</v>
      </c>
    </row>
    <row r="809" spans="1:3" x14ac:dyDescent="0.2">
      <c r="A809" s="65">
        <v>43187</v>
      </c>
      <c r="B809" s="66">
        <v>4392198</v>
      </c>
      <c r="C809" s="66">
        <f>Table9[[#This Row],[WALCL]]-B808</f>
        <v>-9024</v>
      </c>
    </row>
    <row r="810" spans="1:3" x14ac:dyDescent="0.2">
      <c r="A810" s="65">
        <v>43194</v>
      </c>
      <c r="B810" s="66">
        <v>4386104</v>
      </c>
      <c r="C810" s="66">
        <f>Table9[[#This Row],[WALCL]]-B809</f>
        <v>-6094</v>
      </c>
    </row>
    <row r="811" spans="1:3" x14ac:dyDescent="0.2">
      <c r="A811" s="65">
        <v>43201</v>
      </c>
      <c r="B811" s="66">
        <v>4383684</v>
      </c>
      <c r="C811" s="66">
        <f>Table9[[#This Row],[WALCL]]-B810</f>
        <v>-2420</v>
      </c>
    </row>
    <row r="812" spans="1:3" x14ac:dyDescent="0.2">
      <c r="A812" s="65">
        <v>43208</v>
      </c>
      <c r="B812" s="66">
        <v>4385903</v>
      </c>
      <c r="C812" s="66">
        <f>Table9[[#This Row],[WALCL]]-B811</f>
        <v>2219</v>
      </c>
    </row>
    <row r="813" spans="1:3" x14ac:dyDescent="0.2">
      <c r="A813" s="65">
        <v>43215</v>
      </c>
      <c r="B813" s="66">
        <v>4372886</v>
      </c>
      <c r="C813" s="66">
        <f>Table9[[#This Row],[WALCL]]-B812</f>
        <v>-13017</v>
      </c>
    </row>
    <row r="814" spans="1:3" x14ac:dyDescent="0.2">
      <c r="A814" s="65">
        <v>43222</v>
      </c>
      <c r="B814" s="66">
        <v>4356129</v>
      </c>
      <c r="C814" s="66">
        <f>Table9[[#This Row],[WALCL]]-B813</f>
        <v>-16757</v>
      </c>
    </row>
    <row r="815" spans="1:3" x14ac:dyDescent="0.2">
      <c r="A815" s="65">
        <v>43229</v>
      </c>
      <c r="B815" s="66">
        <v>4358207</v>
      </c>
      <c r="C815" s="66">
        <f>Table9[[#This Row],[WALCL]]-B814</f>
        <v>2078</v>
      </c>
    </row>
    <row r="816" spans="1:3" x14ac:dyDescent="0.2">
      <c r="A816" s="65">
        <v>43236</v>
      </c>
      <c r="B816" s="66">
        <v>4337609</v>
      </c>
      <c r="C816" s="66">
        <f>Table9[[#This Row],[WALCL]]-B815</f>
        <v>-20598</v>
      </c>
    </row>
    <row r="817" spans="1:3" x14ac:dyDescent="0.2">
      <c r="A817" s="65">
        <v>43243</v>
      </c>
      <c r="B817" s="66">
        <v>4337301</v>
      </c>
      <c r="C817" s="66">
        <f>Table9[[#This Row],[WALCL]]-B816</f>
        <v>-308</v>
      </c>
    </row>
    <row r="818" spans="1:3" x14ac:dyDescent="0.2">
      <c r="A818" s="65">
        <v>43250</v>
      </c>
      <c r="B818" s="66">
        <v>4327519</v>
      </c>
      <c r="C818" s="66">
        <f>Table9[[#This Row],[WALCL]]-B817</f>
        <v>-9782</v>
      </c>
    </row>
    <row r="819" spans="1:3" x14ac:dyDescent="0.2">
      <c r="A819" s="65">
        <v>43257</v>
      </c>
      <c r="B819" s="66">
        <v>4319191</v>
      </c>
      <c r="C819" s="66">
        <f>Table9[[#This Row],[WALCL]]-B818</f>
        <v>-8328</v>
      </c>
    </row>
    <row r="820" spans="1:3" x14ac:dyDescent="0.2">
      <c r="A820" s="65">
        <v>43264</v>
      </c>
      <c r="B820" s="66">
        <v>4324906</v>
      </c>
      <c r="C820" s="66">
        <f>Table9[[#This Row],[WALCL]]-B819</f>
        <v>5715</v>
      </c>
    </row>
    <row r="821" spans="1:3" x14ac:dyDescent="0.2">
      <c r="A821" s="65">
        <v>43271</v>
      </c>
      <c r="B821" s="66">
        <v>4315896</v>
      </c>
      <c r="C821" s="66">
        <f>Table9[[#This Row],[WALCL]]-B820</f>
        <v>-9010</v>
      </c>
    </row>
    <row r="822" spans="1:3" x14ac:dyDescent="0.2">
      <c r="A822" s="65">
        <v>43278</v>
      </c>
      <c r="B822" s="66">
        <v>4305491</v>
      </c>
      <c r="C822" s="66">
        <f>Table9[[#This Row],[WALCL]]-B821</f>
        <v>-10405</v>
      </c>
    </row>
    <row r="823" spans="1:3" x14ac:dyDescent="0.2">
      <c r="A823" s="65">
        <v>43285</v>
      </c>
      <c r="B823" s="66">
        <v>4289764</v>
      </c>
      <c r="C823" s="66">
        <f>Table9[[#This Row],[WALCL]]-B822</f>
        <v>-15727</v>
      </c>
    </row>
    <row r="824" spans="1:3" x14ac:dyDescent="0.2">
      <c r="A824" s="65">
        <v>43292</v>
      </c>
      <c r="B824" s="66">
        <v>4291201</v>
      </c>
      <c r="C824" s="66">
        <f>Table9[[#This Row],[WALCL]]-B823</f>
        <v>1437</v>
      </c>
    </row>
    <row r="825" spans="1:3" x14ac:dyDescent="0.2">
      <c r="A825" s="65">
        <v>43299</v>
      </c>
      <c r="B825" s="66">
        <v>4291615</v>
      </c>
      <c r="C825" s="66">
        <f>Table9[[#This Row],[WALCL]]-B824</f>
        <v>414</v>
      </c>
    </row>
    <row r="826" spans="1:3" x14ac:dyDescent="0.2">
      <c r="A826" s="65">
        <v>43306</v>
      </c>
      <c r="B826" s="66">
        <v>4277681</v>
      </c>
      <c r="C826" s="66">
        <f>Table9[[#This Row],[WALCL]]-B825</f>
        <v>-13934</v>
      </c>
    </row>
    <row r="827" spans="1:3" x14ac:dyDescent="0.2">
      <c r="A827" s="65">
        <v>43313</v>
      </c>
      <c r="B827" s="66">
        <v>4255653</v>
      </c>
      <c r="C827" s="66">
        <f>Table9[[#This Row],[WALCL]]-B826</f>
        <v>-22028</v>
      </c>
    </row>
    <row r="828" spans="1:3" x14ac:dyDescent="0.2">
      <c r="A828" s="65">
        <v>43320</v>
      </c>
      <c r="B828" s="66">
        <v>4258030</v>
      </c>
      <c r="C828" s="66">
        <f>Table9[[#This Row],[WALCL]]-B827</f>
        <v>2377</v>
      </c>
    </row>
    <row r="829" spans="1:3" x14ac:dyDescent="0.2">
      <c r="A829" s="65">
        <v>43327</v>
      </c>
      <c r="B829" s="66">
        <v>4228924</v>
      </c>
      <c r="C829" s="66">
        <f>Table9[[#This Row],[WALCL]]-B828</f>
        <v>-29106</v>
      </c>
    </row>
    <row r="830" spans="1:3" x14ac:dyDescent="0.2">
      <c r="A830" s="65">
        <v>43334</v>
      </c>
      <c r="B830" s="66">
        <v>4228818</v>
      </c>
      <c r="C830" s="66">
        <f>Table9[[#This Row],[WALCL]]-B829</f>
        <v>-106</v>
      </c>
    </row>
    <row r="831" spans="1:3" x14ac:dyDescent="0.2">
      <c r="A831" s="65">
        <v>43341</v>
      </c>
      <c r="B831" s="66">
        <v>4218914</v>
      </c>
      <c r="C831" s="66">
        <f>Table9[[#This Row],[WALCL]]-B830</f>
        <v>-9904</v>
      </c>
    </row>
    <row r="832" spans="1:3" x14ac:dyDescent="0.2">
      <c r="A832" s="65">
        <v>43348</v>
      </c>
      <c r="B832" s="66">
        <v>4208496</v>
      </c>
      <c r="C832" s="66">
        <f>Table9[[#This Row],[WALCL]]-B831</f>
        <v>-10418</v>
      </c>
    </row>
    <row r="833" spans="1:3" x14ac:dyDescent="0.2">
      <c r="A833" s="65">
        <v>43355</v>
      </c>
      <c r="B833" s="66">
        <v>4210812</v>
      </c>
      <c r="C833" s="66">
        <f>Table9[[#This Row],[WALCL]]-B832</f>
        <v>2316</v>
      </c>
    </row>
    <row r="834" spans="1:3" x14ac:dyDescent="0.2">
      <c r="A834" s="65">
        <v>43362</v>
      </c>
      <c r="B834" s="66">
        <v>4208059</v>
      </c>
      <c r="C834" s="66">
        <f>Table9[[#This Row],[WALCL]]-B833</f>
        <v>-2753</v>
      </c>
    </row>
    <row r="835" spans="1:3" x14ac:dyDescent="0.2">
      <c r="A835" s="65">
        <v>43369</v>
      </c>
      <c r="B835" s="66">
        <v>4192909</v>
      </c>
      <c r="C835" s="66">
        <f>Table9[[#This Row],[WALCL]]-B834</f>
        <v>-15150</v>
      </c>
    </row>
    <row r="836" spans="1:3" x14ac:dyDescent="0.2">
      <c r="A836" s="65">
        <v>43376</v>
      </c>
      <c r="B836" s="66">
        <v>4174704</v>
      </c>
      <c r="C836" s="66">
        <f>Table9[[#This Row],[WALCL]]-B835</f>
        <v>-18205</v>
      </c>
    </row>
    <row r="837" spans="1:3" x14ac:dyDescent="0.2">
      <c r="A837" s="65">
        <v>43383</v>
      </c>
      <c r="B837" s="66">
        <v>4176906</v>
      </c>
      <c r="C837" s="66">
        <f>Table9[[#This Row],[WALCL]]-B836</f>
        <v>2202</v>
      </c>
    </row>
    <row r="838" spans="1:3" x14ac:dyDescent="0.2">
      <c r="A838" s="65">
        <v>43390</v>
      </c>
      <c r="B838" s="66">
        <v>4175446</v>
      </c>
      <c r="C838" s="66">
        <f>Table9[[#This Row],[WALCL]]-B837</f>
        <v>-1460</v>
      </c>
    </row>
    <row r="839" spans="1:3" x14ac:dyDescent="0.2">
      <c r="A839" s="65">
        <v>43397</v>
      </c>
      <c r="B839" s="66">
        <v>4173070</v>
      </c>
      <c r="C839" s="66">
        <f>Table9[[#This Row],[WALCL]]-B838</f>
        <v>-2376</v>
      </c>
    </row>
    <row r="840" spans="1:3" x14ac:dyDescent="0.2">
      <c r="A840" s="65">
        <v>43404</v>
      </c>
      <c r="B840" s="66">
        <v>4139731</v>
      </c>
      <c r="C840" s="66">
        <f>Table9[[#This Row],[WALCL]]-B839</f>
        <v>-33339</v>
      </c>
    </row>
    <row r="841" spans="1:3" x14ac:dyDescent="0.2">
      <c r="A841" s="65">
        <v>43411</v>
      </c>
      <c r="B841" s="66">
        <v>4141936</v>
      </c>
      <c r="C841" s="66">
        <f>Table9[[#This Row],[WALCL]]-B840</f>
        <v>2205</v>
      </c>
    </row>
    <row r="842" spans="1:3" x14ac:dyDescent="0.2">
      <c r="A842" s="65">
        <v>43418</v>
      </c>
      <c r="B842" s="66">
        <v>4145892</v>
      </c>
      <c r="C842" s="66">
        <f>Table9[[#This Row],[WALCL]]-B841</f>
        <v>3956</v>
      </c>
    </row>
    <row r="843" spans="1:3" x14ac:dyDescent="0.2">
      <c r="A843" s="65">
        <v>43425</v>
      </c>
      <c r="B843" s="66">
        <v>4106198</v>
      </c>
      <c r="C843" s="66">
        <f>Table9[[#This Row],[WALCL]]-B842</f>
        <v>-39694</v>
      </c>
    </row>
    <row r="844" spans="1:3" x14ac:dyDescent="0.2">
      <c r="A844" s="65">
        <v>43432</v>
      </c>
      <c r="B844" s="66">
        <v>4097170</v>
      </c>
      <c r="C844" s="66">
        <f>Table9[[#This Row],[WALCL]]-B843</f>
        <v>-9028</v>
      </c>
    </row>
    <row r="845" spans="1:3" x14ac:dyDescent="0.2">
      <c r="A845" s="65">
        <v>43439</v>
      </c>
      <c r="B845" s="66">
        <v>4086044</v>
      </c>
      <c r="C845" s="66">
        <f>Table9[[#This Row],[WALCL]]-B844</f>
        <v>-11126</v>
      </c>
    </row>
    <row r="846" spans="1:3" x14ac:dyDescent="0.2">
      <c r="A846" s="65">
        <v>43446</v>
      </c>
      <c r="B846" s="66">
        <v>4088314</v>
      </c>
      <c r="C846" s="66">
        <f>Table9[[#This Row],[WALCL]]-B845</f>
        <v>2270</v>
      </c>
    </row>
    <row r="847" spans="1:3" x14ac:dyDescent="0.2">
      <c r="A847" s="65">
        <v>43453</v>
      </c>
      <c r="B847" s="66">
        <v>4084274</v>
      </c>
      <c r="C847" s="66">
        <f>Table9[[#This Row],[WALCL]]-B846</f>
        <v>-4040</v>
      </c>
    </row>
    <row r="848" spans="1:3" x14ac:dyDescent="0.2">
      <c r="A848" s="65">
        <v>43460</v>
      </c>
      <c r="B848" s="66">
        <v>4075636</v>
      </c>
      <c r="C848" s="66">
        <f>Table9[[#This Row],[WALCL]]-B847</f>
        <v>-8638</v>
      </c>
    </row>
    <row r="849" spans="1:3" x14ac:dyDescent="0.2">
      <c r="A849" s="65">
        <v>43467</v>
      </c>
      <c r="B849" s="66">
        <v>4058378</v>
      </c>
      <c r="C849" s="66">
        <f>Table9[[#This Row],[WALCL]]-B848</f>
        <v>-17258</v>
      </c>
    </row>
    <row r="850" spans="1:3" x14ac:dyDescent="0.2">
      <c r="A850" s="65">
        <v>43474</v>
      </c>
      <c r="B850" s="66">
        <v>4056563</v>
      </c>
      <c r="C850" s="66">
        <f>Table9[[#This Row],[WALCL]]-B849</f>
        <v>-1815</v>
      </c>
    </row>
    <row r="851" spans="1:3" x14ac:dyDescent="0.2">
      <c r="A851" s="65">
        <v>43481</v>
      </c>
      <c r="B851" s="66">
        <v>4050044</v>
      </c>
      <c r="C851" s="66">
        <f>Table9[[#This Row],[WALCL]]-B850</f>
        <v>-6519</v>
      </c>
    </row>
    <row r="852" spans="1:3" x14ac:dyDescent="0.2">
      <c r="A852" s="65">
        <v>43488</v>
      </c>
      <c r="B852" s="66">
        <v>4047052</v>
      </c>
      <c r="C852" s="66">
        <f>Table9[[#This Row],[WALCL]]-B851</f>
        <v>-2992</v>
      </c>
    </row>
    <row r="853" spans="1:3" x14ac:dyDescent="0.2">
      <c r="A853" s="65">
        <v>43495</v>
      </c>
      <c r="B853" s="66">
        <v>4039678</v>
      </c>
      <c r="C853" s="66">
        <f>Table9[[#This Row],[WALCL]]-B852</f>
        <v>-7374</v>
      </c>
    </row>
    <row r="854" spans="1:3" x14ac:dyDescent="0.2">
      <c r="A854" s="65">
        <v>43502</v>
      </c>
      <c r="B854" s="66">
        <v>4026350</v>
      </c>
      <c r="C854" s="66">
        <f>Table9[[#This Row],[WALCL]]-B853</f>
        <v>-13328</v>
      </c>
    </row>
    <row r="855" spans="1:3" x14ac:dyDescent="0.2">
      <c r="A855" s="65">
        <v>43509</v>
      </c>
      <c r="B855" s="66">
        <v>4028431</v>
      </c>
      <c r="C855" s="66">
        <f>Table9[[#This Row],[WALCL]]-B854</f>
        <v>2081</v>
      </c>
    </row>
    <row r="856" spans="1:3" x14ac:dyDescent="0.2">
      <c r="A856" s="65">
        <v>43516</v>
      </c>
      <c r="B856" s="66">
        <v>3981420</v>
      </c>
      <c r="C856" s="66">
        <f>Table9[[#This Row],[WALCL]]-B855</f>
        <v>-47011</v>
      </c>
    </row>
    <row r="857" spans="1:3" x14ac:dyDescent="0.2">
      <c r="A857" s="65">
        <v>43523</v>
      </c>
      <c r="B857" s="66">
        <v>3974590</v>
      </c>
      <c r="C857" s="66">
        <f>Table9[[#This Row],[WALCL]]-B856</f>
        <v>-6830</v>
      </c>
    </row>
    <row r="858" spans="1:3" x14ac:dyDescent="0.2">
      <c r="A858" s="65">
        <v>43530</v>
      </c>
      <c r="B858" s="66">
        <v>3969134</v>
      </c>
      <c r="C858" s="66">
        <f>Table9[[#This Row],[WALCL]]-B857</f>
        <v>-5456</v>
      </c>
    </row>
    <row r="859" spans="1:3" x14ac:dyDescent="0.2">
      <c r="A859" s="65">
        <v>43537</v>
      </c>
      <c r="B859" s="66">
        <v>3971559</v>
      </c>
      <c r="C859" s="66">
        <f>Table9[[#This Row],[WALCL]]-B858</f>
        <v>2425</v>
      </c>
    </row>
    <row r="860" spans="1:3" x14ac:dyDescent="0.2">
      <c r="A860" s="65">
        <v>43544</v>
      </c>
      <c r="B860" s="66">
        <v>3962748</v>
      </c>
      <c r="C860" s="66">
        <f>Table9[[#This Row],[WALCL]]-B859</f>
        <v>-8811</v>
      </c>
    </row>
    <row r="861" spans="1:3" x14ac:dyDescent="0.2">
      <c r="A861" s="65">
        <v>43551</v>
      </c>
      <c r="B861" s="66">
        <v>3955617</v>
      </c>
      <c r="C861" s="66">
        <f>Table9[[#This Row],[WALCL]]-B860</f>
        <v>-7131</v>
      </c>
    </row>
    <row r="862" spans="1:3" x14ac:dyDescent="0.2">
      <c r="A862" s="65">
        <v>43558</v>
      </c>
      <c r="B862" s="66">
        <v>3935509</v>
      </c>
      <c r="C862" s="66">
        <f>Table9[[#This Row],[WALCL]]-B861</f>
        <v>-20108</v>
      </c>
    </row>
    <row r="863" spans="1:3" x14ac:dyDescent="0.2">
      <c r="A863" s="65">
        <v>43565</v>
      </c>
      <c r="B863" s="66">
        <v>3936784</v>
      </c>
      <c r="C863" s="66">
        <f>Table9[[#This Row],[WALCL]]-B862</f>
        <v>1275</v>
      </c>
    </row>
    <row r="864" spans="1:3" x14ac:dyDescent="0.2">
      <c r="A864" s="65">
        <v>43572</v>
      </c>
      <c r="B864" s="66">
        <v>3931827</v>
      </c>
      <c r="C864" s="66">
        <f>Table9[[#This Row],[WALCL]]-B863</f>
        <v>-4957</v>
      </c>
    </row>
    <row r="865" spans="1:3" x14ac:dyDescent="0.2">
      <c r="A865" s="65">
        <v>43579</v>
      </c>
      <c r="B865" s="66">
        <v>3928273</v>
      </c>
      <c r="C865" s="66">
        <f>Table9[[#This Row],[WALCL]]-B864</f>
        <v>-3554</v>
      </c>
    </row>
    <row r="866" spans="1:3" x14ac:dyDescent="0.2">
      <c r="A866" s="65">
        <v>43586</v>
      </c>
      <c r="B866" s="66">
        <v>3889691</v>
      </c>
      <c r="C866" s="66">
        <f>Table9[[#This Row],[WALCL]]-B865</f>
        <v>-38582</v>
      </c>
    </row>
    <row r="867" spans="1:3" x14ac:dyDescent="0.2">
      <c r="A867" s="65">
        <v>43593</v>
      </c>
      <c r="B867" s="66">
        <v>3892216</v>
      </c>
      <c r="C867" s="66">
        <f>Table9[[#This Row],[WALCL]]-B866</f>
        <v>2525</v>
      </c>
    </row>
    <row r="868" spans="1:3" x14ac:dyDescent="0.2">
      <c r="A868" s="65">
        <v>43600</v>
      </c>
      <c r="B868" s="66">
        <v>3864749</v>
      </c>
      <c r="C868" s="66">
        <f>Table9[[#This Row],[WALCL]]-B867</f>
        <v>-27467</v>
      </c>
    </row>
    <row r="869" spans="1:3" x14ac:dyDescent="0.2">
      <c r="A869" s="65">
        <v>43607</v>
      </c>
      <c r="B869" s="66">
        <v>3860435</v>
      </c>
      <c r="C869" s="66">
        <f>Table9[[#This Row],[WALCL]]-B868</f>
        <v>-4314</v>
      </c>
    </row>
    <row r="870" spans="1:3" x14ac:dyDescent="0.2">
      <c r="A870" s="65">
        <v>43614</v>
      </c>
      <c r="B870" s="66">
        <v>3851444</v>
      </c>
      <c r="C870" s="66">
        <f>Table9[[#This Row],[WALCL]]-B869</f>
        <v>-8991</v>
      </c>
    </row>
    <row r="871" spans="1:3" x14ac:dyDescent="0.2">
      <c r="A871" s="65">
        <v>43621</v>
      </c>
      <c r="B871" s="66">
        <v>3847645</v>
      </c>
      <c r="C871" s="66">
        <f>Table9[[#This Row],[WALCL]]-B870</f>
        <v>-3799</v>
      </c>
    </row>
    <row r="872" spans="1:3" x14ac:dyDescent="0.2">
      <c r="A872" s="65">
        <v>43628</v>
      </c>
      <c r="B872" s="66">
        <v>3849955</v>
      </c>
      <c r="C872" s="66">
        <f>Table9[[#This Row],[WALCL]]-B871</f>
        <v>2310</v>
      </c>
    </row>
    <row r="873" spans="1:3" x14ac:dyDescent="0.2">
      <c r="A873" s="65">
        <v>43635</v>
      </c>
      <c r="B873" s="66">
        <v>3844016</v>
      </c>
      <c r="C873" s="66">
        <f>Table9[[#This Row],[WALCL]]-B872</f>
        <v>-5939</v>
      </c>
    </row>
    <row r="874" spans="1:3" x14ac:dyDescent="0.2">
      <c r="A874" s="65">
        <v>43642</v>
      </c>
      <c r="B874" s="66">
        <v>3826817</v>
      </c>
      <c r="C874" s="66">
        <f>Table9[[#This Row],[WALCL]]-B873</f>
        <v>-17199</v>
      </c>
    </row>
    <row r="875" spans="1:3" x14ac:dyDescent="0.2">
      <c r="A875" s="65">
        <v>43649</v>
      </c>
      <c r="B875" s="66">
        <v>3813198</v>
      </c>
      <c r="C875" s="66">
        <f>Table9[[#This Row],[WALCL]]-B874</f>
        <v>-13619</v>
      </c>
    </row>
    <row r="876" spans="1:3" x14ac:dyDescent="0.2">
      <c r="A876" s="65">
        <v>43656</v>
      </c>
      <c r="B876" s="66">
        <v>3815038</v>
      </c>
      <c r="C876" s="66">
        <f>Table9[[#This Row],[WALCL]]-B875</f>
        <v>1840</v>
      </c>
    </row>
    <row r="877" spans="1:3" x14ac:dyDescent="0.2">
      <c r="A877" s="65">
        <v>43663</v>
      </c>
      <c r="B877" s="66">
        <v>3808110</v>
      </c>
      <c r="C877" s="66">
        <f>Table9[[#This Row],[WALCL]]-B876</f>
        <v>-6928</v>
      </c>
    </row>
    <row r="878" spans="1:3" x14ac:dyDescent="0.2">
      <c r="A878" s="65">
        <v>43670</v>
      </c>
      <c r="B878" s="66">
        <v>3803436</v>
      </c>
      <c r="C878" s="66">
        <f>Table9[[#This Row],[WALCL]]-B877</f>
        <v>-4674</v>
      </c>
    </row>
    <row r="879" spans="1:3" x14ac:dyDescent="0.2">
      <c r="A879" s="65">
        <v>43677</v>
      </c>
      <c r="B879" s="66">
        <v>3779102</v>
      </c>
      <c r="C879" s="66">
        <f>Table9[[#This Row],[WALCL]]-B878</f>
        <v>-24334</v>
      </c>
    </row>
    <row r="880" spans="1:3" x14ac:dyDescent="0.2">
      <c r="A880" s="65">
        <v>43684</v>
      </c>
      <c r="B880" s="66">
        <v>3781543</v>
      </c>
      <c r="C880" s="66">
        <f>Table9[[#This Row],[WALCL]]-B879</f>
        <v>2441</v>
      </c>
    </row>
    <row r="881" spans="1:3" x14ac:dyDescent="0.2">
      <c r="A881" s="65">
        <v>43691</v>
      </c>
      <c r="B881" s="66">
        <v>3786018</v>
      </c>
      <c r="C881" s="66">
        <f>Table9[[#This Row],[WALCL]]-B880</f>
        <v>4475</v>
      </c>
    </row>
    <row r="882" spans="1:3" x14ac:dyDescent="0.2">
      <c r="A882" s="65">
        <v>43698</v>
      </c>
      <c r="B882" s="66">
        <v>3764866</v>
      </c>
      <c r="C882" s="66">
        <f>Table9[[#This Row],[WALCL]]-B881</f>
        <v>-21152</v>
      </c>
    </row>
    <row r="883" spans="1:3" x14ac:dyDescent="0.2">
      <c r="A883" s="65">
        <v>43705</v>
      </c>
      <c r="B883" s="66">
        <v>3759946</v>
      </c>
      <c r="C883" s="66">
        <f>Table9[[#This Row],[WALCL]]-B882</f>
        <v>-4920</v>
      </c>
    </row>
    <row r="884" spans="1:3" x14ac:dyDescent="0.2">
      <c r="A884" s="65">
        <v>43712</v>
      </c>
      <c r="B884" s="66">
        <v>3761508</v>
      </c>
      <c r="C884" s="66">
        <f>Table9[[#This Row],[WALCL]]-B883</f>
        <v>1562</v>
      </c>
    </row>
    <row r="885" spans="1:3" x14ac:dyDescent="0.2">
      <c r="A885" s="65">
        <v>43719</v>
      </c>
      <c r="B885" s="66">
        <v>3769673</v>
      </c>
      <c r="C885" s="66">
        <f>Table9[[#This Row],[WALCL]]-B884</f>
        <v>8165</v>
      </c>
    </row>
    <row r="886" spans="1:3" x14ac:dyDescent="0.2">
      <c r="A886" s="65">
        <v>43726</v>
      </c>
      <c r="B886" s="66">
        <v>3844695</v>
      </c>
      <c r="C886" s="66">
        <f>Table9[[#This Row],[WALCL]]-B885</f>
        <v>75022</v>
      </c>
    </row>
    <row r="887" spans="1:3" x14ac:dyDescent="0.2">
      <c r="A887" s="65">
        <v>43733</v>
      </c>
      <c r="B887" s="66">
        <v>3857715</v>
      </c>
      <c r="C887" s="66">
        <f>Table9[[#This Row],[WALCL]]-B886</f>
        <v>13020</v>
      </c>
    </row>
    <row r="888" spans="1:3" x14ac:dyDescent="0.2">
      <c r="A888" s="65">
        <v>43740</v>
      </c>
      <c r="B888" s="66">
        <v>3945831</v>
      </c>
      <c r="C888" s="66">
        <f>Table9[[#This Row],[WALCL]]-B887</f>
        <v>88116</v>
      </c>
    </row>
    <row r="889" spans="1:3" x14ac:dyDescent="0.2">
      <c r="A889" s="65">
        <v>43747</v>
      </c>
      <c r="B889" s="66">
        <v>3949955</v>
      </c>
      <c r="C889" s="66">
        <f>Table9[[#This Row],[WALCL]]-B888</f>
        <v>4124</v>
      </c>
    </row>
    <row r="890" spans="1:3" x14ac:dyDescent="0.2">
      <c r="A890" s="65">
        <v>43754</v>
      </c>
      <c r="B890" s="66">
        <v>3966471</v>
      </c>
      <c r="C890" s="66">
        <f>Table9[[#This Row],[WALCL]]-B889</f>
        <v>16516</v>
      </c>
    </row>
    <row r="891" spans="1:3" x14ac:dyDescent="0.2">
      <c r="A891" s="65">
        <v>43761</v>
      </c>
      <c r="B891" s="66">
        <v>3968700</v>
      </c>
      <c r="C891" s="66">
        <f>Table9[[#This Row],[WALCL]]-B890</f>
        <v>2229</v>
      </c>
    </row>
    <row r="892" spans="1:3" x14ac:dyDescent="0.2">
      <c r="A892" s="65">
        <v>43768</v>
      </c>
      <c r="B892" s="66">
        <v>4019823</v>
      </c>
      <c r="C892" s="66">
        <f>Table9[[#This Row],[WALCL]]-B891</f>
        <v>51123</v>
      </c>
    </row>
    <row r="893" spans="1:3" x14ac:dyDescent="0.2">
      <c r="A893" s="65">
        <v>43775</v>
      </c>
      <c r="B893" s="66">
        <v>4039443</v>
      </c>
      <c r="C893" s="66">
        <f>Table9[[#This Row],[WALCL]]-B892</f>
        <v>19620</v>
      </c>
    </row>
    <row r="894" spans="1:3" x14ac:dyDescent="0.2">
      <c r="A894" s="65">
        <v>43782</v>
      </c>
      <c r="B894" s="66">
        <v>4047882</v>
      </c>
      <c r="C894" s="66">
        <f>Table9[[#This Row],[WALCL]]-B893</f>
        <v>8439</v>
      </c>
    </row>
    <row r="895" spans="1:3" x14ac:dyDescent="0.2">
      <c r="A895" s="65">
        <v>43789</v>
      </c>
      <c r="B895" s="66">
        <v>4030249</v>
      </c>
      <c r="C895" s="66">
        <f>Table9[[#This Row],[WALCL]]-B894</f>
        <v>-17633</v>
      </c>
    </row>
    <row r="896" spans="1:3" x14ac:dyDescent="0.2">
      <c r="A896" s="65">
        <v>43796</v>
      </c>
      <c r="B896" s="66">
        <v>4052875</v>
      </c>
      <c r="C896" s="66">
        <f>Table9[[#This Row],[WALCL]]-B895</f>
        <v>22626</v>
      </c>
    </row>
    <row r="897" spans="1:3" x14ac:dyDescent="0.2">
      <c r="A897" s="65">
        <v>43803</v>
      </c>
      <c r="B897" s="66">
        <v>4065696</v>
      </c>
      <c r="C897" s="66">
        <f>Table9[[#This Row],[WALCL]]-B896</f>
        <v>12821</v>
      </c>
    </row>
    <row r="898" spans="1:3" x14ac:dyDescent="0.2">
      <c r="A898" s="65">
        <v>43810</v>
      </c>
      <c r="B898" s="66">
        <v>4095491</v>
      </c>
      <c r="C898" s="66">
        <f>Table9[[#This Row],[WALCL]]-B897</f>
        <v>29795</v>
      </c>
    </row>
    <row r="899" spans="1:3" x14ac:dyDescent="0.2">
      <c r="A899" s="65">
        <v>43817</v>
      </c>
      <c r="B899" s="66">
        <v>4137052</v>
      </c>
      <c r="C899" s="66">
        <f>Table9[[#This Row],[WALCL]]-B898</f>
        <v>41561</v>
      </c>
    </row>
    <row r="900" spans="1:3" x14ac:dyDescent="0.2">
      <c r="A900" s="65">
        <v>43824</v>
      </c>
      <c r="B900" s="66">
        <v>4165591</v>
      </c>
      <c r="C900" s="66">
        <f>Table9[[#This Row],[WALCL]]-B899</f>
        <v>28539</v>
      </c>
    </row>
    <row r="901" spans="1:3" x14ac:dyDescent="0.2">
      <c r="A901" s="65">
        <v>43831</v>
      </c>
      <c r="B901" s="66">
        <v>4173626</v>
      </c>
      <c r="C901" s="66">
        <f>Table9[[#This Row],[WALCL]]-B900</f>
        <v>8035</v>
      </c>
    </row>
    <row r="902" spans="1:3" x14ac:dyDescent="0.2">
      <c r="A902" s="65">
        <v>43838</v>
      </c>
      <c r="B902" s="66">
        <v>4149544</v>
      </c>
      <c r="C902" s="66">
        <f>Table9[[#This Row],[WALCL]]-B901</f>
        <v>-24082</v>
      </c>
    </row>
    <row r="903" spans="1:3" x14ac:dyDescent="0.2">
      <c r="A903" s="65">
        <v>43845</v>
      </c>
      <c r="B903" s="66">
        <v>4175850</v>
      </c>
      <c r="C903" s="66">
        <f>Table9[[#This Row],[WALCL]]-B902</f>
        <v>26306</v>
      </c>
    </row>
    <row r="904" spans="1:3" x14ac:dyDescent="0.2">
      <c r="A904" s="65">
        <v>43852</v>
      </c>
      <c r="B904" s="66">
        <v>4145912</v>
      </c>
      <c r="C904" s="66">
        <f>Table9[[#This Row],[WALCL]]-B903</f>
        <v>-29938</v>
      </c>
    </row>
    <row r="905" spans="1:3" x14ac:dyDescent="0.2">
      <c r="A905" s="65">
        <v>43859</v>
      </c>
      <c r="B905" s="66">
        <v>4151630</v>
      </c>
      <c r="C905" s="66">
        <f>Table9[[#This Row],[WALCL]]-B904</f>
        <v>5718</v>
      </c>
    </row>
    <row r="906" spans="1:3" x14ac:dyDescent="0.2">
      <c r="A906" s="65">
        <v>43866</v>
      </c>
      <c r="B906" s="66">
        <v>4166707</v>
      </c>
      <c r="C906" s="66">
        <f>Table9[[#This Row],[WALCL]]-B905</f>
        <v>15077</v>
      </c>
    </row>
    <row r="907" spans="1:3" x14ac:dyDescent="0.2">
      <c r="A907" s="65">
        <v>43873</v>
      </c>
      <c r="B907" s="66">
        <v>4182689</v>
      </c>
      <c r="C907" s="66">
        <f>Table9[[#This Row],[WALCL]]-B906</f>
        <v>15982</v>
      </c>
    </row>
    <row r="908" spans="1:3" x14ac:dyDescent="0.2">
      <c r="A908" s="65">
        <v>43880</v>
      </c>
      <c r="B908" s="66">
        <v>4171570</v>
      </c>
      <c r="C908" s="66">
        <f>Table9[[#This Row],[WALCL]]-B907</f>
        <v>-11119</v>
      </c>
    </row>
    <row r="909" spans="1:3" x14ac:dyDescent="0.2">
      <c r="A909" s="65">
        <v>43887</v>
      </c>
      <c r="B909" s="66">
        <v>4158637</v>
      </c>
      <c r="C909" s="66">
        <f>Table9[[#This Row],[WALCL]]-B908</f>
        <v>-12933</v>
      </c>
    </row>
    <row r="910" spans="1:3" x14ac:dyDescent="0.2">
      <c r="A910" s="65">
        <v>43894</v>
      </c>
      <c r="B910" s="66">
        <v>4241507</v>
      </c>
      <c r="C910" s="66">
        <f>Table9[[#This Row],[WALCL]]-B909</f>
        <v>82870</v>
      </c>
    </row>
    <row r="911" spans="1:3" x14ac:dyDescent="0.2">
      <c r="A911" s="65">
        <v>43901</v>
      </c>
      <c r="B911" s="66">
        <v>4311911</v>
      </c>
      <c r="C911" s="66">
        <f>Table9[[#This Row],[WALCL]]-B910</f>
        <v>70404</v>
      </c>
    </row>
    <row r="912" spans="1:3" x14ac:dyDescent="0.2">
      <c r="A912" s="65">
        <v>43908</v>
      </c>
      <c r="B912" s="66">
        <v>4668212</v>
      </c>
      <c r="C912" s="66">
        <f>Table9[[#This Row],[WALCL]]-B911</f>
        <v>356301</v>
      </c>
    </row>
    <row r="913" spans="1:3" x14ac:dyDescent="0.2">
      <c r="A913" s="65">
        <v>43915</v>
      </c>
      <c r="B913" s="70">
        <v>5254278</v>
      </c>
      <c r="C913" s="66">
        <f>Table9[[#This Row],[WALCL]]-B912</f>
        <v>586066</v>
      </c>
    </row>
    <row r="914" spans="1:3" x14ac:dyDescent="0.2">
      <c r="A914" s="65">
        <v>43922</v>
      </c>
      <c r="B914" s="70">
        <v>5811607</v>
      </c>
      <c r="C914" s="66">
        <f>Table9[[#This Row],[WALCL]]-B913</f>
        <v>557329</v>
      </c>
    </row>
    <row r="915" spans="1:3" x14ac:dyDescent="0.2">
      <c r="A915" s="65">
        <v>43929</v>
      </c>
      <c r="B915" s="70">
        <v>6083141</v>
      </c>
      <c r="C915" s="66">
        <f>Table9[[#This Row],[WALCL]]-B914</f>
        <v>271534</v>
      </c>
    </row>
    <row r="916" spans="1:3" x14ac:dyDescent="0.2">
      <c r="A916" s="65">
        <v>43936</v>
      </c>
      <c r="B916" s="70">
        <v>6367887</v>
      </c>
      <c r="C916" s="66">
        <f>Table9[[#This Row],[WALCL]]-B915</f>
        <v>284746</v>
      </c>
    </row>
    <row r="917" spans="1:3" x14ac:dyDescent="0.2">
      <c r="A917" s="65">
        <v>43943</v>
      </c>
      <c r="B917" s="70">
        <v>6573136</v>
      </c>
      <c r="C917" s="66">
        <f>Table9[[#This Row],[WALCL]]-B916</f>
        <v>205249</v>
      </c>
    </row>
    <row r="918" spans="1:3" x14ac:dyDescent="0.2">
      <c r="A918" s="65">
        <v>43950</v>
      </c>
      <c r="B918" s="70">
        <v>6655929</v>
      </c>
      <c r="C918" s="66">
        <f>Table9[[#This Row],[WALCL]]-B917</f>
        <v>82793</v>
      </c>
    </row>
    <row r="919" spans="1:3" x14ac:dyDescent="0.2">
      <c r="A919" s="65">
        <v>43957</v>
      </c>
      <c r="B919" s="70">
        <v>6721420</v>
      </c>
      <c r="C919" s="66">
        <f>Table9[[#This Row],[WALCL]]-B918</f>
        <v>65491</v>
      </c>
    </row>
    <row r="920" spans="1:3" x14ac:dyDescent="0.2">
      <c r="A920" s="65">
        <v>43964</v>
      </c>
      <c r="B920" s="70">
        <v>6934227</v>
      </c>
      <c r="C920" s="66">
        <f>Table9[[#This Row],[WALCL]]-B919</f>
        <v>212807</v>
      </c>
    </row>
    <row r="921" spans="1:3" x14ac:dyDescent="0.2">
      <c r="A921" s="65">
        <v>43971</v>
      </c>
      <c r="B921" s="70">
        <v>7037258</v>
      </c>
      <c r="C921" s="66">
        <f>Table9[[#This Row],[WALCL]]-B920</f>
        <v>103031</v>
      </c>
    </row>
    <row r="922" spans="1:3" x14ac:dyDescent="0.2">
      <c r="A922" s="65">
        <v>43978</v>
      </c>
      <c r="B922" s="70">
        <v>7097316</v>
      </c>
      <c r="C922" s="66">
        <f>Table9[[#This Row],[WALCL]]-B921</f>
        <v>60058</v>
      </c>
    </row>
    <row r="923" spans="1:3" x14ac:dyDescent="0.2">
      <c r="A923" s="65">
        <v>43985</v>
      </c>
      <c r="B923" s="70">
        <v>7165217</v>
      </c>
      <c r="C923" s="66">
        <f>Table9[[#This Row],[WALCL]]-B922</f>
        <v>67901</v>
      </c>
    </row>
    <row r="924" spans="1:3" x14ac:dyDescent="0.2">
      <c r="A924" s="65">
        <v>43992</v>
      </c>
      <c r="B924" s="70">
        <v>7168936</v>
      </c>
      <c r="C924" s="66">
        <f>Table9[[#This Row],[WALCL]]-B923</f>
        <v>3719</v>
      </c>
    </row>
    <row r="925" spans="1:3" x14ac:dyDescent="0.2">
      <c r="A925" s="65">
        <v>43999</v>
      </c>
      <c r="B925" s="70">
        <v>7094690</v>
      </c>
      <c r="C925" s="66">
        <f>Table9[[#This Row],[WALCL]]-B924</f>
        <v>-74246</v>
      </c>
    </row>
    <row r="926" spans="1:3" x14ac:dyDescent="0.2">
      <c r="A926" s="65">
        <v>44006</v>
      </c>
      <c r="B926" s="70">
        <v>7082302</v>
      </c>
      <c r="C926" s="66">
        <f>Table9[[#This Row],[WALCL]]-B925</f>
        <v>-12388</v>
      </c>
    </row>
    <row r="927" spans="1:3" x14ac:dyDescent="0.2">
      <c r="A927" s="65">
        <v>44013</v>
      </c>
      <c r="B927" s="70">
        <v>7009040</v>
      </c>
      <c r="C927" s="66">
        <f>Table9[[#This Row],[WALCL]]-B926</f>
        <v>-73262</v>
      </c>
    </row>
    <row r="928" spans="1:3" x14ac:dyDescent="0.2">
      <c r="A928" s="65">
        <v>44020</v>
      </c>
      <c r="B928" s="70">
        <v>6920716</v>
      </c>
      <c r="C928" s="66">
        <f>Table9[[#This Row],[WALCL]]-B927</f>
        <v>-88324</v>
      </c>
    </row>
    <row r="929" spans="1:3" x14ac:dyDescent="0.2">
      <c r="A929" s="65">
        <v>44027</v>
      </c>
      <c r="B929" s="70">
        <v>6958604</v>
      </c>
      <c r="C929" s="66">
        <f>Table9[[#This Row],[WALCL]]-B928</f>
        <v>37888</v>
      </c>
    </row>
    <row r="930" spans="1:3" x14ac:dyDescent="0.2">
      <c r="A930" s="65">
        <v>44034</v>
      </c>
      <c r="B930" s="70">
        <v>6964755</v>
      </c>
      <c r="C930" s="66">
        <f>Table9[[#This Row],[WALCL]]-B929</f>
        <v>6151</v>
      </c>
    </row>
    <row r="931" spans="1:3" x14ac:dyDescent="0.2">
      <c r="A931" s="65">
        <v>44041</v>
      </c>
      <c r="B931" s="70">
        <v>6949032</v>
      </c>
      <c r="C931" s="66">
        <f>Table9[[#This Row],[WALCL]]-B930</f>
        <v>-15723</v>
      </c>
    </row>
    <row r="932" spans="1:3" x14ac:dyDescent="0.2">
      <c r="A932" s="65">
        <v>44048</v>
      </c>
      <c r="B932" s="70">
        <v>6945237</v>
      </c>
      <c r="C932" s="66">
        <f>Table9[[#This Row],[WALCL]]-B931</f>
        <v>-3795</v>
      </c>
    </row>
    <row r="933" spans="1:3" x14ac:dyDescent="0.2">
      <c r="A933" s="65">
        <v>44055</v>
      </c>
      <c r="B933" s="70">
        <v>6957277</v>
      </c>
      <c r="C933" s="66">
        <f>Table9[[#This Row],[WALCL]]-B932</f>
        <v>12040</v>
      </c>
    </row>
    <row r="934" spans="1:3" x14ac:dyDescent="0.2">
      <c r="A934" s="65">
        <v>44062</v>
      </c>
      <c r="B934" s="70">
        <v>7010637</v>
      </c>
      <c r="C934" s="66">
        <f>Table9[[#This Row],[WALCL]]-B933</f>
        <v>53360</v>
      </c>
    </row>
    <row r="935" spans="1:3" x14ac:dyDescent="0.2">
      <c r="A935" s="65">
        <v>44069</v>
      </c>
      <c r="B935" s="70">
        <v>6990418</v>
      </c>
      <c r="C935" s="66">
        <f>Table9[[#This Row],[WALCL]]-B934</f>
        <v>-20219</v>
      </c>
    </row>
    <row r="936" spans="1:3" x14ac:dyDescent="0.2">
      <c r="A936" s="65">
        <v>44076</v>
      </c>
      <c r="B936" s="70">
        <v>7017492</v>
      </c>
      <c r="C936" s="66">
        <f>Table9[[#This Row],[WALCL]]-B935</f>
        <v>27074</v>
      </c>
    </row>
    <row r="937" spans="1:3" x14ac:dyDescent="0.2">
      <c r="A937" s="65">
        <v>44083</v>
      </c>
      <c r="B937" s="70">
        <v>7010614</v>
      </c>
      <c r="C937" s="66">
        <f>Table9[[#This Row],[WALCL]]-B936</f>
        <v>-6878</v>
      </c>
    </row>
    <row r="938" spans="1:3" x14ac:dyDescent="0.2">
      <c r="A938" s="65">
        <v>44090</v>
      </c>
      <c r="B938" s="70">
        <v>7064475</v>
      </c>
      <c r="C938" s="66">
        <f>Table9[[#This Row],[WALCL]]-B937</f>
        <v>53861</v>
      </c>
    </row>
    <row r="939" spans="1:3" x14ac:dyDescent="0.2">
      <c r="A939" s="65">
        <v>44097</v>
      </c>
      <c r="B939" s="70">
        <v>7093161</v>
      </c>
      <c r="C939" s="66">
        <f>Table9[[#This Row],[WALCL]]-B938</f>
        <v>28686</v>
      </c>
    </row>
    <row r="940" spans="1:3" x14ac:dyDescent="0.2">
      <c r="A940" s="65">
        <v>44104</v>
      </c>
      <c r="B940" s="70">
        <v>7056129</v>
      </c>
      <c r="C940" s="66">
        <f>Table9[[#This Row],[WALCL]]-B939</f>
        <v>-37032</v>
      </c>
    </row>
    <row r="941" spans="1:3" x14ac:dyDescent="0.2">
      <c r="A941" s="65">
        <v>44111</v>
      </c>
      <c r="B941" s="70">
        <v>7074649</v>
      </c>
      <c r="C941" s="66">
        <f>Table9[[#This Row],[WALCL]]-B940</f>
        <v>18520</v>
      </c>
    </row>
    <row r="942" spans="1:3" x14ac:dyDescent="0.2">
      <c r="A942" s="65">
        <v>44118</v>
      </c>
      <c r="B942" s="70">
        <v>7151426</v>
      </c>
      <c r="C942" s="66">
        <f>Table9[[#This Row],[WALCL]]-B941</f>
        <v>76777</v>
      </c>
    </row>
    <row r="943" spans="1:3" x14ac:dyDescent="0.2">
      <c r="A943" s="65">
        <v>44125</v>
      </c>
      <c r="B943" s="70">
        <v>7177265</v>
      </c>
      <c r="C943" s="66">
        <f>Table9[[#This Row],[WALCL]]-B942</f>
        <v>25839</v>
      </c>
    </row>
    <row r="944" spans="1:3" x14ac:dyDescent="0.2">
      <c r="A944" s="65">
        <v>44132</v>
      </c>
      <c r="B944" s="70">
        <v>7146306</v>
      </c>
      <c r="C944" s="66">
        <f>Table9[[#This Row],[WALCL]]-B943</f>
        <v>-30959</v>
      </c>
    </row>
    <row r="945" spans="1:3" x14ac:dyDescent="0.2">
      <c r="A945" s="65">
        <v>44139</v>
      </c>
      <c r="B945" s="70">
        <v>7157479</v>
      </c>
      <c r="C945" s="66">
        <f>Table9[[#This Row],[WALCL]]-B944</f>
        <v>11173</v>
      </c>
    </row>
    <row r="946" spans="1:3" x14ac:dyDescent="0.2">
      <c r="A946" s="65">
        <v>44146</v>
      </c>
      <c r="B946" s="70">
        <v>7175417</v>
      </c>
      <c r="C946" s="66">
        <f>Table9[[#This Row],[WALCL]]-B945</f>
        <v>17938</v>
      </c>
    </row>
    <row r="947" spans="1:3" x14ac:dyDescent="0.2">
      <c r="A947" s="65">
        <v>44153</v>
      </c>
      <c r="B947" s="70">
        <v>7243080</v>
      </c>
      <c r="C947" s="66">
        <f>Table9[[#This Row],[WALCL]]-B946</f>
        <v>67663</v>
      </c>
    </row>
    <row r="948" spans="1:3" x14ac:dyDescent="0.2">
      <c r="A948" s="65">
        <v>44160</v>
      </c>
      <c r="B948" s="70">
        <v>7216480</v>
      </c>
      <c r="C948" s="66">
        <f>Table9[[#This Row],[WALCL]]-B947</f>
        <v>-26600</v>
      </c>
    </row>
    <row r="949" spans="1:3" x14ac:dyDescent="0.2">
      <c r="A949" s="65">
        <v>44167</v>
      </c>
      <c r="B949" s="70">
        <v>7222414</v>
      </c>
      <c r="C949" s="66">
        <f>Table9[[#This Row],[WALCL]]-B948</f>
        <v>5934</v>
      </c>
    </row>
    <row r="950" spans="1:3" x14ac:dyDescent="0.2">
      <c r="A950" s="65">
        <v>44174</v>
      </c>
      <c r="B950" s="70">
        <v>7242658</v>
      </c>
      <c r="C950" s="66">
        <f>Table9[[#This Row],[WALCL]]-B949</f>
        <v>20244</v>
      </c>
    </row>
    <row r="951" spans="1:3" x14ac:dyDescent="0.2">
      <c r="A951" s="65">
        <v>44181</v>
      </c>
      <c r="B951" s="70">
        <v>7362592</v>
      </c>
      <c r="C951" s="66">
        <f>Table9[[#This Row],[WALCL]]-B950</f>
        <v>119934</v>
      </c>
    </row>
    <row r="952" spans="1:3" x14ac:dyDescent="0.2">
      <c r="A952" s="65">
        <v>44188</v>
      </c>
      <c r="B952" s="70">
        <v>7404039</v>
      </c>
      <c r="C952" s="66">
        <f>Table9[[#This Row],[WALCL]]-B951</f>
        <v>41447</v>
      </c>
    </row>
    <row r="953" spans="1:3" x14ac:dyDescent="0.2">
      <c r="A953" s="65">
        <v>44195</v>
      </c>
      <c r="B953" s="70">
        <v>7363351</v>
      </c>
      <c r="C953" s="66">
        <f>Table9[[#This Row],[WALCL]]-B952</f>
        <v>-40688</v>
      </c>
    </row>
    <row r="954" spans="1:3" x14ac:dyDescent="0.2">
      <c r="A954" s="65">
        <v>44202</v>
      </c>
      <c r="B954" s="70">
        <v>7334809</v>
      </c>
      <c r="C954" s="66">
        <f>Table9[[#This Row],[WALCL]]-B953</f>
        <v>-28542</v>
      </c>
    </row>
    <row r="955" spans="1:3" x14ac:dyDescent="0.2">
      <c r="A955" s="65">
        <v>44209</v>
      </c>
      <c r="B955" s="70">
        <v>7333968</v>
      </c>
      <c r="C955" s="66">
        <f>Table9[[#This Row],[WALCL]]-B954</f>
        <v>-841</v>
      </c>
    </row>
    <row r="956" spans="1:3" x14ac:dyDescent="0.2">
      <c r="A956" s="65">
        <v>44216</v>
      </c>
      <c r="B956" s="70">
        <v>7414942</v>
      </c>
      <c r="C956" s="66">
        <f>Table9[[#This Row],[WALCL]]-B955</f>
        <v>80974</v>
      </c>
    </row>
    <row r="957" spans="1:3" x14ac:dyDescent="0.2">
      <c r="A957" s="65">
        <v>44223</v>
      </c>
      <c r="B957" s="70">
        <v>7404926</v>
      </c>
      <c r="C957" s="66">
        <f>Table9[[#This Row],[WALCL]]-B956</f>
        <v>-10016</v>
      </c>
    </row>
    <row r="958" spans="1:3" x14ac:dyDescent="0.2">
      <c r="A958" s="65">
        <v>44230</v>
      </c>
      <c r="B958" s="70">
        <v>7410598</v>
      </c>
      <c r="C958" s="66">
        <f>Table9[[#This Row],[WALCL]]-B957</f>
        <v>5672</v>
      </c>
    </row>
    <row r="959" spans="1:3" x14ac:dyDescent="0.2">
      <c r="A959" s="65">
        <v>44237</v>
      </c>
      <c r="B959" s="70">
        <v>7442225</v>
      </c>
      <c r="C959" s="66">
        <f>Table9[[#This Row],[WALCL]]-B958</f>
        <v>31627</v>
      </c>
    </row>
    <row r="960" spans="1:3" x14ac:dyDescent="0.2">
      <c r="A960" s="65">
        <v>44244</v>
      </c>
      <c r="B960" s="70">
        <v>7557402</v>
      </c>
      <c r="C960" s="66">
        <f>Table9[[#This Row],[WALCL]]-B959</f>
        <v>115177</v>
      </c>
    </row>
    <row r="961" spans="1:3" x14ac:dyDescent="0.2">
      <c r="A961" s="65">
        <v>44251</v>
      </c>
      <c r="B961" s="70">
        <v>7590111</v>
      </c>
      <c r="C961" s="66">
        <f>Table9[[#This Row],[WALCL]]-B960</f>
        <v>32709</v>
      </c>
    </row>
    <row r="962" spans="1:3" x14ac:dyDescent="0.2">
      <c r="A962" s="65">
        <v>44258</v>
      </c>
      <c r="B962" s="70">
        <v>7557524</v>
      </c>
      <c r="C962" s="66">
        <f>Table9[[#This Row],[WALCL]]-B961</f>
        <v>-32587</v>
      </c>
    </row>
    <row r="963" spans="1:3" x14ac:dyDescent="0.2">
      <c r="A963" s="65">
        <v>44265</v>
      </c>
      <c r="B963" s="70">
        <v>7579901</v>
      </c>
      <c r="C963" s="66">
        <f>Table9[[#This Row],[WALCL]]-B962</f>
        <v>22377</v>
      </c>
    </row>
    <row r="964" spans="1:3" x14ac:dyDescent="0.2">
      <c r="A964" s="65">
        <v>44272</v>
      </c>
      <c r="B964" s="70">
        <v>7693506</v>
      </c>
      <c r="C964" s="66">
        <f>Table9[[#This Row],[WALCL]]-B963</f>
        <v>113605</v>
      </c>
    </row>
    <row r="965" spans="1:3" x14ac:dyDescent="0.2">
      <c r="A965" s="65">
        <v>44279</v>
      </c>
      <c r="B965" s="70">
        <v>7719622</v>
      </c>
      <c r="C965" s="66">
        <f>Table9[[#This Row],[WALCL]]-B964</f>
        <v>26116</v>
      </c>
    </row>
    <row r="966" spans="1:3" x14ac:dyDescent="0.2">
      <c r="A966" s="65">
        <v>44286</v>
      </c>
      <c r="B966" s="70">
        <v>7688988</v>
      </c>
      <c r="C966" s="66">
        <f>Table9[[#This Row],[WALCL]]-B965</f>
        <v>-30634</v>
      </c>
    </row>
    <row r="967" spans="1:3" x14ac:dyDescent="0.2">
      <c r="A967" s="65">
        <v>44293</v>
      </c>
      <c r="B967" s="70">
        <v>7708882</v>
      </c>
      <c r="C967" s="66">
        <f>Table9[[#This Row],[WALCL]]-B966</f>
        <v>19894</v>
      </c>
    </row>
    <row r="968" spans="1:3" x14ac:dyDescent="0.2">
      <c r="A968" s="65">
        <v>44300</v>
      </c>
      <c r="B968" s="70">
        <v>7793104</v>
      </c>
      <c r="C968" s="66">
        <f>Table9[[#This Row],[WALCL]]-B967</f>
        <v>84222</v>
      </c>
    </row>
    <row r="969" spans="1:3" x14ac:dyDescent="0.2">
      <c r="A969" s="65">
        <v>44307</v>
      </c>
      <c r="B969" s="70">
        <v>7820948</v>
      </c>
      <c r="C969" s="66">
        <f>Table9[[#This Row],[WALCL]]-B968</f>
        <v>27844</v>
      </c>
    </row>
    <row r="970" spans="1:3" x14ac:dyDescent="0.2">
      <c r="A970" s="65">
        <v>44314</v>
      </c>
      <c r="B970" s="70">
        <v>7780962</v>
      </c>
      <c r="C970" s="66">
        <f>Table9[[#This Row],[WALCL]]-B969</f>
        <v>-39986</v>
      </c>
    </row>
    <row r="971" spans="1:3" x14ac:dyDescent="0.2">
      <c r="A971" s="65">
        <v>44321</v>
      </c>
      <c r="B971" s="70">
        <v>7810486</v>
      </c>
      <c r="C971" s="66">
        <f>Table9[[#This Row],[WALCL]]-B970</f>
        <v>29524</v>
      </c>
    </row>
    <row r="972" spans="1:3" x14ac:dyDescent="0.2">
      <c r="A972" s="65">
        <v>44328</v>
      </c>
      <c r="B972" s="70">
        <v>7830663</v>
      </c>
      <c r="C972" s="66">
        <f>Table9[[#This Row],[WALCL]]-B971</f>
        <v>20177</v>
      </c>
    </row>
    <row r="973" spans="1:3" x14ac:dyDescent="0.2">
      <c r="A973" s="65">
        <v>44335</v>
      </c>
      <c r="B973" s="70">
        <v>7922883</v>
      </c>
      <c r="C973" s="66">
        <f>Table9[[#This Row],[WALCL]]-B972</f>
        <v>92220</v>
      </c>
    </row>
    <row r="974" spans="1:3" x14ac:dyDescent="0.2">
      <c r="A974" s="65">
        <v>44342</v>
      </c>
      <c r="B974" s="70">
        <v>7903541</v>
      </c>
      <c r="C974" s="66">
        <f>Table9[[#This Row],[WALCL]]-B973</f>
        <v>-19342</v>
      </c>
    </row>
    <row r="975" spans="1:3" x14ac:dyDescent="0.2">
      <c r="A975" s="65">
        <v>44349</v>
      </c>
      <c r="B975" s="70">
        <v>7935703</v>
      </c>
      <c r="C975" s="66">
        <f>Table9[[#This Row],[WALCL]]-B974</f>
        <v>32162</v>
      </c>
    </row>
    <row r="976" spans="1:3" x14ac:dyDescent="0.2">
      <c r="A976" s="65">
        <v>44356</v>
      </c>
      <c r="B976" s="70">
        <v>7952327</v>
      </c>
      <c r="C976" s="66">
        <f>Table9[[#This Row],[WALCL]]-B975</f>
        <v>16624</v>
      </c>
    </row>
    <row r="977" spans="1:3" x14ac:dyDescent="0.2">
      <c r="A977" s="65">
        <v>44363</v>
      </c>
      <c r="B977" s="70">
        <v>8064257</v>
      </c>
      <c r="C977" s="66">
        <f>Table9[[#This Row],[WALCL]]-B976</f>
        <v>111930</v>
      </c>
    </row>
    <row r="978" spans="1:3" x14ac:dyDescent="0.2">
      <c r="A978" s="65">
        <v>44370</v>
      </c>
      <c r="B978" s="70">
        <v>8101945</v>
      </c>
      <c r="C978" s="66">
        <f>Table9[[#This Row],[WALCL]]-B977</f>
        <v>37688</v>
      </c>
    </row>
    <row r="979" spans="1:3" x14ac:dyDescent="0.2">
      <c r="A979" s="65">
        <v>44377</v>
      </c>
      <c r="B979" s="71">
        <v>8078544</v>
      </c>
      <c r="C979" s="66">
        <f>Table9[[#This Row],[WALCL]]-B978</f>
        <v>-23401</v>
      </c>
    </row>
    <row r="980" spans="1:3" x14ac:dyDescent="0.2">
      <c r="A980" s="65">
        <v>44384</v>
      </c>
      <c r="B980" s="71">
        <v>8097773</v>
      </c>
      <c r="C980" s="66">
        <f>Table9[[#This Row],[WALCL]]-B979</f>
        <v>19229</v>
      </c>
    </row>
    <row r="981" spans="1:3" x14ac:dyDescent="0.2">
      <c r="A981" s="65">
        <v>44391</v>
      </c>
      <c r="B981" s="71">
        <v>8201651</v>
      </c>
      <c r="C981" s="66">
        <f>Table9[[#This Row],[WALCL]]-B980</f>
        <v>103878</v>
      </c>
    </row>
    <row r="982" spans="1:3" x14ac:dyDescent="0.2">
      <c r="A982" s="65">
        <v>44398</v>
      </c>
      <c r="B982" s="71">
        <v>8240530</v>
      </c>
      <c r="C982" s="66">
        <f>Table9[[#This Row],[WALCL]]-B981</f>
        <v>38879</v>
      </c>
    </row>
    <row r="983" spans="1:3" x14ac:dyDescent="0.2">
      <c r="A983" s="65">
        <v>44405</v>
      </c>
      <c r="B983" s="71">
        <v>8221473</v>
      </c>
      <c r="C983" s="66">
        <f>Table9[[#This Row],[WALCL]]-B982</f>
        <v>-19057</v>
      </c>
    </row>
    <row r="984" spans="1:3" x14ac:dyDescent="0.2">
      <c r="A984" s="65">
        <v>44412</v>
      </c>
      <c r="B984" s="71">
        <v>8235073</v>
      </c>
      <c r="C984" s="66">
        <f>Table9[[#This Row],[WALCL]]-B983</f>
        <v>13600</v>
      </c>
    </row>
    <row r="985" spans="1:3" x14ac:dyDescent="0.2">
      <c r="A985" s="65">
        <v>44419</v>
      </c>
      <c r="B985" s="71">
        <v>8257159</v>
      </c>
      <c r="C985" s="66">
        <f>Table9[[#This Row],[WALCL]]-B984</f>
        <v>22086</v>
      </c>
    </row>
    <row r="986" spans="1:3" x14ac:dyDescent="0.2">
      <c r="A986" s="65">
        <v>44426</v>
      </c>
      <c r="B986" s="71">
        <v>8342598</v>
      </c>
      <c r="C986" s="66">
        <f>Table9[[#This Row],[WALCL]]-B985</f>
        <v>85439</v>
      </c>
    </row>
    <row r="987" spans="1:3" x14ac:dyDescent="0.2">
      <c r="A987" s="65">
        <v>44433</v>
      </c>
      <c r="B987" s="71">
        <v>8332743</v>
      </c>
      <c r="C987" s="66">
        <f>Table9[[#This Row],[WALCL]]-B986</f>
        <v>-9855</v>
      </c>
    </row>
    <row r="988" spans="1:3" x14ac:dyDescent="0.2">
      <c r="A988" s="65">
        <v>44440</v>
      </c>
      <c r="B988" s="71">
        <v>8349173</v>
      </c>
      <c r="C988" s="66">
        <f>Table9[[#This Row],[WALCL]]-B987</f>
        <v>16430</v>
      </c>
    </row>
    <row r="989" spans="1:3" x14ac:dyDescent="0.2">
      <c r="A989" s="65">
        <v>44447</v>
      </c>
      <c r="B989" s="71">
        <v>8357314</v>
      </c>
      <c r="C989" s="66">
        <f>Table9[[#This Row],[WALCL]]-B988</f>
        <v>8141</v>
      </c>
    </row>
    <row r="990" spans="1:3" x14ac:dyDescent="0.2">
      <c r="A990" s="65">
        <v>44454</v>
      </c>
      <c r="B990" s="71">
        <v>8448770</v>
      </c>
      <c r="C990" s="66">
        <f>Table9[[#This Row],[WALCL]]-B989</f>
        <v>91456</v>
      </c>
    </row>
  </sheetData>
  <hyperlinks>
    <hyperlink ref="A1" r:id="rId1" xr:uid="{71DA9729-243F-47B9-9B5D-A0424D46154B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81AC9-570D-414A-9D15-75F6972284F5}">
  <dimension ref="A1:P990"/>
  <sheetViews>
    <sheetView zoomScale="150" zoomScaleNormal="150" workbookViewId="0">
      <pane ySplit="11" topLeftCell="A12" activePane="bottomLeft" state="frozen"/>
      <selection pane="bottomLeft" activeCell="N1014" sqref="N1014"/>
    </sheetView>
  </sheetViews>
  <sheetFormatPr baseColWidth="10" defaultColWidth="9.1640625" defaultRowHeight="15" x14ac:dyDescent="0.2"/>
  <cols>
    <col min="1" max="2" width="20.6640625" customWidth="1"/>
    <col min="3" max="3" width="10.6640625" style="1" bestFit="1" customWidth="1"/>
    <col min="4" max="4" width="17" style="1" customWidth="1"/>
    <col min="5" max="5" width="9.1640625" style="1"/>
    <col min="6" max="6" width="17.83203125" style="1" customWidth="1"/>
    <col min="7" max="7" width="12.33203125" style="1" customWidth="1"/>
    <col min="8" max="16" width="9.1640625" style="1"/>
    <col min="17" max="17" width="36.1640625" style="1" customWidth="1"/>
    <col min="18" max="18" width="9.1640625" style="1"/>
    <col min="19" max="19" width="29.6640625" style="1" customWidth="1"/>
    <col min="20" max="20" width="37.6640625" style="1" customWidth="1"/>
    <col min="21" max="16384" width="9.1640625" style="1"/>
  </cols>
  <sheetData>
    <row r="1" spans="1:4" x14ac:dyDescent="0.2">
      <c r="A1" s="3" t="s">
        <v>38</v>
      </c>
    </row>
    <row r="2" spans="1:4" x14ac:dyDescent="0.2">
      <c r="A2" t="s">
        <v>41</v>
      </c>
      <c r="B2" t="s">
        <v>42</v>
      </c>
    </row>
    <row r="3" spans="1:4" x14ac:dyDescent="0.2">
      <c r="A3" s="1"/>
      <c r="B3" s="1"/>
    </row>
    <row r="4" spans="1:4" x14ac:dyDescent="0.2">
      <c r="A4" s="1" t="s">
        <v>34</v>
      </c>
      <c r="B4" s="1"/>
    </row>
    <row r="5" spans="1:4" x14ac:dyDescent="0.2">
      <c r="A5" s="1"/>
      <c r="B5" s="1"/>
    </row>
    <row r="6" spans="1:4" x14ac:dyDescent="0.2">
      <c r="A6" s="1"/>
      <c r="B6" s="1"/>
    </row>
    <row r="7" spans="1:4" x14ac:dyDescent="0.2">
      <c r="A7" s="1"/>
      <c r="B7" s="1"/>
    </row>
    <row r="8" spans="1:4" x14ac:dyDescent="0.2">
      <c r="A8" s="1"/>
      <c r="B8" s="1"/>
    </row>
    <row r="9" spans="1:4" x14ac:dyDescent="0.2">
      <c r="A9" s="1"/>
      <c r="B9" s="1"/>
    </row>
    <row r="10" spans="1:4" x14ac:dyDescent="0.2">
      <c r="A10" t="s">
        <v>43</v>
      </c>
    </row>
    <row r="11" spans="1:4" x14ac:dyDescent="0.2">
      <c r="A11" t="s">
        <v>30</v>
      </c>
      <c r="B11" t="s">
        <v>41</v>
      </c>
      <c r="C11" s="15" t="s">
        <v>48</v>
      </c>
      <c r="D11" s="15" t="s">
        <v>49</v>
      </c>
    </row>
    <row r="12" spans="1:4" x14ac:dyDescent="0.2">
      <c r="A12" s="10">
        <v>37608</v>
      </c>
      <c r="B12" s="9">
        <v>719542</v>
      </c>
      <c r="C12" s="7">
        <v>6.207302338938403E-3</v>
      </c>
      <c r="D12" s="16">
        <f>(Table4[[#This Row],[WALCL]]/1000)/19222</f>
        <v>3.7433253563625014E-2</v>
      </c>
    </row>
    <row r="13" spans="1:4" x14ac:dyDescent="0.2">
      <c r="A13" s="10">
        <v>37615</v>
      </c>
      <c r="B13" s="9">
        <v>732059</v>
      </c>
      <c r="C13" s="7">
        <v>6.207302338938403E-3</v>
      </c>
      <c r="D13" s="7">
        <f>(Table4[[#This Row],[WALCL]]/1000)/19222</f>
        <v>3.8084434502132974E-2</v>
      </c>
    </row>
    <row r="14" spans="1:4" x14ac:dyDescent="0.2">
      <c r="A14" s="10">
        <v>37622</v>
      </c>
      <c r="B14" s="9">
        <v>730994</v>
      </c>
      <c r="C14" s="7">
        <v>2.2376013241751203E-2</v>
      </c>
      <c r="D14" s="7">
        <f>(Table4[[#This Row],[WALCL]]/1000)/19222</f>
        <v>3.8029029237332222E-2</v>
      </c>
    </row>
    <row r="15" spans="1:4" x14ac:dyDescent="0.2">
      <c r="A15" s="10">
        <v>37629</v>
      </c>
      <c r="B15" s="9">
        <v>723762</v>
      </c>
      <c r="C15" s="7">
        <v>2.2376013241751203E-2</v>
      </c>
      <c r="D15" s="7">
        <f>(Table4[[#This Row],[WALCL]]/1000)/19222</f>
        <v>3.7652793673915302E-2</v>
      </c>
    </row>
    <row r="16" spans="1:4" x14ac:dyDescent="0.2">
      <c r="A16" s="10">
        <v>37636</v>
      </c>
      <c r="B16" s="9">
        <v>720074</v>
      </c>
      <c r="C16" s="7">
        <v>2.2376013241751203E-2</v>
      </c>
      <c r="D16" s="7">
        <f>(Table4[[#This Row],[WALCL]]/1000)/19222</f>
        <v>3.7460930184163979E-2</v>
      </c>
    </row>
    <row r="17" spans="1:4" x14ac:dyDescent="0.2">
      <c r="A17" s="10">
        <v>37643</v>
      </c>
      <c r="B17" s="9">
        <v>735953</v>
      </c>
      <c r="C17" s="7">
        <v>2.2376013241751203E-2</v>
      </c>
      <c r="D17" s="7">
        <f>(Table4[[#This Row],[WALCL]]/1000)/19222</f>
        <v>3.8287014878784727E-2</v>
      </c>
    </row>
    <row r="18" spans="1:4" x14ac:dyDescent="0.2">
      <c r="A18" s="10">
        <v>37650</v>
      </c>
      <c r="B18" s="9">
        <v>712809</v>
      </c>
      <c r="C18" s="7">
        <v>2.2376013241751203E-2</v>
      </c>
      <c r="D18" s="7">
        <f>(Table4[[#This Row],[WALCL]]/1000)/19222</f>
        <v>3.7082977837894077E-2</v>
      </c>
    </row>
    <row r="19" spans="1:4" x14ac:dyDescent="0.2">
      <c r="A19" s="10">
        <v>37657</v>
      </c>
      <c r="B19" s="9">
        <v>719643</v>
      </c>
      <c r="C19" s="7">
        <v>2.2376013241751203E-2</v>
      </c>
      <c r="D19" s="7">
        <f>(Table4[[#This Row],[WALCL]]/1000)/19222</f>
        <v>3.7438507959629594E-2</v>
      </c>
    </row>
    <row r="20" spans="1:4" x14ac:dyDescent="0.2">
      <c r="A20" s="10">
        <v>37664</v>
      </c>
      <c r="B20" s="9">
        <v>713281</v>
      </c>
      <c r="C20" s="7">
        <v>2.2376013241751203E-2</v>
      </c>
      <c r="D20" s="7">
        <f>(Table4[[#This Row],[WALCL]]/1000)/19222</f>
        <v>3.7107533035063985E-2</v>
      </c>
    </row>
    <row r="21" spans="1:4" x14ac:dyDescent="0.2">
      <c r="A21" s="10">
        <v>37671</v>
      </c>
      <c r="B21" s="9">
        <v>730400</v>
      </c>
      <c r="C21" s="7">
        <v>2.2376013241751203E-2</v>
      </c>
      <c r="D21" s="7">
        <f>(Table4[[#This Row],[WALCL]]/1000)/19222</f>
        <v>3.7998127145978562E-2</v>
      </c>
    </row>
    <row r="22" spans="1:4" x14ac:dyDescent="0.2">
      <c r="A22" s="10">
        <v>37678</v>
      </c>
      <c r="B22" s="9">
        <v>721980</v>
      </c>
      <c r="C22" s="7">
        <v>2.2376013241751203E-2</v>
      </c>
      <c r="D22" s="7">
        <f>(Table4[[#This Row],[WALCL]]/1000)/19222</f>
        <v>3.7560087399854336E-2</v>
      </c>
    </row>
    <row r="23" spans="1:4" x14ac:dyDescent="0.2">
      <c r="A23" s="10">
        <v>37685</v>
      </c>
      <c r="B23" s="9">
        <v>722649</v>
      </c>
      <c r="C23" s="7">
        <v>2.2376013241751203E-2</v>
      </c>
      <c r="D23" s="7">
        <f>(Table4[[#This Row],[WALCL]]/1000)/19222</f>
        <v>3.759489127041931E-2</v>
      </c>
    </row>
    <row r="24" spans="1:4" x14ac:dyDescent="0.2">
      <c r="A24" s="10">
        <v>37692</v>
      </c>
      <c r="B24" s="9">
        <v>717014</v>
      </c>
      <c r="C24" s="7">
        <v>2.2376013241751203E-2</v>
      </c>
      <c r="D24" s="7">
        <f>(Table4[[#This Row],[WALCL]]/1000)/19222</f>
        <v>3.7301737592342107E-2</v>
      </c>
    </row>
    <row r="25" spans="1:4" x14ac:dyDescent="0.2">
      <c r="A25" s="10">
        <v>37699</v>
      </c>
      <c r="B25" s="9">
        <v>729923</v>
      </c>
      <c r="C25" s="7">
        <v>2.2376013241751203E-2</v>
      </c>
      <c r="D25" s="7">
        <f>(Table4[[#This Row],[WALCL]]/1000)/19222</f>
        <v>3.7973311830194569E-2</v>
      </c>
    </row>
    <row r="26" spans="1:4" x14ac:dyDescent="0.2">
      <c r="A26" s="10">
        <v>37706</v>
      </c>
      <c r="B26" s="9">
        <v>725019</v>
      </c>
      <c r="C26" s="7">
        <v>2.2376013241751203E-2</v>
      </c>
      <c r="D26" s="7">
        <f>(Table4[[#This Row],[WALCL]]/1000)/19222</f>
        <v>3.7718187493497035E-2</v>
      </c>
    </row>
    <row r="27" spans="1:4" x14ac:dyDescent="0.2">
      <c r="A27" s="10">
        <v>37713</v>
      </c>
      <c r="B27" s="9">
        <v>732452</v>
      </c>
      <c r="C27" s="7">
        <v>3.4856972886925019E-2</v>
      </c>
      <c r="D27" s="7">
        <f>(Table4[[#This Row],[WALCL]]/1000)/19222</f>
        <v>3.8104879825200291E-2</v>
      </c>
    </row>
    <row r="28" spans="1:4" x14ac:dyDescent="0.2">
      <c r="A28" s="10">
        <v>37720</v>
      </c>
      <c r="B28" s="9">
        <v>727826</v>
      </c>
      <c r="C28" s="7">
        <v>3.4856972886925019E-2</v>
      </c>
      <c r="D28" s="7">
        <f>(Table4[[#This Row],[WALCL]]/1000)/19222</f>
        <v>3.7864218083446054E-2</v>
      </c>
    </row>
    <row r="29" spans="1:4" x14ac:dyDescent="0.2">
      <c r="A29" s="10">
        <v>37727</v>
      </c>
      <c r="B29" s="9">
        <v>745838</v>
      </c>
      <c r="C29" s="7">
        <v>3.4856972886925019E-2</v>
      </c>
      <c r="D29" s="7">
        <f>(Table4[[#This Row],[WALCL]]/1000)/19222</f>
        <v>3.8801269378836746E-2</v>
      </c>
    </row>
    <row r="30" spans="1:4" x14ac:dyDescent="0.2">
      <c r="A30" s="10">
        <v>37734</v>
      </c>
      <c r="B30" s="9">
        <v>732222</v>
      </c>
      <c r="C30" s="7">
        <v>3.4856972886925019E-2</v>
      </c>
      <c r="D30" s="7">
        <f>(Table4[[#This Row],[WALCL]]/1000)/19222</f>
        <v>3.8092914368952242E-2</v>
      </c>
    </row>
    <row r="31" spans="1:4" x14ac:dyDescent="0.2">
      <c r="A31" s="10">
        <v>37741</v>
      </c>
      <c r="B31" s="9">
        <v>746294</v>
      </c>
      <c r="C31" s="7">
        <v>3.4856972886925019E-2</v>
      </c>
      <c r="D31" s="7">
        <f>(Table4[[#This Row],[WALCL]]/1000)/19222</f>
        <v>3.8824992196441574E-2</v>
      </c>
    </row>
    <row r="32" spans="1:4" x14ac:dyDescent="0.2">
      <c r="A32" s="10">
        <v>37748</v>
      </c>
      <c r="B32" s="9">
        <v>733466</v>
      </c>
      <c r="C32" s="7">
        <v>3.4856972886925019E-2</v>
      </c>
      <c r="D32" s="7">
        <f>(Table4[[#This Row],[WALCL]]/1000)/19222</f>
        <v>3.8157631880137342E-2</v>
      </c>
    </row>
    <row r="33" spans="1:4" x14ac:dyDescent="0.2">
      <c r="A33" s="10">
        <v>37755</v>
      </c>
      <c r="B33" s="9">
        <v>740371</v>
      </c>
      <c r="C33" s="7">
        <v>3.4856972886925019E-2</v>
      </c>
      <c r="D33" s="7">
        <f>(Table4[[#This Row],[WALCL]]/1000)/19222</f>
        <v>3.8516855686192904E-2</v>
      </c>
    </row>
    <row r="34" spans="1:4" x14ac:dyDescent="0.2">
      <c r="A34" s="10">
        <v>37762</v>
      </c>
      <c r="B34" s="9">
        <v>734699</v>
      </c>
      <c r="C34" s="7">
        <v>3.4856972886925019E-2</v>
      </c>
      <c r="D34" s="7">
        <f>(Table4[[#This Row],[WALCL]]/1000)/19222</f>
        <v>3.8221777130371448E-2</v>
      </c>
    </row>
    <row r="35" spans="1:4" x14ac:dyDescent="0.2">
      <c r="A35" s="10">
        <v>37769</v>
      </c>
      <c r="B35" s="9">
        <v>744896</v>
      </c>
      <c r="C35" s="7">
        <v>3.4856972886925019E-2</v>
      </c>
      <c r="D35" s="7">
        <f>(Table4[[#This Row],[WALCL]]/1000)/19222</f>
        <v>3.8752263031942562E-2</v>
      </c>
    </row>
    <row r="36" spans="1:4" x14ac:dyDescent="0.2">
      <c r="A36" s="10">
        <v>37776</v>
      </c>
      <c r="B36" s="9">
        <v>731667</v>
      </c>
      <c r="C36" s="7">
        <v>3.4856972886925019E-2</v>
      </c>
      <c r="D36" s="7">
        <f>(Table4[[#This Row],[WALCL]]/1000)/19222</f>
        <v>3.8064041202788473E-2</v>
      </c>
    </row>
    <row r="37" spans="1:4" x14ac:dyDescent="0.2">
      <c r="A37" s="10">
        <v>37783</v>
      </c>
      <c r="B37" s="9">
        <v>743236</v>
      </c>
      <c r="C37" s="7">
        <v>3.4856972886925019E-2</v>
      </c>
      <c r="D37" s="7">
        <f>(Table4[[#This Row],[WALCL]]/1000)/19222</f>
        <v>3.8665903652065341E-2</v>
      </c>
    </row>
    <row r="38" spans="1:4" x14ac:dyDescent="0.2">
      <c r="A38" s="10">
        <v>37790</v>
      </c>
      <c r="B38" s="9">
        <v>735926</v>
      </c>
      <c r="C38" s="7">
        <v>3.4856972886925019E-2</v>
      </c>
      <c r="D38" s="7">
        <f>(Table4[[#This Row],[WALCL]]/1000)/19222</f>
        <v>3.8285610238268653E-2</v>
      </c>
    </row>
    <row r="39" spans="1:4" x14ac:dyDescent="0.2">
      <c r="A39" s="10">
        <v>37797</v>
      </c>
      <c r="B39" s="9">
        <v>744018</v>
      </c>
      <c r="C39" s="7">
        <v>3.4856972886925019E-2</v>
      </c>
      <c r="D39" s="7">
        <f>(Table4[[#This Row],[WALCL]]/1000)/19222</f>
        <v>3.8706586203308711E-2</v>
      </c>
    </row>
    <row r="40" spans="1:4" x14ac:dyDescent="0.2">
      <c r="A40" s="10">
        <v>37804</v>
      </c>
      <c r="B40" s="9">
        <v>740126</v>
      </c>
      <c r="C40" s="7">
        <v>6.9678399500041177E-2</v>
      </c>
      <c r="D40" s="7">
        <f>(Table4[[#This Row],[WALCL]]/1000)/19222</f>
        <v>3.8504109874102591E-2</v>
      </c>
    </row>
    <row r="41" spans="1:4" x14ac:dyDescent="0.2">
      <c r="A41" s="10">
        <v>37811</v>
      </c>
      <c r="B41" s="9">
        <v>744430</v>
      </c>
      <c r="C41" s="7">
        <v>6.9678399500041177E-2</v>
      </c>
      <c r="D41" s="7">
        <f>(Table4[[#This Row],[WALCL]]/1000)/19222</f>
        <v>3.8728019977109562E-2</v>
      </c>
    </row>
    <row r="42" spans="1:4" x14ac:dyDescent="0.2">
      <c r="A42" s="10">
        <v>37818</v>
      </c>
      <c r="B42" s="9">
        <v>737765</v>
      </c>
      <c r="C42" s="7">
        <v>6.9678399500041177E-2</v>
      </c>
      <c r="D42" s="7">
        <f>(Table4[[#This Row],[WALCL]]/1000)/19222</f>
        <v>3.8381281864530228E-2</v>
      </c>
    </row>
    <row r="43" spans="1:4" x14ac:dyDescent="0.2">
      <c r="A43" s="10">
        <v>37825</v>
      </c>
      <c r="B43" s="9">
        <v>745665</v>
      </c>
      <c r="C43" s="7">
        <v>6.9678399500041177E-2</v>
      </c>
      <c r="D43" s="7">
        <f>(Table4[[#This Row],[WALCL]]/1000)/19222</f>
        <v>3.87922692747893E-2</v>
      </c>
    </row>
    <row r="44" spans="1:4" x14ac:dyDescent="0.2">
      <c r="A44" s="10">
        <v>37832</v>
      </c>
      <c r="B44" s="9">
        <v>740295</v>
      </c>
      <c r="C44" s="7">
        <v>6.9678399500041177E-2</v>
      </c>
      <c r="D44" s="7">
        <f>(Table4[[#This Row],[WALCL]]/1000)/19222</f>
        <v>3.8512901883258767E-2</v>
      </c>
    </row>
    <row r="45" spans="1:4" x14ac:dyDescent="0.2">
      <c r="A45" s="10">
        <v>37839</v>
      </c>
      <c r="B45" s="9">
        <v>734018</v>
      </c>
      <c r="C45" s="7">
        <v>6.9678399500041177E-2</v>
      </c>
      <c r="D45" s="7">
        <f>(Table4[[#This Row],[WALCL]]/1000)/19222</f>
        <v>3.8186348975132664E-2</v>
      </c>
    </row>
    <row r="46" spans="1:4" x14ac:dyDescent="0.2">
      <c r="A46" s="10">
        <v>37846</v>
      </c>
      <c r="B46" s="9">
        <v>735386</v>
      </c>
      <c r="C46" s="7">
        <v>6.9678399500041177E-2</v>
      </c>
      <c r="D46" s="7">
        <f>(Table4[[#This Row],[WALCL]]/1000)/19222</f>
        <v>3.8257517427947141E-2</v>
      </c>
    </row>
    <row r="47" spans="1:4" x14ac:dyDescent="0.2">
      <c r="A47" s="10">
        <v>37853</v>
      </c>
      <c r="B47" s="9">
        <v>750825</v>
      </c>
      <c r="C47" s="7">
        <v>6.9678399500041177E-2</v>
      </c>
      <c r="D47" s="7">
        <f>(Table4[[#This Row],[WALCL]]/1000)/19222</f>
        <v>3.9060711684528147E-2</v>
      </c>
    </row>
    <row r="48" spans="1:4" x14ac:dyDescent="0.2">
      <c r="A48" s="10">
        <v>37860</v>
      </c>
      <c r="B48" s="9">
        <v>740637</v>
      </c>
      <c r="C48" s="7">
        <v>6.9678399500041177E-2</v>
      </c>
      <c r="D48" s="7">
        <f>(Table4[[#This Row],[WALCL]]/1000)/19222</f>
        <v>3.8530693996462383E-2</v>
      </c>
    </row>
    <row r="49" spans="1:4" x14ac:dyDescent="0.2">
      <c r="A49" s="10">
        <v>37867</v>
      </c>
      <c r="B49" s="9">
        <v>750461</v>
      </c>
      <c r="C49" s="7">
        <v>6.9678399500041177E-2</v>
      </c>
      <c r="D49" s="7">
        <f>(Table4[[#This Row],[WALCL]]/1000)/19222</f>
        <v>3.9041775049422536E-2</v>
      </c>
    </row>
    <row r="50" spans="1:4" x14ac:dyDescent="0.2">
      <c r="A50" s="10">
        <v>37874</v>
      </c>
      <c r="B50" s="9">
        <v>737234</v>
      </c>
      <c r="C50" s="7">
        <v>6.9678399500041177E-2</v>
      </c>
      <c r="D50" s="7">
        <f>(Table4[[#This Row],[WALCL]]/1000)/19222</f>
        <v>3.8353657267714079E-2</v>
      </c>
    </row>
    <row r="51" spans="1:4" x14ac:dyDescent="0.2">
      <c r="A51" s="10">
        <v>37881</v>
      </c>
      <c r="B51" s="9">
        <v>743939</v>
      </c>
      <c r="C51" s="7">
        <v>6.9678399500041177E-2</v>
      </c>
      <c r="D51" s="7">
        <f>(Table4[[#This Row],[WALCL]]/1000)/19222</f>
        <v>3.8702476329206113E-2</v>
      </c>
    </row>
    <row r="52" spans="1:4" x14ac:dyDescent="0.2">
      <c r="A52" s="10">
        <v>37888</v>
      </c>
      <c r="B52" s="9">
        <v>741193</v>
      </c>
      <c r="C52" s="7">
        <v>6.9678399500041177E-2</v>
      </c>
      <c r="D52" s="7">
        <f>(Table4[[#This Row],[WALCL]]/1000)/19222</f>
        <v>3.8559619186348974E-2</v>
      </c>
    </row>
    <row r="53" spans="1:4" x14ac:dyDescent="0.2">
      <c r="A53" s="10">
        <v>37895</v>
      </c>
      <c r="B53" s="9">
        <v>753155</v>
      </c>
      <c r="C53" s="7">
        <v>4.6723726350152983E-2</v>
      </c>
      <c r="D53" s="7">
        <f>(Table4[[#This Row],[WALCL]]/1000)/19222</f>
        <v>3.9181926958693165E-2</v>
      </c>
    </row>
    <row r="54" spans="1:4" x14ac:dyDescent="0.2">
      <c r="A54" s="10">
        <v>37902</v>
      </c>
      <c r="B54" s="9">
        <v>737108</v>
      </c>
      <c r="C54" s="7">
        <v>4.6723726350152983E-2</v>
      </c>
      <c r="D54" s="7">
        <f>(Table4[[#This Row],[WALCL]]/1000)/19222</f>
        <v>3.8347102278639057E-2</v>
      </c>
    </row>
    <row r="55" spans="1:4" x14ac:dyDescent="0.2">
      <c r="A55" s="10">
        <v>37909</v>
      </c>
      <c r="B55" s="9">
        <v>754229</v>
      </c>
      <c r="C55" s="7">
        <v>4.6723726350152983E-2</v>
      </c>
      <c r="D55" s="7">
        <f>(Table4[[#This Row],[WALCL]]/1000)/19222</f>
        <v>3.9237800436999273E-2</v>
      </c>
    </row>
    <row r="56" spans="1:4" x14ac:dyDescent="0.2">
      <c r="A56" s="10">
        <v>37916</v>
      </c>
      <c r="B56" s="9">
        <v>743578</v>
      </c>
      <c r="C56" s="7">
        <v>4.6723726350152983E-2</v>
      </c>
      <c r="D56" s="7">
        <f>(Table4[[#This Row],[WALCL]]/1000)/19222</f>
        <v>3.8683695765268963E-2</v>
      </c>
    </row>
    <row r="57" spans="1:4" x14ac:dyDescent="0.2">
      <c r="A57" s="10">
        <v>37923</v>
      </c>
      <c r="B57" s="9">
        <v>747272</v>
      </c>
      <c r="C57" s="7">
        <v>4.6723726350152983E-2</v>
      </c>
      <c r="D57" s="7">
        <f>(Table4[[#This Row],[WALCL]]/1000)/19222</f>
        <v>3.8875871397357195E-2</v>
      </c>
    </row>
    <row r="58" spans="1:4" x14ac:dyDescent="0.2">
      <c r="A58" s="10">
        <v>37930</v>
      </c>
      <c r="B58" s="9">
        <v>744116</v>
      </c>
      <c r="C58" s="7">
        <v>4.6723726350152983E-2</v>
      </c>
      <c r="D58" s="7">
        <f>(Table4[[#This Row],[WALCL]]/1000)/19222</f>
        <v>3.8711684528144837E-2</v>
      </c>
    </row>
    <row r="59" spans="1:4" x14ac:dyDescent="0.2">
      <c r="A59" s="10">
        <v>37937</v>
      </c>
      <c r="B59" s="9">
        <v>745604</v>
      </c>
      <c r="C59" s="7">
        <v>4.6723726350152983E-2</v>
      </c>
      <c r="D59" s="7">
        <f>(Table4[[#This Row],[WALCL]]/1000)/19222</f>
        <v>3.8789095827697434E-2</v>
      </c>
    </row>
    <row r="60" spans="1:4" x14ac:dyDescent="0.2">
      <c r="A60" s="10">
        <v>37944</v>
      </c>
      <c r="B60" s="9">
        <v>744521</v>
      </c>
      <c r="C60" s="7">
        <v>4.6723726350152983E-2</v>
      </c>
      <c r="D60" s="7">
        <f>(Table4[[#This Row],[WALCL]]/1000)/19222</f>
        <v>3.8732754135885963E-2</v>
      </c>
    </row>
    <row r="61" spans="1:4" x14ac:dyDescent="0.2">
      <c r="A61" s="10">
        <v>37951</v>
      </c>
      <c r="B61" s="9">
        <v>756964</v>
      </c>
      <c r="C61" s="7">
        <v>4.6723726350152983E-2</v>
      </c>
      <c r="D61" s="7">
        <f>(Table4[[#This Row],[WALCL]]/1000)/19222</f>
        <v>3.9380085318905425E-2</v>
      </c>
    </row>
    <row r="62" spans="1:4" x14ac:dyDescent="0.2">
      <c r="A62" s="10">
        <v>37958</v>
      </c>
      <c r="B62" s="9">
        <v>749981</v>
      </c>
      <c r="C62" s="7">
        <v>4.6723726350152983E-2</v>
      </c>
      <c r="D62" s="7">
        <f>(Table4[[#This Row],[WALCL]]/1000)/19222</f>
        <v>3.9016803662470088E-2</v>
      </c>
    </row>
    <row r="63" spans="1:4" x14ac:dyDescent="0.2">
      <c r="A63" s="10">
        <v>37965</v>
      </c>
      <c r="B63" s="9">
        <v>756585</v>
      </c>
      <c r="C63" s="7">
        <v>4.6723726350152983E-2</v>
      </c>
      <c r="D63" s="7">
        <f>(Table4[[#This Row],[WALCL]]/1000)/19222</f>
        <v>3.936036832795755E-2</v>
      </c>
    </row>
    <row r="64" spans="1:4" x14ac:dyDescent="0.2">
      <c r="A64" s="10">
        <v>37972</v>
      </c>
      <c r="B64" s="9">
        <v>753919</v>
      </c>
      <c r="C64" s="7">
        <v>4.6723726350152983E-2</v>
      </c>
      <c r="D64" s="7">
        <f>(Table4[[#This Row],[WALCL]]/1000)/19222</f>
        <v>3.9221673082925811E-2</v>
      </c>
    </row>
    <row r="65" spans="1:4" x14ac:dyDescent="0.2">
      <c r="A65" s="10">
        <v>37979</v>
      </c>
      <c r="B65" s="9">
        <v>767012</v>
      </c>
      <c r="C65" s="7">
        <v>4.6723726350152983E-2</v>
      </c>
      <c r="D65" s="7">
        <f>(Table4[[#This Row],[WALCL]]/1000)/19222</f>
        <v>3.9902819685776712E-2</v>
      </c>
    </row>
    <row r="66" spans="1:4" x14ac:dyDescent="0.2">
      <c r="A66" s="10">
        <v>37986</v>
      </c>
      <c r="B66" s="9">
        <v>771551</v>
      </c>
      <c r="C66" s="7">
        <v>4.6723726350152983E-2</v>
      </c>
      <c r="D66" s="7">
        <f>(Table4[[#This Row],[WALCL]]/1000)/19222</f>
        <v>4.0138955363645826E-2</v>
      </c>
    </row>
    <row r="67" spans="1:4" x14ac:dyDescent="0.2">
      <c r="A67" s="10">
        <v>37993</v>
      </c>
      <c r="B67" s="9">
        <v>755829</v>
      </c>
      <c r="C67" s="7">
        <v>2.1521433250030864E-2</v>
      </c>
      <c r="D67" s="7">
        <f>(Table4[[#This Row],[WALCL]]/1000)/19222</f>
        <v>3.9321038393507438E-2</v>
      </c>
    </row>
    <row r="68" spans="1:4" x14ac:dyDescent="0.2">
      <c r="A68" s="10">
        <v>38000</v>
      </c>
      <c r="B68" s="9">
        <v>752812</v>
      </c>
      <c r="C68" s="7">
        <v>2.1521433250030864E-2</v>
      </c>
      <c r="D68" s="7">
        <f>(Table4[[#This Row],[WALCL]]/1000)/19222</f>
        <v>3.9164082821766727E-2</v>
      </c>
    </row>
    <row r="69" spans="1:4" x14ac:dyDescent="0.2">
      <c r="A69" s="10">
        <v>38007</v>
      </c>
      <c r="B69" s="9">
        <v>775833</v>
      </c>
      <c r="C69" s="7">
        <v>2.1521433250030864E-2</v>
      </c>
      <c r="D69" s="7">
        <f>(Table4[[#This Row],[WALCL]]/1000)/19222</f>
        <v>4.0361720944750802E-2</v>
      </c>
    </row>
    <row r="70" spans="1:4" x14ac:dyDescent="0.2">
      <c r="A70" s="10">
        <v>38014</v>
      </c>
      <c r="B70" s="9">
        <v>755279</v>
      </c>
      <c r="C70" s="7">
        <v>2.1521433250030864E-2</v>
      </c>
      <c r="D70" s="7">
        <f>(Table4[[#This Row],[WALCL]]/1000)/19222</f>
        <v>3.9292425345957754E-2</v>
      </c>
    </row>
    <row r="71" spans="1:4" x14ac:dyDescent="0.2">
      <c r="A71" s="10">
        <v>38021</v>
      </c>
      <c r="B71" s="9">
        <v>754153</v>
      </c>
      <c r="C71" s="7">
        <v>2.1521433250030864E-2</v>
      </c>
      <c r="D71" s="7">
        <f>(Table4[[#This Row],[WALCL]]/1000)/19222</f>
        <v>3.9233846634065137E-2</v>
      </c>
    </row>
    <row r="72" spans="1:4" x14ac:dyDescent="0.2">
      <c r="A72" s="10">
        <v>38028</v>
      </c>
      <c r="B72" s="9">
        <v>750999</v>
      </c>
      <c r="C72" s="7">
        <v>2.1521433250030864E-2</v>
      </c>
      <c r="D72" s="7">
        <f>(Table4[[#This Row],[WALCL]]/1000)/19222</f>
        <v>3.9069763812298409E-2</v>
      </c>
    </row>
    <row r="73" spans="1:4" x14ac:dyDescent="0.2">
      <c r="A73" s="10">
        <v>38035</v>
      </c>
      <c r="B73" s="9">
        <v>758759</v>
      </c>
      <c r="C73" s="7">
        <v>2.1521433250030864E-2</v>
      </c>
      <c r="D73" s="7">
        <f>(Table4[[#This Row],[WALCL]]/1000)/19222</f>
        <v>3.9473467901363024E-2</v>
      </c>
    </row>
    <row r="74" spans="1:4" x14ac:dyDescent="0.2">
      <c r="A74" s="10">
        <v>38042</v>
      </c>
      <c r="B74" s="9">
        <v>750666</v>
      </c>
      <c r="C74" s="7">
        <v>2.1521433250030864E-2</v>
      </c>
      <c r="D74" s="7">
        <f>(Table4[[#This Row],[WALCL]]/1000)/19222</f>
        <v>3.905243991260015E-2</v>
      </c>
    </row>
    <row r="75" spans="1:4" x14ac:dyDescent="0.2">
      <c r="A75" s="10">
        <v>38049</v>
      </c>
      <c r="B75" s="9">
        <v>754867</v>
      </c>
      <c r="C75" s="7">
        <v>2.1521433250030864E-2</v>
      </c>
      <c r="D75" s="7">
        <f>(Table4[[#This Row],[WALCL]]/1000)/19222</f>
        <v>3.9270991572156903E-2</v>
      </c>
    </row>
    <row r="76" spans="1:4" x14ac:dyDescent="0.2">
      <c r="A76" s="10">
        <v>38056</v>
      </c>
      <c r="B76" s="9">
        <v>749950</v>
      </c>
      <c r="C76" s="7">
        <v>2.1521433250030864E-2</v>
      </c>
      <c r="D76" s="7">
        <f>(Table4[[#This Row],[WALCL]]/1000)/19222</f>
        <v>3.9015190927062744E-2</v>
      </c>
    </row>
    <row r="77" spans="1:4" x14ac:dyDescent="0.2">
      <c r="A77" s="10">
        <v>38063</v>
      </c>
      <c r="B77" s="9">
        <v>760638</v>
      </c>
      <c r="C77" s="7">
        <v>2.1521433250030864E-2</v>
      </c>
      <c r="D77" s="7">
        <f>(Table4[[#This Row],[WALCL]]/1000)/19222</f>
        <v>3.95712204765373E-2</v>
      </c>
    </row>
    <row r="78" spans="1:4" x14ac:dyDescent="0.2">
      <c r="A78" s="10">
        <v>38070</v>
      </c>
      <c r="B78" s="9">
        <v>751510</v>
      </c>
      <c r="C78" s="7">
        <v>2.1521433250030864E-2</v>
      </c>
      <c r="D78" s="7">
        <f>(Table4[[#This Row],[WALCL]]/1000)/19222</f>
        <v>3.9096347934658202E-2</v>
      </c>
    </row>
    <row r="79" spans="1:4" x14ac:dyDescent="0.2">
      <c r="A79" s="10">
        <v>38077</v>
      </c>
      <c r="B79" s="9">
        <v>760725</v>
      </c>
      <c r="C79" s="7">
        <v>2.1521433250030864E-2</v>
      </c>
      <c r="D79" s="7">
        <f>(Table4[[#This Row],[WALCL]]/1000)/19222</f>
        <v>3.9575746540422431E-2</v>
      </c>
    </row>
    <row r="80" spans="1:4" x14ac:dyDescent="0.2">
      <c r="A80" s="10">
        <v>38084</v>
      </c>
      <c r="B80" s="9">
        <v>754083</v>
      </c>
      <c r="C80" s="7">
        <v>3.0833284505320524E-2</v>
      </c>
      <c r="D80" s="7">
        <f>(Table4[[#This Row],[WALCL]]/1000)/19222</f>
        <v>3.9230204973467901E-2</v>
      </c>
    </row>
    <row r="81" spans="1:4" x14ac:dyDescent="0.2">
      <c r="A81" s="10">
        <v>38091</v>
      </c>
      <c r="B81" s="9">
        <v>763734</v>
      </c>
      <c r="C81" s="7">
        <v>3.0833284505320524E-2</v>
      </c>
      <c r="D81" s="7">
        <f>(Table4[[#This Row],[WALCL]]/1000)/19222</f>
        <v>3.9732285922380609E-2</v>
      </c>
    </row>
    <row r="82" spans="1:4" x14ac:dyDescent="0.2">
      <c r="A82" s="10">
        <v>38098</v>
      </c>
      <c r="B82" s="9">
        <v>757984</v>
      </c>
      <c r="C82" s="7">
        <v>3.0833284505320524E-2</v>
      </c>
      <c r="D82" s="7">
        <f>(Table4[[#This Row],[WALCL]]/1000)/19222</f>
        <v>3.9433149516179378E-2</v>
      </c>
    </row>
    <row r="83" spans="1:4" x14ac:dyDescent="0.2">
      <c r="A83" s="10">
        <v>38105</v>
      </c>
      <c r="B83" s="9">
        <v>772927</v>
      </c>
      <c r="C83" s="7">
        <v>3.0833284505320524E-2</v>
      </c>
      <c r="D83" s="7">
        <f>(Table4[[#This Row],[WALCL]]/1000)/19222</f>
        <v>4.0210540006242849E-2</v>
      </c>
    </row>
    <row r="84" spans="1:4" x14ac:dyDescent="0.2">
      <c r="A84" s="10">
        <v>38112</v>
      </c>
      <c r="B84" s="9">
        <v>758838</v>
      </c>
      <c r="C84" s="7">
        <v>3.0833284505320524E-2</v>
      </c>
      <c r="D84" s="7">
        <f>(Table4[[#This Row],[WALCL]]/1000)/19222</f>
        <v>3.9477577775465608E-2</v>
      </c>
    </row>
    <row r="85" spans="1:4" x14ac:dyDescent="0.2">
      <c r="A85" s="10">
        <v>38119</v>
      </c>
      <c r="B85" s="9">
        <v>764835</v>
      </c>
      <c r="C85" s="7">
        <v>3.0833284505320524E-2</v>
      </c>
      <c r="D85" s="7">
        <f>(Table4[[#This Row],[WALCL]]/1000)/19222</f>
        <v>3.9789564041202791E-2</v>
      </c>
    </row>
    <row r="86" spans="1:4" x14ac:dyDescent="0.2">
      <c r="A86" s="10">
        <v>38126</v>
      </c>
      <c r="B86" s="9">
        <v>756874</v>
      </c>
      <c r="C86" s="7">
        <v>3.0833284505320524E-2</v>
      </c>
      <c r="D86" s="7">
        <f>(Table4[[#This Row],[WALCL]]/1000)/19222</f>
        <v>3.937540318385184E-2</v>
      </c>
    </row>
    <row r="87" spans="1:4" x14ac:dyDescent="0.2">
      <c r="A87" s="10">
        <v>38133</v>
      </c>
      <c r="B87" s="9">
        <v>771108</v>
      </c>
      <c r="C87" s="7">
        <v>3.0833284505320524E-2</v>
      </c>
      <c r="D87" s="7">
        <f>(Table4[[#This Row],[WALCL]]/1000)/19222</f>
        <v>4.0115908854437624E-2</v>
      </c>
    </row>
    <row r="88" spans="1:4" x14ac:dyDescent="0.2">
      <c r="A88" s="10">
        <v>38140</v>
      </c>
      <c r="B88" s="9">
        <v>764090</v>
      </c>
      <c r="C88" s="7">
        <v>3.0833284505320524E-2</v>
      </c>
      <c r="D88" s="7">
        <f>(Table4[[#This Row],[WALCL]]/1000)/19222</f>
        <v>3.9750806367703673E-2</v>
      </c>
    </row>
    <row r="89" spans="1:4" x14ac:dyDescent="0.2">
      <c r="A89" s="10">
        <v>38147</v>
      </c>
      <c r="B89" s="9">
        <v>772187</v>
      </c>
      <c r="C89" s="7">
        <v>3.0833284505320524E-2</v>
      </c>
      <c r="D89" s="7">
        <f>(Table4[[#This Row],[WALCL]]/1000)/19222</f>
        <v>4.0172042451357817E-2</v>
      </c>
    </row>
    <row r="90" spans="1:4" x14ac:dyDescent="0.2">
      <c r="A90" s="10">
        <v>38154</v>
      </c>
      <c r="B90" s="9">
        <v>761834</v>
      </c>
      <c r="C90" s="7">
        <v>3.0833284505320524E-2</v>
      </c>
      <c r="D90" s="7">
        <f>(Table4[[#This Row],[WALCL]]/1000)/19222</f>
        <v>3.9633440849027153E-2</v>
      </c>
    </row>
    <row r="91" spans="1:4" x14ac:dyDescent="0.2">
      <c r="A91" s="10">
        <v>38161</v>
      </c>
      <c r="B91" s="9">
        <v>775261</v>
      </c>
      <c r="C91" s="7">
        <v>3.0833284505320524E-2</v>
      </c>
      <c r="D91" s="7">
        <f>(Table4[[#This Row],[WALCL]]/1000)/19222</f>
        <v>4.0331963375299137E-2</v>
      </c>
    </row>
    <row r="92" spans="1:4" x14ac:dyDescent="0.2">
      <c r="A92" s="10">
        <v>38168</v>
      </c>
      <c r="B92" s="9">
        <v>779578</v>
      </c>
      <c r="C92" s="7">
        <v>3.0833284505320524E-2</v>
      </c>
      <c r="D92" s="7">
        <f>(Table4[[#This Row],[WALCL]]/1000)/19222</f>
        <v>4.0556549786702735E-2</v>
      </c>
    </row>
    <row r="93" spans="1:4" x14ac:dyDescent="0.2">
      <c r="A93" s="10">
        <v>38175</v>
      </c>
      <c r="B93" s="9">
        <v>778163</v>
      </c>
      <c r="C93" s="7">
        <v>3.8352696109934081E-2</v>
      </c>
      <c r="D93" s="7">
        <f>(Table4[[#This Row],[WALCL]]/1000)/19222</f>
        <v>4.0482936218915827E-2</v>
      </c>
    </row>
    <row r="94" spans="1:4" x14ac:dyDescent="0.2">
      <c r="A94" s="10">
        <v>38182</v>
      </c>
      <c r="B94" s="9">
        <v>775536</v>
      </c>
      <c r="C94" s="7">
        <v>3.8352696109934081E-2</v>
      </c>
      <c r="D94" s="7">
        <f>(Table4[[#This Row],[WALCL]]/1000)/19222</f>
        <v>4.0346269899073972E-2</v>
      </c>
    </row>
    <row r="95" spans="1:4" x14ac:dyDescent="0.2">
      <c r="A95" s="10">
        <v>38189</v>
      </c>
      <c r="B95" s="9">
        <v>776764</v>
      </c>
      <c r="C95" s="7">
        <v>3.8352696109934081E-2</v>
      </c>
      <c r="D95" s="7">
        <f>(Table4[[#This Row],[WALCL]]/1000)/19222</f>
        <v>4.0410155030693999E-2</v>
      </c>
    </row>
    <row r="96" spans="1:4" x14ac:dyDescent="0.2">
      <c r="A96" s="10">
        <v>38196</v>
      </c>
      <c r="B96" s="9">
        <v>773916</v>
      </c>
      <c r="C96" s="7">
        <v>3.8352696109934081E-2</v>
      </c>
      <c r="D96" s="7">
        <f>(Table4[[#This Row],[WALCL]]/1000)/19222</f>
        <v>4.0261991468109458E-2</v>
      </c>
    </row>
    <row r="97" spans="1:4" x14ac:dyDescent="0.2">
      <c r="A97" s="10">
        <v>38203</v>
      </c>
      <c r="B97" s="9">
        <v>772085</v>
      </c>
      <c r="C97" s="7">
        <v>3.8352696109934081E-2</v>
      </c>
      <c r="D97" s="7">
        <f>(Table4[[#This Row],[WALCL]]/1000)/19222</f>
        <v>4.0166736031630422E-2</v>
      </c>
    </row>
    <row r="98" spans="1:4" x14ac:dyDescent="0.2">
      <c r="A98" s="10">
        <v>38210</v>
      </c>
      <c r="B98" s="9">
        <v>769265</v>
      </c>
      <c r="C98" s="7">
        <v>3.8352696109934081E-2</v>
      </c>
      <c r="D98" s="7">
        <f>(Table4[[#This Row],[WALCL]]/1000)/19222</f>
        <v>4.0020029133284778E-2</v>
      </c>
    </row>
    <row r="99" spans="1:4" x14ac:dyDescent="0.2">
      <c r="A99" s="10">
        <v>38217</v>
      </c>
      <c r="B99" s="9">
        <v>767595</v>
      </c>
      <c r="C99" s="7">
        <v>3.8352696109934081E-2</v>
      </c>
      <c r="D99" s="7">
        <f>(Table4[[#This Row],[WALCL]]/1000)/19222</f>
        <v>3.9933149516179378E-2</v>
      </c>
    </row>
    <row r="100" spans="1:4" x14ac:dyDescent="0.2">
      <c r="A100" s="10">
        <v>38224</v>
      </c>
      <c r="B100" s="9">
        <v>775437</v>
      </c>
      <c r="C100" s="7">
        <v>3.8352696109934081E-2</v>
      </c>
      <c r="D100" s="7">
        <f>(Table4[[#This Row],[WALCL]]/1000)/19222</f>
        <v>4.0341119550515038E-2</v>
      </c>
    </row>
    <row r="101" spans="1:4" x14ac:dyDescent="0.2">
      <c r="A101" s="10">
        <v>38231</v>
      </c>
      <c r="B101" s="9">
        <v>785273</v>
      </c>
      <c r="C101" s="7">
        <v>3.8352696109934081E-2</v>
      </c>
      <c r="D101" s="7">
        <f>(Table4[[#This Row],[WALCL]]/1000)/19222</f>
        <v>4.0852824888148995E-2</v>
      </c>
    </row>
    <row r="102" spans="1:4" x14ac:dyDescent="0.2">
      <c r="A102" s="10">
        <v>38238</v>
      </c>
      <c r="B102" s="9">
        <v>788602</v>
      </c>
      <c r="C102" s="7">
        <v>3.8352696109934081E-2</v>
      </c>
      <c r="D102" s="7">
        <f>(Table4[[#This Row],[WALCL]]/1000)/19222</f>
        <v>4.10260118614088E-2</v>
      </c>
    </row>
    <row r="103" spans="1:4" x14ac:dyDescent="0.2">
      <c r="A103" s="10">
        <v>38245</v>
      </c>
      <c r="B103" s="9">
        <v>789128</v>
      </c>
      <c r="C103" s="7">
        <v>3.8352696109934081E-2</v>
      </c>
      <c r="D103" s="7">
        <f>(Table4[[#This Row],[WALCL]]/1000)/19222</f>
        <v>4.1053376339610863E-2</v>
      </c>
    </row>
    <row r="104" spans="1:4" x14ac:dyDescent="0.2">
      <c r="A104" s="10">
        <v>38252</v>
      </c>
      <c r="B104" s="9">
        <v>782124</v>
      </c>
      <c r="C104" s="7">
        <v>3.8352696109934081E-2</v>
      </c>
      <c r="D104" s="7">
        <f>(Table4[[#This Row],[WALCL]]/1000)/19222</f>
        <v>4.068900218499636E-2</v>
      </c>
    </row>
    <row r="105" spans="1:4" x14ac:dyDescent="0.2">
      <c r="A105" s="10">
        <v>38259</v>
      </c>
      <c r="B105" s="9">
        <v>786330</v>
      </c>
      <c r="C105" s="7">
        <v>3.8352696109934081E-2</v>
      </c>
      <c r="D105" s="7">
        <f>(Table4[[#This Row],[WALCL]]/1000)/19222</f>
        <v>4.0907813963167207E-2</v>
      </c>
    </row>
    <row r="106" spans="1:4" x14ac:dyDescent="0.2">
      <c r="A106" s="10">
        <v>38266</v>
      </c>
      <c r="B106" s="9">
        <v>781777</v>
      </c>
      <c r="C106" s="7">
        <v>4.0673005276731677E-2</v>
      </c>
      <c r="D106" s="7">
        <f>(Table4[[#This Row],[WALCL]]/1000)/19222</f>
        <v>4.0670949953178652E-2</v>
      </c>
    </row>
    <row r="107" spans="1:4" x14ac:dyDescent="0.2">
      <c r="A107" s="10">
        <v>38273</v>
      </c>
      <c r="B107" s="9">
        <v>795483</v>
      </c>
      <c r="C107" s="7">
        <v>4.0673005276731677E-2</v>
      </c>
      <c r="D107" s="7">
        <f>(Table4[[#This Row],[WALCL]]/1000)/19222</f>
        <v>4.1383987098116741E-2</v>
      </c>
    </row>
    <row r="108" spans="1:4" x14ac:dyDescent="0.2">
      <c r="A108" s="10">
        <v>38280</v>
      </c>
      <c r="B108" s="9">
        <v>784954</v>
      </c>
      <c r="C108" s="7">
        <v>4.0673005276731677E-2</v>
      </c>
      <c r="D108" s="7">
        <f>(Table4[[#This Row],[WALCL]]/1000)/19222</f>
        <v>4.0836229320570176E-2</v>
      </c>
    </row>
    <row r="109" spans="1:4" x14ac:dyDescent="0.2">
      <c r="A109" s="10">
        <v>38287</v>
      </c>
      <c r="B109" s="9">
        <v>791336</v>
      </c>
      <c r="C109" s="7">
        <v>4.0673005276731677E-2</v>
      </c>
      <c r="D109" s="7">
        <f>(Table4[[#This Row],[WALCL]]/1000)/19222</f>
        <v>4.1168244719592136E-2</v>
      </c>
    </row>
    <row r="110" spans="1:4" x14ac:dyDescent="0.2">
      <c r="A110" s="10">
        <v>38294</v>
      </c>
      <c r="B110" s="9">
        <v>790552</v>
      </c>
      <c r="C110" s="7">
        <v>4.0673005276731677E-2</v>
      </c>
      <c r="D110" s="7">
        <f>(Table4[[#This Row],[WALCL]]/1000)/19222</f>
        <v>4.1127458120903133E-2</v>
      </c>
    </row>
    <row r="111" spans="1:4" x14ac:dyDescent="0.2">
      <c r="A111" s="10">
        <v>38301</v>
      </c>
      <c r="B111" s="9">
        <v>800473</v>
      </c>
      <c r="C111" s="7">
        <v>4.0673005276731677E-2</v>
      </c>
      <c r="D111" s="7">
        <f>(Table4[[#This Row],[WALCL]]/1000)/19222</f>
        <v>4.164358547497659E-2</v>
      </c>
    </row>
    <row r="112" spans="1:4" x14ac:dyDescent="0.2">
      <c r="A112" s="10">
        <v>38308</v>
      </c>
      <c r="B112" s="9">
        <v>794090</v>
      </c>
      <c r="C112" s="7">
        <v>4.0673005276731677E-2</v>
      </c>
      <c r="D112" s="7">
        <f>(Table4[[#This Row],[WALCL]]/1000)/19222</f>
        <v>4.1311518052231821E-2</v>
      </c>
    </row>
    <row r="113" spans="1:4" x14ac:dyDescent="0.2">
      <c r="A113" s="10">
        <v>38315</v>
      </c>
      <c r="B113" s="9">
        <v>809956</v>
      </c>
      <c r="C113" s="7">
        <v>4.0673005276731677E-2</v>
      </c>
      <c r="D113" s="7">
        <f>(Table4[[#This Row],[WALCL]]/1000)/19222</f>
        <v>4.2136926438455936E-2</v>
      </c>
    </row>
    <row r="114" spans="1:4" x14ac:dyDescent="0.2">
      <c r="A114" s="10">
        <v>38322</v>
      </c>
      <c r="B114" s="9">
        <v>807063</v>
      </c>
      <c r="C114" s="7">
        <v>4.0673005276731677E-2</v>
      </c>
      <c r="D114" s="7">
        <f>(Table4[[#This Row],[WALCL]]/1000)/19222</f>
        <v>4.1986421808344603E-2</v>
      </c>
    </row>
    <row r="115" spans="1:4" x14ac:dyDescent="0.2">
      <c r="A115" s="10">
        <v>38329</v>
      </c>
      <c r="B115" s="9">
        <v>808495</v>
      </c>
      <c r="C115" s="7">
        <v>4.0673005276731677E-2</v>
      </c>
      <c r="D115" s="7">
        <f>(Table4[[#This Row],[WALCL]]/1000)/19222</f>
        <v>4.2060919779419413E-2</v>
      </c>
    </row>
    <row r="116" spans="1:4" x14ac:dyDescent="0.2">
      <c r="A116" s="10">
        <v>38336</v>
      </c>
      <c r="B116" s="9">
        <v>807028</v>
      </c>
      <c r="C116" s="7">
        <v>4.0673005276731677E-2</v>
      </c>
      <c r="D116" s="7">
        <f>(Table4[[#This Row],[WALCL]]/1000)/19222</f>
        <v>4.1984600978045988E-2</v>
      </c>
    </row>
    <row r="117" spans="1:4" x14ac:dyDescent="0.2">
      <c r="A117" s="10">
        <v>38343</v>
      </c>
      <c r="B117" s="9">
        <v>811333</v>
      </c>
      <c r="C117" s="7">
        <v>4.0673005276731677E-2</v>
      </c>
      <c r="D117" s="7">
        <f>(Table4[[#This Row],[WALCL]]/1000)/19222</f>
        <v>4.2208563104775776E-2</v>
      </c>
    </row>
    <row r="118" spans="1:4" x14ac:dyDescent="0.2">
      <c r="A118" s="10">
        <v>38350</v>
      </c>
      <c r="B118" s="9">
        <v>810944</v>
      </c>
      <c r="C118" s="7">
        <v>4.0673005276731677E-2</v>
      </c>
      <c r="D118" s="7">
        <f>(Table4[[#This Row],[WALCL]]/1000)/19222</f>
        <v>4.2188325876599729E-2</v>
      </c>
    </row>
    <row r="119" spans="1:4" x14ac:dyDescent="0.2">
      <c r="A119" s="10">
        <v>38357</v>
      </c>
      <c r="B119" s="9">
        <v>815702</v>
      </c>
      <c r="C119" s="7">
        <v>4.5019203176393408E-2</v>
      </c>
      <c r="D119" s="7">
        <f>(Table4[[#This Row],[WALCL]]/1000)/19222</f>
        <v>4.243585474976589E-2</v>
      </c>
    </row>
    <row r="120" spans="1:4" x14ac:dyDescent="0.2">
      <c r="A120" s="10">
        <v>38364</v>
      </c>
      <c r="B120" s="9">
        <v>798455</v>
      </c>
      <c r="C120" s="7">
        <v>4.5019203176393408E-2</v>
      </c>
      <c r="D120" s="7">
        <f>(Table4[[#This Row],[WALCL]]/1000)/19222</f>
        <v>4.1538601602330666E-2</v>
      </c>
    </row>
    <row r="121" spans="1:4" x14ac:dyDescent="0.2">
      <c r="A121" s="10">
        <v>38371</v>
      </c>
      <c r="B121" s="9">
        <v>806960</v>
      </c>
      <c r="C121" s="7">
        <v>4.5019203176393408E-2</v>
      </c>
      <c r="D121" s="7">
        <f>(Table4[[#This Row],[WALCL]]/1000)/19222</f>
        <v>4.1981063364894391E-2</v>
      </c>
    </row>
    <row r="122" spans="1:4" x14ac:dyDescent="0.2">
      <c r="A122" s="10">
        <v>38378</v>
      </c>
      <c r="B122" s="9">
        <v>807262</v>
      </c>
      <c r="C122" s="7">
        <v>4.5019203176393408E-2</v>
      </c>
      <c r="D122" s="7">
        <f>(Table4[[#This Row],[WALCL]]/1000)/19222</f>
        <v>4.1996774529185307E-2</v>
      </c>
    </row>
    <row r="123" spans="1:4" x14ac:dyDescent="0.2">
      <c r="A123" s="10">
        <v>38385</v>
      </c>
      <c r="B123" s="9">
        <v>804746</v>
      </c>
      <c r="C123" s="7">
        <v>4.5019203176393408E-2</v>
      </c>
      <c r="D123" s="7">
        <f>(Table4[[#This Row],[WALCL]]/1000)/19222</f>
        <v>4.1865882842576217E-2</v>
      </c>
    </row>
    <row r="124" spans="1:4" x14ac:dyDescent="0.2">
      <c r="A124" s="10">
        <v>38392</v>
      </c>
      <c r="B124" s="9">
        <v>797299</v>
      </c>
      <c r="C124" s="7">
        <v>4.5019203176393408E-2</v>
      </c>
      <c r="D124" s="7">
        <f>(Table4[[#This Row],[WALCL]]/1000)/19222</f>
        <v>4.1478462178753513E-2</v>
      </c>
    </row>
    <row r="125" spans="1:4" x14ac:dyDescent="0.2">
      <c r="A125" s="10">
        <v>38399</v>
      </c>
      <c r="B125" s="9">
        <v>795606</v>
      </c>
      <c r="C125" s="7">
        <v>4.5019203176393408E-2</v>
      </c>
      <c r="D125" s="7">
        <f>(Table4[[#This Row],[WALCL]]/1000)/19222</f>
        <v>4.1390386016023309E-2</v>
      </c>
    </row>
    <row r="126" spans="1:4" x14ac:dyDescent="0.2">
      <c r="A126" s="10">
        <v>38406</v>
      </c>
      <c r="B126" s="9">
        <v>804576</v>
      </c>
      <c r="C126" s="7">
        <v>4.5019203176393408E-2</v>
      </c>
      <c r="D126" s="7">
        <f>(Table4[[#This Row],[WALCL]]/1000)/19222</f>
        <v>4.1857038809697225E-2</v>
      </c>
    </row>
    <row r="127" spans="1:4" x14ac:dyDescent="0.2">
      <c r="A127" s="10">
        <v>38413</v>
      </c>
      <c r="B127" s="9">
        <v>801252</v>
      </c>
      <c r="C127" s="7">
        <v>4.5019203176393408E-2</v>
      </c>
      <c r="D127" s="7">
        <f>(Table4[[#This Row],[WALCL]]/1000)/19222</f>
        <v>4.1684111955051499E-2</v>
      </c>
    </row>
    <row r="128" spans="1:4" x14ac:dyDescent="0.2">
      <c r="A128" s="10">
        <v>38420</v>
      </c>
      <c r="B128" s="9">
        <v>799250</v>
      </c>
      <c r="C128" s="7">
        <v>4.5019203176393408E-2</v>
      </c>
      <c r="D128" s="7">
        <f>(Table4[[#This Row],[WALCL]]/1000)/19222</f>
        <v>4.1579960461970655E-2</v>
      </c>
    </row>
    <row r="129" spans="1:4" x14ac:dyDescent="0.2">
      <c r="A129" s="10">
        <v>38427</v>
      </c>
      <c r="B129" s="9">
        <v>807211</v>
      </c>
      <c r="C129" s="7">
        <v>4.5019203176393408E-2</v>
      </c>
      <c r="D129" s="7">
        <f>(Table4[[#This Row],[WALCL]]/1000)/19222</f>
        <v>4.1994121319321613E-2</v>
      </c>
    </row>
    <row r="130" spans="1:4" x14ac:dyDescent="0.2">
      <c r="A130" s="10">
        <v>38434</v>
      </c>
      <c r="B130" s="9">
        <v>797094</v>
      </c>
      <c r="C130" s="7">
        <v>4.5019203176393408E-2</v>
      </c>
      <c r="D130" s="7">
        <f>(Table4[[#This Row],[WALCL]]/1000)/19222</f>
        <v>4.1467797315575906E-2</v>
      </c>
    </row>
    <row r="131" spans="1:4" x14ac:dyDescent="0.2">
      <c r="A131" s="10">
        <v>38441</v>
      </c>
      <c r="B131" s="9">
        <v>807551</v>
      </c>
      <c r="C131" s="7">
        <v>4.5019203176393408E-2</v>
      </c>
      <c r="D131" s="7">
        <f>(Table4[[#This Row],[WALCL]]/1000)/19222</f>
        <v>4.2011809385079597E-2</v>
      </c>
    </row>
    <row r="132" spans="1:4" x14ac:dyDescent="0.2">
      <c r="A132" s="10">
        <v>38448</v>
      </c>
      <c r="B132" s="9">
        <v>797327</v>
      </c>
      <c r="C132" s="7">
        <v>1.8590669564128914E-2</v>
      </c>
      <c r="D132" s="7">
        <f>(Table4[[#This Row],[WALCL]]/1000)/19222</f>
        <v>4.1479918842992403E-2</v>
      </c>
    </row>
    <row r="133" spans="1:4" x14ac:dyDescent="0.2">
      <c r="A133" s="10">
        <v>38455</v>
      </c>
      <c r="B133" s="9">
        <v>805707</v>
      </c>
      <c r="C133" s="7">
        <v>1.8590669564128914E-2</v>
      </c>
      <c r="D133" s="7">
        <f>(Table4[[#This Row],[WALCL]]/1000)/19222</f>
        <v>4.1915877640203936E-2</v>
      </c>
    </row>
    <row r="134" spans="1:4" x14ac:dyDescent="0.2">
      <c r="A134" s="10">
        <v>38462</v>
      </c>
      <c r="B134" s="9">
        <v>801793</v>
      </c>
      <c r="C134" s="7">
        <v>1.8590669564128914E-2</v>
      </c>
      <c r="D134" s="7">
        <f>(Table4[[#This Row],[WALCL]]/1000)/19222</f>
        <v>4.1712256789095827E-2</v>
      </c>
    </row>
    <row r="135" spans="1:4" x14ac:dyDescent="0.2">
      <c r="A135" s="10">
        <v>38469</v>
      </c>
      <c r="B135" s="9">
        <v>809797</v>
      </c>
      <c r="C135" s="7">
        <v>1.8590669564128914E-2</v>
      </c>
      <c r="D135" s="7">
        <f>(Table4[[#This Row],[WALCL]]/1000)/19222</f>
        <v>4.2128654666527938E-2</v>
      </c>
    </row>
    <row r="136" spans="1:4" x14ac:dyDescent="0.2">
      <c r="A136" s="10">
        <v>38476</v>
      </c>
      <c r="B136" s="9">
        <v>802412</v>
      </c>
      <c r="C136" s="7">
        <v>1.8590669564128914E-2</v>
      </c>
      <c r="D136" s="7">
        <f>(Table4[[#This Row],[WALCL]]/1000)/19222</f>
        <v>4.1744459473519929E-2</v>
      </c>
    </row>
    <row r="137" spans="1:4" x14ac:dyDescent="0.2">
      <c r="A137" s="10">
        <v>38483</v>
      </c>
      <c r="B137" s="9">
        <v>808378</v>
      </c>
      <c r="C137" s="7">
        <v>1.8590669564128914E-2</v>
      </c>
      <c r="D137" s="7">
        <f>(Table4[[#This Row],[WALCL]]/1000)/19222</f>
        <v>4.2054833003849761E-2</v>
      </c>
    </row>
    <row r="138" spans="1:4" x14ac:dyDescent="0.2">
      <c r="A138" s="10">
        <v>38490</v>
      </c>
      <c r="B138" s="9">
        <v>801546</v>
      </c>
      <c r="C138" s="7">
        <v>1.8590669564128914E-2</v>
      </c>
      <c r="D138" s="7">
        <f>(Table4[[#This Row],[WALCL]]/1000)/19222</f>
        <v>4.1699406929559882E-2</v>
      </c>
    </row>
    <row r="139" spans="1:4" x14ac:dyDescent="0.2">
      <c r="A139" s="10">
        <v>38497</v>
      </c>
      <c r="B139" s="9">
        <v>810160</v>
      </c>
      <c r="C139" s="7">
        <v>1.8590669564128914E-2</v>
      </c>
      <c r="D139" s="7">
        <f>(Table4[[#This Row],[WALCL]]/1000)/19222</f>
        <v>4.2147539277910727E-2</v>
      </c>
    </row>
    <row r="140" spans="1:4" x14ac:dyDescent="0.2">
      <c r="A140" s="10">
        <v>38504</v>
      </c>
      <c r="B140" s="9">
        <v>817335</v>
      </c>
      <c r="C140" s="7">
        <v>1.8590669564128914E-2</v>
      </c>
      <c r="D140" s="7">
        <f>(Table4[[#This Row],[WALCL]]/1000)/19222</f>
        <v>4.2520809489127044E-2</v>
      </c>
    </row>
    <row r="141" spans="1:4" x14ac:dyDescent="0.2">
      <c r="A141" s="10">
        <v>38511</v>
      </c>
      <c r="B141" s="9">
        <v>814172</v>
      </c>
      <c r="C141" s="7">
        <v>1.8590669564128914E-2</v>
      </c>
      <c r="D141" s="7">
        <f>(Table4[[#This Row],[WALCL]]/1000)/19222</f>
        <v>4.2356258453854961E-2</v>
      </c>
    </row>
    <row r="142" spans="1:4" x14ac:dyDescent="0.2">
      <c r="A142" s="10">
        <v>38518</v>
      </c>
      <c r="B142" s="9">
        <v>811198</v>
      </c>
      <c r="C142" s="7">
        <v>1.8590669564128914E-2</v>
      </c>
      <c r="D142" s="7">
        <f>(Table4[[#This Row],[WALCL]]/1000)/19222</f>
        <v>4.2201539902195398E-2</v>
      </c>
    </row>
    <row r="143" spans="1:4" x14ac:dyDescent="0.2">
      <c r="A143" s="10">
        <v>38525</v>
      </c>
      <c r="B143" s="9">
        <v>810429</v>
      </c>
      <c r="C143" s="7">
        <v>1.8590669564128914E-2</v>
      </c>
      <c r="D143" s="7">
        <f>(Table4[[#This Row],[WALCL]]/1000)/19222</f>
        <v>4.216153365934866E-2</v>
      </c>
    </row>
    <row r="144" spans="1:4" x14ac:dyDescent="0.2">
      <c r="A144" s="10">
        <v>38532</v>
      </c>
      <c r="B144" s="9">
        <v>810082</v>
      </c>
      <c r="C144" s="7">
        <v>1.8590669564128914E-2</v>
      </c>
      <c r="D144" s="7">
        <f>(Table4[[#This Row],[WALCL]]/1000)/19222</f>
        <v>4.2143481427530952E-2</v>
      </c>
    </row>
    <row r="145" spans="1:4" x14ac:dyDescent="0.2">
      <c r="A145" s="10">
        <v>38539</v>
      </c>
      <c r="B145" s="9">
        <v>821556</v>
      </c>
      <c r="C145" s="7">
        <v>3.6132878440458427E-2</v>
      </c>
      <c r="D145" s="7">
        <f>(Table4[[#This Row],[WALCL]]/1000)/19222</f>
        <v>4.2740401623140155E-2</v>
      </c>
    </row>
    <row r="146" spans="1:4" x14ac:dyDescent="0.2">
      <c r="A146" s="10">
        <v>38546</v>
      </c>
      <c r="B146" s="9">
        <v>808861</v>
      </c>
      <c r="C146" s="7">
        <v>3.6132878440458427E-2</v>
      </c>
      <c r="D146" s="7">
        <f>(Table4[[#This Row],[WALCL]]/1000)/19222</f>
        <v>4.2079960461970656E-2</v>
      </c>
    </row>
    <row r="147" spans="1:4" x14ac:dyDescent="0.2">
      <c r="A147" s="10">
        <v>38553</v>
      </c>
      <c r="B147" s="9">
        <v>816804</v>
      </c>
      <c r="C147" s="7">
        <v>3.6132878440458427E-2</v>
      </c>
      <c r="D147" s="7">
        <f>(Table4[[#This Row],[WALCL]]/1000)/19222</f>
        <v>4.2493184892310895E-2</v>
      </c>
    </row>
    <row r="148" spans="1:4" x14ac:dyDescent="0.2">
      <c r="A148" s="10">
        <v>38560</v>
      </c>
      <c r="B148" s="9">
        <v>814259</v>
      </c>
      <c r="C148" s="7">
        <v>3.6132878440458427E-2</v>
      </c>
      <c r="D148" s="7">
        <f>(Table4[[#This Row],[WALCL]]/1000)/19222</f>
        <v>4.2360784517740092E-2</v>
      </c>
    </row>
    <row r="149" spans="1:4" x14ac:dyDescent="0.2">
      <c r="A149" s="10">
        <v>38567</v>
      </c>
      <c r="B149" s="9">
        <v>818841</v>
      </c>
      <c r="C149" s="7">
        <v>3.6132878440458427E-2</v>
      </c>
      <c r="D149" s="7">
        <f>(Table4[[#This Row],[WALCL]]/1000)/19222</f>
        <v>4.2599157215690353E-2</v>
      </c>
    </row>
    <row r="150" spans="1:4" x14ac:dyDescent="0.2">
      <c r="A150" s="10">
        <v>38574</v>
      </c>
      <c r="B150" s="9">
        <v>808544</v>
      </c>
      <c r="C150" s="7">
        <v>3.6132878440458427E-2</v>
      </c>
      <c r="D150" s="7">
        <f>(Table4[[#This Row],[WALCL]]/1000)/19222</f>
        <v>4.2063468941837476E-2</v>
      </c>
    </row>
    <row r="151" spans="1:4" x14ac:dyDescent="0.2">
      <c r="A151" s="10">
        <v>38581</v>
      </c>
      <c r="B151" s="9">
        <v>813774</v>
      </c>
      <c r="C151" s="7">
        <v>3.6132878440458427E-2</v>
      </c>
      <c r="D151" s="7">
        <f>(Table4[[#This Row],[WALCL]]/1000)/19222</f>
        <v>4.2335553012173552E-2</v>
      </c>
    </row>
    <row r="152" spans="1:4" x14ac:dyDescent="0.2">
      <c r="A152" s="10">
        <v>38588</v>
      </c>
      <c r="B152" s="9">
        <v>811313</v>
      </c>
      <c r="C152" s="7">
        <v>3.6132878440458427E-2</v>
      </c>
      <c r="D152" s="7">
        <f>(Table4[[#This Row],[WALCL]]/1000)/19222</f>
        <v>4.2207522630319426E-2</v>
      </c>
    </row>
    <row r="153" spans="1:4" x14ac:dyDescent="0.2">
      <c r="A153" s="10">
        <v>38595</v>
      </c>
      <c r="B153" s="9">
        <v>823237</v>
      </c>
      <c r="C153" s="7">
        <v>3.6132878440458427E-2</v>
      </c>
      <c r="D153" s="7">
        <f>(Table4[[#This Row],[WALCL]]/1000)/19222</f>
        <v>4.2827853501196542E-2</v>
      </c>
    </row>
    <row r="154" spans="1:4" x14ac:dyDescent="0.2">
      <c r="A154" s="10">
        <v>38602</v>
      </c>
      <c r="B154" s="9">
        <v>822500</v>
      </c>
      <c r="C154" s="7">
        <v>3.6132878440458427E-2</v>
      </c>
      <c r="D154" s="7">
        <f>(Table4[[#This Row],[WALCL]]/1000)/19222</f>
        <v>4.2789512017479971E-2</v>
      </c>
    </row>
    <row r="155" spans="1:4" x14ac:dyDescent="0.2">
      <c r="A155" s="10">
        <v>38609</v>
      </c>
      <c r="B155" s="9">
        <v>823590</v>
      </c>
      <c r="C155" s="7">
        <v>3.6132878440458427E-2</v>
      </c>
      <c r="D155" s="7">
        <f>(Table4[[#This Row],[WALCL]]/1000)/19222</f>
        <v>4.2846217875351159E-2</v>
      </c>
    </row>
    <row r="156" spans="1:4" x14ac:dyDescent="0.2">
      <c r="A156" s="10">
        <v>38616</v>
      </c>
      <c r="B156" s="9">
        <v>812926</v>
      </c>
      <c r="C156" s="7">
        <v>3.6132878440458427E-2</v>
      </c>
      <c r="D156" s="7">
        <f>(Table4[[#This Row],[WALCL]]/1000)/19222</f>
        <v>4.2291436895224223E-2</v>
      </c>
    </row>
    <row r="157" spans="1:4" x14ac:dyDescent="0.2">
      <c r="A157" s="10">
        <v>38623</v>
      </c>
      <c r="B157" s="9">
        <v>823771</v>
      </c>
      <c r="C157" s="7">
        <v>3.6132878440458427E-2</v>
      </c>
      <c r="D157" s="7">
        <f>(Table4[[#This Row],[WALCL]]/1000)/19222</f>
        <v>4.2855634169181145E-2</v>
      </c>
    </row>
    <row r="158" spans="1:4" x14ac:dyDescent="0.2">
      <c r="A158" s="10">
        <v>38630</v>
      </c>
      <c r="B158" s="9">
        <v>817137</v>
      </c>
      <c r="C158" s="7">
        <v>2.5498781151969796E-2</v>
      </c>
      <c r="D158" s="7">
        <f>(Table4[[#This Row],[WALCL]]/1000)/19222</f>
        <v>4.2510508792009155E-2</v>
      </c>
    </row>
    <row r="159" spans="1:4" x14ac:dyDescent="0.2">
      <c r="A159" s="10">
        <v>38637</v>
      </c>
      <c r="B159" s="9">
        <v>826306</v>
      </c>
      <c r="C159" s="7">
        <v>2.5498781151969796E-2</v>
      </c>
      <c r="D159" s="7">
        <f>(Table4[[#This Row],[WALCL]]/1000)/19222</f>
        <v>4.2987514306523776E-2</v>
      </c>
    </row>
    <row r="160" spans="1:4" x14ac:dyDescent="0.2">
      <c r="A160" s="10">
        <v>38644</v>
      </c>
      <c r="B160" s="9">
        <v>814281</v>
      </c>
      <c r="C160" s="7">
        <v>2.5498781151969796E-2</v>
      </c>
      <c r="D160" s="7">
        <f>(Table4[[#This Row],[WALCL]]/1000)/19222</f>
        <v>4.2361929039642074E-2</v>
      </c>
    </row>
    <row r="161" spans="1:4" x14ac:dyDescent="0.2">
      <c r="A161" s="10">
        <v>38651</v>
      </c>
      <c r="B161" s="9">
        <v>819105</v>
      </c>
      <c r="C161" s="7">
        <v>2.5498781151969796E-2</v>
      </c>
      <c r="D161" s="7">
        <f>(Table4[[#This Row],[WALCL]]/1000)/19222</f>
        <v>4.26128914785142E-2</v>
      </c>
    </row>
    <row r="162" spans="1:4" x14ac:dyDescent="0.2">
      <c r="A162" s="10">
        <v>38658</v>
      </c>
      <c r="B162" s="9">
        <v>814571</v>
      </c>
      <c r="C162" s="7">
        <v>2.5498781151969796E-2</v>
      </c>
      <c r="D162" s="7">
        <f>(Table4[[#This Row],[WALCL]]/1000)/19222</f>
        <v>4.2377015919259187E-2</v>
      </c>
    </row>
    <row r="163" spans="1:4" x14ac:dyDescent="0.2">
      <c r="A163" s="10">
        <v>38665</v>
      </c>
      <c r="B163" s="9">
        <v>824991</v>
      </c>
      <c r="C163" s="7">
        <v>2.5498781151969796E-2</v>
      </c>
      <c r="D163" s="7">
        <f>(Table4[[#This Row],[WALCL]]/1000)/19222</f>
        <v>4.2919103111018625E-2</v>
      </c>
    </row>
    <row r="164" spans="1:4" x14ac:dyDescent="0.2">
      <c r="A164" s="10">
        <v>38672</v>
      </c>
      <c r="B164" s="9">
        <v>823263</v>
      </c>
      <c r="C164" s="7">
        <v>2.5498781151969796E-2</v>
      </c>
      <c r="D164" s="7">
        <f>(Table4[[#This Row],[WALCL]]/1000)/19222</f>
        <v>4.2829206117989807E-2</v>
      </c>
    </row>
    <row r="165" spans="1:4" x14ac:dyDescent="0.2">
      <c r="A165" s="10">
        <v>38679</v>
      </c>
      <c r="B165" s="9">
        <v>833124</v>
      </c>
      <c r="C165" s="7">
        <v>2.5498781151969796E-2</v>
      </c>
      <c r="D165" s="7">
        <f>(Table4[[#This Row],[WALCL]]/1000)/19222</f>
        <v>4.3342212048694206E-2</v>
      </c>
    </row>
    <row r="166" spans="1:4" x14ac:dyDescent="0.2">
      <c r="A166" s="10">
        <v>38686</v>
      </c>
      <c r="B166" s="9">
        <v>835059</v>
      </c>
      <c r="C166" s="7">
        <v>2.5498781151969796E-2</v>
      </c>
      <c r="D166" s="7">
        <f>(Table4[[#This Row],[WALCL]]/1000)/19222</f>
        <v>4.3442877952346269E-2</v>
      </c>
    </row>
    <row r="167" spans="1:4" x14ac:dyDescent="0.2">
      <c r="A167" s="10">
        <v>38693</v>
      </c>
      <c r="B167" s="9">
        <v>833250</v>
      </c>
      <c r="C167" s="7">
        <v>2.5498781151969796E-2</v>
      </c>
      <c r="D167" s="7">
        <f>(Table4[[#This Row],[WALCL]]/1000)/19222</f>
        <v>4.3348767037769222E-2</v>
      </c>
    </row>
    <row r="168" spans="1:4" x14ac:dyDescent="0.2">
      <c r="A168" s="10">
        <v>38700</v>
      </c>
      <c r="B168" s="9">
        <v>830950</v>
      </c>
      <c r="C168" s="7">
        <v>2.5498781151969796E-2</v>
      </c>
      <c r="D168" s="7">
        <f>(Table4[[#This Row],[WALCL]]/1000)/19222</f>
        <v>4.3229112475288732E-2</v>
      </c>
    </row>
    <row r="169" spans="1:4" x14ac:dyDescent="0.2">
      <c r="A169" s="10">
        <v>38707</v>
      </c>
      <c r="B169" s="9">
        <v>848317</v>
      </c>
      <c r="C169" s="7">
        <v>2.5498781151969796E-2</v>
      </c>
      <c r="D169" s="7">
        <f>(Table4[[#This Row],[WALCL]]/1000)/19222</f>
        <v>4.4132608469462077E-2</v>
      </c>
    </row>
    <row r="170" spans="1:4" x14ac:dyDescent="0.2">
      <c r="A170" s="10">
        <v>38714</v>
      </c>
      <c r="B170" s="9">
        <v>847700</v>
      </c>
      <c r="C170" s="7">
        <v>2.5498781151969796E-2</v>
      </c>
      <c r="D170" s="7">
        <f>(Table4[[#This Row],[WALCL]]/1000)/19222</f>
        <v>4.4100509832483613E-2</v>
      </c>
    </row>
    <row r="171" spans="1:4" x14ac:dyDescent="0.2">
      <c r="A171" s="10">
        <v>38721</v>
      </c>
      <c r="B171" s="9">
        <v>851856</v>
      </c>
      <c r="C171" s="7">
        <v>5.4282731243719295E-2</v>
      </c>
      <c r="D171" s="7">
        <f>(Table4[[#This Row],[WALCL]]/1000)/19222</f>
        <v>4.4316720424513581E-2</v>
      </c>
    </row>
    <row r="172" spans="1:4" x14ac:dyDescent="0.2">
      <c r="A172" s="10">
        <v>38728</v>
      </c>
      <c r="B172" s="9">
        <v>829357</v>
      </c>
      <c r="C172" s="7">
        <v>5.4282731243719295E-2</v>
      </c>
      <c r="D172" s="7">
        <f>(Table4[[#This Row],[WALCL]]/1000)/19222</f>
        <v>4.3146238684840285E-2</v>
      </c>
    </row>
    <row r="173" spans="1:4" x14ac:dyDescent="0.2">
      <c r="A173" s="10">
        <v>38735</v>
      </c>
      <c r="B173" s="9">
        <v>836042</v>
      </c>
      <c r="C173" s="7">
        <v>5.4282731243719295E-2</v>
      </c>
      <c r="D173" s="7">
        <f>(Table4[[#This Row],[WALCL]]/1000)/19222</f>
        <v>4.3494017271875976E-2</v>
      </c>
    </row>
    <row r="174" spans="1:4" x14ac:dyDescent="0.2">
      <c r="A174" s="10">
        <v>38742</v>
      </c>
      <c r="B174" s="9">
        <v>828901</v>
      </c>
      <c r="C174" s="7">
        <v>5.4282731243719295E-2</v>
      </c>
      <c r="D174" s="7">
        <f>(Table4[[#This Row],[WALCL]]/1000)/19222</f>
        <v>4.3122515867235457E-2</v>
      </c>
    </row>
    <row r="175" spans="1:4" x14ac:dyDescent="0.2">
      <c r="A175" s="10">
        <v>38749</v>
      </c>
      <c r="B175" s="9">
        <v>831808</v>
      </c>
      <c r="C175" s="7">
        <v>5.4282731243719295E-2</v>
      </c>
      <c r="D175" s="7">
        <f>(Table4[[#This Row],[WALCL]]/1000)/19222</f>
        <v>4.327374882946624E-2</v>
      </c>
    </row>
    <row r="176" spans="1:4" x14ac:dyDescent="0.2">
      <c r="A176" s="10">
        <v>38756</v>
      </c>
      <c r="B176" s="9">
        <v>827613</v>
      </c>
      <c r="C176" s="7">
        <v>5.4282731243719295E-2</v>
      </c>
      <c r="D176" s="7">
        <f>(Table4[[#This Row],[WALCL]]/1000)/19222</f>
        <v>4.3055509312246387E-2</v>
      </c>
    </row>
    <row r="177" spans="1:4" x14ac:dyDescent="0.2">
      <c r="A177" s="10">
        <v>38763</v>
      </c>
      <c r="B177" s="9">
        <v>835240</v>
      </c>
      <c r="C177" s="7">
        <v>5.4282731243719295E-2</v>
      </c>
      <c r="D177" s="7">
        <f>(Table4[[#This Row],[WALCL]]/1000)/19222</f>
        <v>4.3452294246176255E-2</v>
      </c>
    </row>
    <row r="178" spans="1:4" x14ac:dyDescent="0.2">
      <c r="A178" s="10">
        <v>38770</v>
      </c>
      <c r="B178" s="9">
        <v>840555</v>
      </c>
      <c r="C178" s="7">
        <v>5.4282731243719295E-2</v>
      </c>
      <c r="D178" s="7">
        <f>(Table4[[#This Row],[WALCL]]/1000)/19222</f>
        <v>4.3728800332951824E-2</v>
      </c>
    </row>
    <row r="179" spans="1:4" x14ac:dyDescent="0.2">
      <c r="A179" s="10">
        <v>38777</v>
      </c>
      <c r="B179" s="9">
        <v>839356</v>
      </c>
      <c r="C179" s="7">
        <v>5.4282731243719295E-2</v>
      </c>
      <c r="D179" s="7">
        <f>(Table4[[#This Row],[WALCL]]/1000)/19222</f>
        <v>4.3666423889293517E-2</v>
      </c>
    </row>
    <row r="180" spans="1:4" x14ac:dyDescent="0.2">
      <c r="A180" s="10">
        <v>38784</v>
      </c>
      <c r="B180" s="9">
        <v>839234</v>
      </c>
      <c r="C180" s="7">
        <v>5.4282731243719295E-2</v>
      </c>
      <c r="D180" s="7">
        <f>(Table4[[#This Row],[WALCL]]/1000)/19222</f>
        <v>4.3660076995109771E-2</v>
      </c>
    </row>
    <row r="181" spans="1:4" x14ac:dyDescent="0.2">
      <c r="A181" s="10">
        <v>38791</v>
      </c>
      <c r="B181" s="9">
        <v>843010</v>
      </c>
      <c r="C181" s="7">
        <v>5.4282731243719295E-2</v>
      </c>
      <c r="D181" s="7">
        <f>(Table4[[#This Row],[WALCL]]/1000)/19222</f>
        <v>4.3856518572469048E-2</v>
      </c>
    </row>
    <row r="182" spans="1:4" x14ac:dyDescent="0.2">
      <c r="A182" s="10">
        <v>38798</v>
      </c>
      <c r="B182" s="9">
        <v>838003</v>
      </c>
      <c r="C182" s="7">
        <v>5.4282731243719295E-2</v>
      </c>
      <c r="D182" s="7">
        <f>(Table4[[#This Row],[WALCL]]/1000)/19222</f>
        <v>4.3596035792321304E-2</v>
      </c>
    </row>
    <row r="183" spans="1:4" x14ac:dyDescent="0.2">
      <c r="A183" s="10">
        <v>38805</v>
      </c>
      <c r="B183" s="9">
        <v>833675</v>
      </c>
      <c r="C183" s="7">
        <v>5.4282731243719295E-2</v>
      </c>
      <c r="D183" s="7">
        <f>(Table4[[#This Row],[WALCL]]/1000)/19222</f>
        <v>4.3370877119966705E-2</v>
      </c>
    </row>
    <row r="184" spans="1:4" x14ac:dyDescent="0.2">
      <c r="A184" s="10">
        <v>38812</v>
      </c>
      <c r="B184" s="9">
        <v>834589</v>
      </c>
      <c r="C184" s="7">
        <v>9.380810007620255E-3</v>
      </c>
      <c r="D184" s="7">
        <f>(Table4[[#This Row],[WALCL]]/1000)/19222</f>
        <v>4.3418426802622E-2</v>
      </c>
    </row>
    <row r="185" spans="1:4" x14ac:dyDescent="0.2">
      <c r="A185" s="10">
        <v>38819</v>
      </c>
      <c r="B185" s="9">
        <v>836862</v>
      </c>
      <c r="C185" s="7">
        <v>9.380810007620255E-3</v>
      </c>
      <c r="D185" s="7">
        <f>(Table4[[#This Row],[WALCL]]/1000)/19222</f>
        <v>4.3536676724586408E-2</v>
      </c>
    </row>
    <row r="186" spans="1:4" x14ac:dyDescent="0.2">
      <c r="A186" s="10">
        <v>38826</v>
      </c>
      <c r="B186" s="9">
        <v>836352</v>
      </c>
      <c r="C186" s="7">
        <v>9.380810007620255E-3</v>
      </c>
      <c r="D186" s="7">
        <f>(Table4[[#This Row],[WALCL]]/1000)/19222</f>
        <v>4.3510144625949432E-2</v>
      </c>
    </row>
    <row r="187" spans="1:4" x14ac:dyDescent="0.2">
      <c r="A187" s="10">
        <v>38833</v>
      </c>
      <c r="B187" s="9">
        <v>844572</v>
      </c>
      <c r="C187" s="7">
        <v>9.380810007620255E-3</v>
      </c>
      <c r="D187" s="7">
        <f>(Table4[[#This Row],[WALCL]]/1000)/19222</f>
        <v>4.3937779627510144E-2</v>
      </c>
    </row>
    <row r="188" spans="1:4" x14ac:dyDescent="0.2">
      <c r="A188" s="10">
        <v>38840</v>
      </c>
      <c r="B188" s="9">
        <v>843867</v>
      </c>
      <c r="C188" s="7">
        <v>9.380810007620255E-3</v>
      </c>
      <c r="D188" s="7">
        <f>(Table4[[#This Row],[WALCL]]/1000)/19222</f>
        <v>4.3901102902923733E-2</v>
      </c>
    </row>
    <row r="189" spans="1:4" x14ac:dyDescent="0.2">
      <c r="A189" s="10">
        <v>38847</v>
      </c>
      <c r="B189" s="9">
        <v>838405</v>
      </c>
      <c r="C189" s="7">
        <v>9.380810007620255E-3</v>
      </c>
      <c r="D189" s="7">
        <f>(Table4[[#This Row],[WALCL]]/1000)/19222</f>
        <v>4.3616949328893977E-2</v>
      </c>
    </row>
    <row r="190" spans="1:4" x14ac:dyDescent="0.2">
      <c r="A190" s="10">
        <v>38854</v>
      </c>
      <c r="B190" s="9">
        <v>838153</v>
      </c>
      <c r="C190" s="7">
        <v>9.380810007620255E-3</v>
      </c>
      <c r="D190" s="7">
        <f>(Table4[[#This Row],[WALCL]]/1000)/19222</f>
        <v>4.3603839350743939E-2</v>
      </c>
    </row>
    <row r="191" spans="1:4" x14ac:dyDescent="0.2">
      <c r="A191" s="10">
        <v>38861</v>
      </c>
      <c r="B191" s="9">
        <v>840251</v>
      </c>
      <c r="C191" s="7">
        <v>9.380810007620255E-3</v>
      </c>
      <c r="D191" s="7">
        <f>(Table4[[#This Row],[WALCL]]/1000)/19222</f>
        <v>4.371298512121527E-2</v>
      </c>
    </row>
    <row r="192" spans="1:4" x14ac:dyDescent="0.2">
      <c r="A192" s="10">
        <v>38868</v>
      </c>
      <c r="B192" s="9">
        <v>851580</v>
      </c>
      <c r="C192" s="7">
        <v>9.380810007620255E-3</v>
      </c>
      <c r="D192" s="7">
        <f>(Table4[[#This Row],[WALCL]]/1000)/19222</f>
        <v>4.4302361877015924E-2</v>
      </c>
    </row>
    <row r="193" spans="1:4" x14ac:dyDescent="0.2">
      <c r="A193" s="10">
        <v>38875</v>
      </c>
      <c r="B193" s="9">
        <v>849074</v>
      </c>
      <c r="C193" s="7">
        <v>9.380810007620255E-3</v>
      </c>
      <c r="D193" s="7">
        <f>(Table4[[#This Row],[WALCL]]/1000)/19222</f>
        <v>4.4171990427634998E-2</v>
      </c>
    </row>
    <row r="194" spans="1:4" x14ac:dyDescent="0.2">
      <c r="A194" s="10">
        <v>38882</v>
      </c>
      <c r="B194" s="9">
        <v>845869</v>
      </c>
      <c r="C194" s="7">
        <v>9.380810007620255E-3</v>
      </c>
      <c r="D194" s="7">
        <f>(Table4[[#This Row],[WALCL]]/1000)/19222</f>
        <v>4.4005254396004577E-2</v>
      </c>
    </row>
    <row r="195" spans="1:4" x14ac:dyDescent="0.2">
      <c r="A195" s="10">
        <v>38889</v>
      </c>
      <c r="B195" s="9">
        <v>844773</v>
      </c>
      <c r="C195" s="7">
        <v>9.380810007620255E-3</v>
      </c>
      <c r="D195" s="7">
        <f>(Table4[[#This Row],[WALCL]]/1000)/19222</f>
        <v>4.3948236395796487E-2</v>
      </c>
    </row>
    <row r="196" spans="1:4" x14ac:dyDescent="0.2">
      <c r="A196" s="10">
        <v>38896</v>
      </c>
      <c r="B196" s="9">
        <v>844436</v>
      </c>
      <c r="C196" s="7">
        <v>9.380810007620255E-3</v>
      </c>
      <c r="D196" s="7">
        <f>(Table4[[#This Row],[WALCL]]/1000)/19222</f>
        <v>4.3930704401206951E-2</v>
      </c>
    </row>
    <row r="197" spans="1:4" x14ac:dyDescent="0.2">
      <c r="A197" s="10">
        <v>38903</v>
      </c>
      <c r="B197" s="9">
        <v>851659</v>
      </c>
      <c r="C197" s="7">
        <v>6.1996732576512503E-3</v>
      </c>
      <c r="D197" s="7">
        <f>(Table4[[#This Row],[WALCL]]/1000)/19222</f>
        <v>4.4306471751118508E-2</v>
      </c>
    </row>
    <row r="198" spans="1:4" x14ac:dyDescent="0.2">
      <c r="A198" s="10">
        <v>38910</v>
      </c>
      <c r="B198" s="9">
        <v>844391</v>
      </c>
      <c r="C198" s="7">
        <v>6.1996732576512503E-3</v>
      </c>
      <c r="D198" s="7">
        <f>(Table4[[#This Row],[WALCL]]/1000)/19222</f>
        <v>4.3928363333680158E-2</v>
      </c>
    </row>
    <row r="199" spans="1:4" x14ac:dyDescent="0.2">
      <c r="A199" s="10">
        <v>38917</v>
      </c>
      <c r="B199" s="9">
        <v>849894</v>
      </c>
      <c r="C199" s="7">
        <v>6.1996732576512503E-3</v>
      </c>
      <c r="D199" s="7">
        <f>(Table4[[#This Row],[WALCL]]/1000)/19222</f>
        <v>4.4214649880345437E-2</v>
      </c>
    </row>
    <row r="200" spans="1:4" x14ac:dyDescent="0.2">
      <c r="A200" s="10">
        <v>38924</v>
      </c>
      <c r="B200" s="9">
        <v>841552</v>
      </c>
      <c r="C200" s="7">
        <v>6.1996732576512503E-3</v>
      </c>
      <c r="D200" s="7">
        <f>(Table4[[#This Row],[WALCL]]/1000)/19222</f>
        <v>4.3780667984600979E-2</v>
      </c>
    </row>
    <row r="201" spans="1:4" x14ac:dyDescent="0.2">
      <c r="A201" s="10">
        <v>38931</v>
      </c>
      <c r="B201" s="9">
        <v>850263</v>
      </c>
      <c r="C201" s="7">
        <v>6.1996732576512503E-3</v>
      </c>
      <c r="D201" s="7">
        <f>(Table4[[#This Row],[WALCL]]/1000)/19222</f>
        <v>4.4233846634065134E-2</v>
      </c>
    </row>
    <row r="202" spans="1:4" x14ac:dyDescent="0.2">
      <c r="A202" s="10">
        <v>38938</v>
      </c>
      <c r="B202" s="9">
        <v>840006</v>
      </c>
      <c r="C202" s="7">
        <v>6.1996732576512503E-3</v>
      </c>
      <c r="D202" s="7">
        <f>(Table4[[#This Row],[WALCL]]/1000)/19222</f>
        <v>4.3700239309124957E-2</v>
      </c>
    </row>
    <row r="203" spans="1:4" x14ac:dyDescent="0.2">
      <c r="A203" s="10">
        <v>38945</v>
      </c>
      <c r="B203" s="9">
        <v>842876</v>
      </c>
      <c r="C203" s="7">
        <v>6.1996732576512503E-3</v>
      </c>
      <c r="D203" s="7">
        <f>(Table4[[#This Row],[WALCL]]/1000)/19222</f>
        <v>4.3849547393611486E-2</v>
      </c>
    </row>
    <row r="204" spans="1:4" x14ac:dyDescent="0.2">
      <c r="A204" s="10">
        <v>38952</v>
      </c>
      <c r="B204" s="9">
        <v>837987</v>
      </c>
      <c r="C204" s="7">
        <v>6.1996732576512503E-3</v>
      </c>
      <c r="D204" s="7">
        <f>(Table4[[#This Row],[WALCL]]/1000)/19222</f>
        <v>4.3595203412756217E-2</v>
      </c>
    </row>
    <row r="205" spans="1:4" x14ac:dyDescent="0.2">
      <c r="A205" s="10">
        <v>38959</v>
      </c>
      <c r="B205" s="9">
        <v>850925</v>
      </c>
      <c r="C205" s="7">
        <v>6.1996732576512503E-3</v>
      </c>
      <c r="D205" s="7">
        <f>(Table4[[#This Row],[WALCL]]/1000)/19222</f>
        <v>4.4268286338570384E-2</v>
      </c>
    </row>
    <row r="206" spans="1:4" x14ac:dyDescent="0.2">
      <c r="A206" s="10">
        <v>38966</v>
      </c>
      <c r="B206" s="9">
        <v>848594</v>
      </c>
      <c r="C206" s="7">
        <v>6.1996732576512503E-3</v>
      </c>
      <c r="D206" s="7">
        <f>(Table4[[#This Row],[WALCL]]/1000)/19222</f>
        <v>4.4147019040682557E-2</v>
      </c>
    </row>
    <row r="207" spans="1:4" x14ac:dyDescent="0.2">
      <c r="A207" s="10">
        <v>38973</v>
      </c>
      <c r="B207" s="9">
        <v>840886</v>
      </c>
      <c r="C207" s="7">
        <v>6.1996732576512503E-3</v>
      </c>
      <c r="D207" s="7">
        <f>(Table4[[#This Row],[WALCL]]/1000)/19222</f>
        <v>4.3746020185204453E-2</v>
      </c>
    </row>
    <row r="208" spans="1:4" x14ac:dyDescent="0.2">
      <c r="A208" s="10">
        <v>38980</v>
      </c>
      <c r="B208" s="9">
        <v>838192</v>
      </c>
      <c r="C208" s="7">
        <v>6.1996732576512503E-3</v>
      </c>
      <c r="D208" s="7">
        <f>(Table4[[#This Row],[WALCL]]/1000)/19222</f>
        <v>4.3605868275933823E-2</v>
      </c>
    </row>
    <row r="209" spans="1:4" x14ac:dyDescent="0.2">
      <c r="A209" s="10">
        <v>38987</v>
      </c>
      <c r="B209" s="9">
        <v>849971</v>
      </c>
      <c r="C209" s="7">
        <v>6.1996732576512503E-3</v>
      </c>
      <c r="D209" s="7">
        <f>(Table4[[#This Row],[WALCL]]/1000)/19222</f>
        <v>4.4218655707002397E-2</v>
      </c>
    </row>
    <row r="210" spans="1:4" x14ac:dyDescent="0.2">
      <c r="A210" s="10">
        <v>38994</v>
      </c>
      <c r="B210" s="9">
        <v>842296</v>
      </c>
      <c r="C210" s="7">
        <v>3.4512491791432121E-2</v>
      </c>
      <c r="D210" s="7">
        <f>(Table4[[#This Row],[WALCL]]/1000)/19222</f>
        <v>4.3819373634377282E-2</v>
      </c>
    </row>
    <row r="211" spans="1:4" x14ac:dyDescent="0.2">
      <c r="A211" s="10">
        <v>39001</v>
      </c>
      <c r="B211" s="9">
        <v>859339</v>
      </c>
      <c r="C211" s="7">
        <v>3.4512491791432121E-2</v>
      </c>
      <c r="D211" s="7">
        <f>(Table4[[#This Row],[WALCL]]/1000)/19222</f>
        <v>4.4706013942357715E-2</v>
      </c>
    </row>
    <row r="212" spans="1:4" x14ac:dyDescent="0.2">
      <c r="A212" s="10">
        <v>39008</v>
      </c>
      <c r="B212" s="9">
        <v>844200</v>
      </c>
      <c r="C212" s="7">
        <v>3.4512491791432121E-2</v>
      </c>
      <c r="D212" s="7">
        <f>(Table4[[#This Row],[WALCL]]/1000)/19222</f>
        <v>4.3918426802622E-2</v>
      </c>
    </row>
    <row r="213" spans="1:4" x14ac:dyDescent="0.2">
      <c r="A213" s="10">
        <v>39015</v>
      </c>
      <c r="B213" s="9">
        <v>852648</v>
      </c>
      <c r="C213" s="7">
        <v>3.4512491791432121E-2</v>
      </c>
      <c r="D213" s="7">
        <f>(Table4[[#This Row],[WALCL]]/1000)/19222</f>
        <v>4.4357923212985123E-2</v>
      </c>
    </row>
    <row r="214" spans="1:4" x14ac:dyDescent="0.2">
      <c r="A214" s="10">
        <v>39022</v>
      </c>
      <c r="B214" s="9">
        <v>855536</v>
      </c>
      <c r="C214" s="7">
        <v>3.4512491791432121E-2</v>
      </c>
      <c r="D214" s="7">
        <f>(Table4[[#This Row],[WALCL]]/1000)/19222</f>
        <v>4.4508167724482364E-2</v>
      </c>
    </row>
    <row r="215" spans="1:4" x14ac:dyDescent="0.2">
      <c r="A215" s="10">
        <v>39029</v>
      </c>
      <c r="B215" s="9">
        <v>858630</v>
      </c>
      <c r="C215" s="7">
        <v>3.4512491791432121E-2</v>
      </c>
      <c r="D215" s="7">
        <f>(Table4[[#This Row],[WALCL]]/1000)/19222</f>
        <v>4.4669129122880034E-2</v>
      </c>
    </row>
    <row r="216" spans="1:4" x14ac:dyDescent="0.2">
      <c r="A216" s="10">
        <v>39036</v>
      </c>
      <c r="B216" s="9">
        <v>855551</v>
      </c>
      <c r="C216" s="7">
        <v>3.4512491791432121E-2</v>
      </c>
      <c r="D216" s="7">
        <f>(Table4[[#This Row],[WALCL]]/1000)/19222</f>
        <v>4.4508948080324628E-2</v>
      </c>
    </row>
    <row r="217" spans="1:4" x14ac:dyDescent="0.2">
      <c r="A217" s="10">
        <v>39043</v>
      </c>
      <c r="B217" s="9">
        <v>865126</v>
      </c>
      <c r="C217" s="7">
        <v>3.4512491791432121E-2</v>
      </c>
      <c r="D217" s="7">
        <f>(Table4[[#This Row],[WALCL]]/1000)/19222</f>
        <v>4.5007075226303192E-2</v>
      </c>
    </row>
    <row r="218" spans="1:4" x14ac:dyDescent="0.2">
      <c r="A218" s="10">
        <v>39050</v>
      </c>
      <c r="B218" s="9">
        <v>856671</v>
      </c>
      <c r="C218" s="7">
        <v>3.4512491791432121E-2</v>
      </c>
      <c r="D218" s="7">
        <f>(Table4[[#This Row],[WALCL]]/1000)/19222</f>
        <v>4.4567214649880345E-2</v>
      </c>
    </row>
    <row r="219" spans="1:4" x14ac:dyDescent="0.2">
      <c r="A219" s="10">
        <v>39057</v>
      </c>
      <c r="B219" s="9">
        <v>862178</v>
      </c>
      <c r="C219" s="7">
        <v>3.4512491791432121E-2</v>
      </c>
      <c r="D219" s="7">
        <f>(Table4[[#This Row],[WALCL]]/1000)/19222</f>
        <v>4.4853709291436894E-2</v>
      </c>
    </row>
    <row r="220" spans="1:4" x14ac:dyDescent="0.2">
      <c r="A220" s="10">
        <v>39064</v>
      </c>
      <c r="B220" s="9">
        <v>853851</v>
      </c>
      <c r="C220" s="7">
        <v>3.4512491791432121E-2</v>
      </c>
      <c r="D220" s="7">
        <f>(Table4[[#This Row],[WALCL]]/1000)/19222</f>
        <v>4.44205077515347E-2</v>
      </c>
    </row>
    <row r="221" spans="1:4" x14ac:dyDescent="0.2">
      <c r="A221" s="10">
        <v>39071</v>
      </c>
      <c r="B221" s="9">
        <v>865010</v>
      </c>
      <c r="C221" s="7">
        <v>3.4512491791432121E-2</v>
      </c>
      <c r="D221" s="7">
        <f>(Table4[[#This Row],[WALCL]]/1000)/19222</f>
        <v>4.5001040474456348E-2</v>
      </c>
    </row>
    <row r="222" spans="1:4" x14ac:dyDescent="0.2">
      <c r="A222" s="10">
        <v>39078</v>
      </c>
      <c r="B222" s="9">
        <v>869988</v>
      </c>
      <c r="C222" s="7">
        <v>3.4512491791432121E-2</v>
      </c>
      <c r="D222" s="7">
        <f>(Table4[[#This Row],[WALCL]]/1000)/19222</f>
        <v>4.5260014566642394E-2</v>
      </c>
    </row>
    <row r="223" spans="1:4" x14ac:dyDescent="0.2">
      <c r="A223" s="10">
        <v>39085</v>
      </c>
      <c r="B223" s="9">
        <v>874626</v>
      </c>
      <c r="C223" s="7">
        <v>9.453050753365444E-3</v>
      </c>
      <c r="D223" s="7">
        <f>(Table4[[#This Row],[WALCL]]/1000)/19222</f>
        <v>4.5501300593070441E-2</v>
      </c>
    </row>
    <row r="224" spans="1:4" x14ac:dyDescent="0.2">
      <c r="A224" s="10">
        <v>39092</v>
      </c>
      <c r="B224" s="9">
        <v>854819</v>
      </c>
      <c r="C224" s="7">
        <v>9.453050753365444E-3</v>
      </c>
      <c r="D224" s="7">
        <f>(Table4[[#This Row],[WALCL]]/1000)/19222</f>
        <v>4.4470866715222136E-2</v>
      </c>
    </row>
    <row r="225" spans="1:4" x14ac:dyDescent="0.2">
      <c r="A225" s="10">
        <v>39099</v>
      </c>
      <c r="B225" s="9">
        <v>859363</v>
      </c>
      <c r="C225" s="7">
        <v>9.453050753365444E-3</v>
      </c>
      <c r="D225" s="7">
        <f>(Table4[[#This Row],[WALCL]]/1000)/19222</f>
        <v>4.4707262511705342E-2</v>
      </c>
    </row>
    <row r="226" spans="1:4" x14ac:dyDescent="0.2">
      <c r="A226" s="10">
        <v>39106</v>
      </c>
      <c r="B226" s="9">
        <v>851755</v>
      </c>
      <c r="C226" s="7">
        <v>9.453050753365444E-3</v>
      </c>
      <c r="D226" s="7">
        <f>(Table4[[#This Row],[WALCL]]/1000)/19222</f>
        <v>4.4311466028509001E-2</v>
      </c>
    </row>
    <row r="227" spans="1:4" x14ac:dyDescent="0.2">
      <c r="A227" s="10">
        <v>39113</v>
      </c>
      <c r="B227" s="9">
        <v>865730</v>
      </c>
      <c r="C227" s="7">
        <v>9.453050753365444E-3</v>
      </c>
      <c r="D227" s="7">
        <f>(Table4[[#This Row],[WALCL]]/1000)/19222</f>
        <v>4.5038497554885031E-2</v>
      </c>
    </row>
    <row r="228" spans="1:4" x14ac:dyDescent="0.2">
      <c r="A228" s="10">
        <v>39120</v>
      </c>
      <c r="B228" s="9">
        <v>855057</v>
      </c>
      <c r="C228" s="7">
        <v>9.453050753365444E-3</v>
      </c>
      <c r="D228" s="7">
        <f>(Table4[[#This Row],[WALCL]]/1000)/19222</f>
        <v>4.4483248361252732E-2</v>
      </c>
    </row>
    <row r="229" spans="1:4" x14ac:dyDescent="0.2">
      <c r="A229" s="10">
        <v>39127</v>
      </c>
      <c r="B229" s="9">
        <v>867199</v>
      </c>
      <c r="C229" s="7">
        <v>9.453050753365444E-3</v>
      </c>
      <c r="D229" s="7">
        <f>(Table4[[#This Row],[WALCL]]/1000)/19222</f>
        <v>4.5114920403704087E-2</v>
      </c>
    </row>
    <row r="230" spans="1:4" x14ac:dyDescent="0.2">
      <c r="A230" s="10">
        <v>39134</v>
      </c>
      <c r="B230" s="9">
        <v>869235</v>
      </c>
      <c r="C230" s="7">
        <v>9.453050753365444E-3</v>
      </c>
      <c r="D230" s="7">
        <f>(Table4[[#This Row],[WALCL]]/1000)/19222</f>
        <v>4.5220840703360736E-2</v>
      </c>
    </row>
    <row r="231" spans="1:4" x14ac:dyDescent="0.2">
      <c r="A231" s="10">
        <v>39141</v>
      </c>
      <c r="B231" s="9">
        <v>877409</v>
      </c>
      <c r="C231" s="7">
        <v>9.453050753365444E-3</v>
      </c>
      <c r="D231" s="7">
        <f>(Table4[[#This Row],[WALCL]]/1000)/19222</f>
        <v>4.5646082613671833E-2</v>
      </c>
    </row>
    <row r="232" spans="1:4" x14ac:dyDescent="0.2">
      <c r="A232" s="10">
        <v>39148</v>
      </c>
      <c r="B232" s="9">
        <v>864505</v>
      </c>
      <c r="C232" s="7">
        <v>9.453050753365444E-3</v>
      </c>
      <c r="D232" s="7">
        <f>(Table4[[#This Row],[WALCL]]/1000)/19222</f>
        <v>4.4974768494433465E-2</v>
      </c>
    </row>
    <row r="233" spans="1:4" x14ac:dyDescent="0.2">
      <c r="A233" s="10">
        <v>39155</v>
      </c>
      <c r="B233" s="9">
        <v>876108</v>
      </c>
      <c r="C233" s="7">
        <v>9.453050753365444E-3</v>
      </c>
      <c r="D233" s="7">
        <f>(Table4[[#This Row],[WALCL]]/1000)/19222</f>
        <v>4.557839975028613E-2</v>
      </c>
    </row>
    <row r="234" spans="1:4" x14ac:dyDescent="0.2">
      <c r="A234" s="10">
        <v>39162</v>
      </c>
      <c r="B234" s="9">
        <v>863067</v>
      </c>
      <c r="C234" s="7">
        <v>9.453050753365444E-3</v>
      </c>
      <c r="D234" s="7">
        <f>(Table4[[#This Row],[WALCL]]/1000)/19222</f>
        <v>4.4899958381021746E-2</v>
      </c>
    </row>
    <row r="235" spans="1:4" x14ac:dyDescent="0.2">
      <c r="A235" s="10">
        <v>39169</v>
      </c>
      <c r="B235" s="9">
        <v>869803</v>
      </c>
      <c r="C235" s="7">
        <v>9.453050753365444E-3</v>
      </c>
      <c r="D235" s="7">
        <f>(Table4[[#This Row],[WALCL]]/1000)/19222</f>
        <v>4.5250390177921131E-2</v>
      </c>
    </row>
    <row r="236" spans="1:4" x14ac:dyDescent="0.2">
      <c r="A236" s="10">
        <v>39176</v>
      </c>
      <c r="B236" s="9">
        <v>862319</v>
      </c>
      <c r="C236" s="7">
        <v>2.311255878871088E-2</v>
      </c>
      <c r="D236" s="7">
        <f>(Table4[[#This Row],[WALCL]]/1000)/19222</f>
        <v>4.4861044636354173E-2</v>
      </c>
    </row>
    <row r="237" spans="1:4" x14ac:dyDescent="0.2">
      <c r="A237" s="10">
        <v>39183</v>
      </c>
      <c r="B237" s="9">
        <v>865441</v>
      </c>
      <c r="C237" s="7">
        <v>2.311255878871088E-2</v>
      </c>
      <c r="D237" s="7">
        <f>(Table4[[#This Row],[WALCL]]/1000)/19222</f>
        <v>4.502346269899074E-2</v>
      </c>
    </row>
    <row r="238" spans="1:4" x14ac:dyDescent="0.2">
      <c r="A238" s="10">
        <v>39190</v>
      </c>
      <c r="B238" s="9">
        <v>861335</v>
      </c>
      <c r="C238" s="7">
        <v>2.311255878871088E-2</v>
      </c>
      <c r="D238" s="7">
        <f>(Table4[[#This Row],[WALCL]]/1000)/19222</f>
        <v>4.4809853293101658E-2</v>
      </c>
    </row>
    <row r="239" spans="1:4" x14ac:dyDescent="0.2">
      <c r="A239" s="10">
        <v>39197</v>
      </c>
      <c r="B239" s="9">
        <v>879686</v>
      </c>
      <c r="C239" s="7">
        <v>2.311255878871088E-2</v>
      </c>
      <c r="D239" s="7">
        <f>(Table4[[#This Row],[WALCL]]/1000)/19222</f>
        <v>4.5764540630527525E-2</v>
      </c>
    </row>
    <row r="240" spans="1:4" x14ac:dyDescent="0.2">
      <c r="A240" s="10">
        <v>39204</v>
      </c>
      <c r="B240" s="9">
        <v>890857</v>
      </c>
      <c r="C240" s="7">
        <v>2.311255878871088E-2</v>
      </c>
      <c r="D240" s="7">
        <f>(Table4[[#This Row],[WALCL]]/1000)/19222</f>
        <v>4.6345697638122983E-2</v>
      </c>
    </row>
    <row r="241" spans="1:4" x14ac:dyDescent="0.2">
      <c r="A241" s="10">
        <v>39211</v>
      </c>
      <c r="B241" s="9">
        <v>875270</v>
      </c>
      <c r="C241" s="7">
        <v>2.311255878871088E-2</v>
      </c>
      <c r="D241" s="7">
        <f>(Table4[[#This Row],[WALCL]]/1000)/19222</f>
        <v>4.553480387056498E-2</v>
      </c>
    </row>
    <row r="242" spans="1:4" x14ac:dyDescent="0.2">
      <c r="A242" s="10">
        <v>39218</v>
      </c>
      <c r="B242" s="9">
        <v>859559</v>
      </c>
      <c r="C242" s="7">
        <v>2.311255878871088E-2</v>
      </c>
      <c r="D242" s="7">
        <f>(Table4[[#This Row],[WALCL]]/1000)/19222</f>
        <v>4.4717459161377586E-2</v>
      </c>
    </row>
    <row r="243" spans="1:4" x14ac:dyDescent="0.2">
      <c r="A243" s="10">
        <v>39225</v>
      </c>
      <c r="B243" s="9">
        <v>873935</v>
      </c>
      <c r="C243" s="7">
        <v>2.311255878871088E-2</v>
      </c>
      <c r="D243" s="7">
        <f>(Table4[[#This Row],[WALCL]]/1000)/19222</f>
        <v>4.5465352200603472E-2</v>
      </c>
    </row>
    <row r="244" spans="1:4" x14ac:dyDescent="0.2">
      <c r="A244" s="10">
        <v>39232</v>
      </c>
      <c r="B244" s="9">
        <v>876986</v>
      </c>
      <c r="C244" s="7">
        <v>2.311255878871088E-2</v>
      </c>
      <c r="D244" s="7">
        <f>(Table4[[#This Row],[WALCL]]/1000)/19222</f>
        <v>4.5624076578919988E-2</v>
      </c>
    </row>
    <row r="245" spans="1:4" x14ac:dyDescent="0.2">
      <c r="A245" s="10">
        <v>39239</v>
      </c>
      <c r="B245" s="9">
        <v>872706</v>
      </c>
      <c r="C245" s="7">
        <v>2.311255878871088E-2</v>
      </c>
      <c r="D245" s="7">
        <f>(Table4[[#This Row],[WALCL]]/1000)/19222</f>
        <v>4.5401415045260643E-2</v>
      </c>
    </row>
    <row r="246" spans="1:4" x14ac:dyDescent="0.2">
      <c r="A246" s="10">
        <v>39246</v>
      </c>
      <c r="B246" s="9">
        <v>864989</v>
      </c>
      <c r="C246" s="7">
        <v>2.311255878871088E-2</v>
      </c>
      <c r="D246" s="7">
        <f>(Table4[[#This Row],[WALCL]]/1000)/19222</f>
        <v>4.4999947976277183E-2</v>
      </c>
    </row>
    <row r="247" spans="1:4" x14ac:dyDescent="0.2">
      <c r="A247" s="10">
        <v>39253</v>
      </c>
      <c r="B247" s="9">
        <v>866089</v>
      </c>
      <c r="C247" s="7">
        <v>2.311255878871088E-2</v>
      </c>
      <c r="D247" s="7">
        <f>(Table4[[#This Row],[WALCL]]/1000)/19222</f>
        <v>4.5057174071376549E-2</v>
      </c>
    </row>
    <row r="248" spans="1:4" x14ac:dyDescent="0.2">
      <c r="A248" s="10">
        <v>39260</v>
      </c>
      <c r="B248" s="9">
        <v>865105</v>
      </c>
      <c r="C248" s="7">
        <v>2.311255878871088E-2</v>
      </c>
      <c r="D248" s="7">
        <f>(Table4[[#This Row],[WALCL]]/1000)/19222</f>
        <v>4.5005982728124026E-2</v>
      </c>
    </row>
    <row r="249" spans="1:4" x14ac:dyDescent="0.2">
      <c r="A249" s="10">
        <v>39267</v>
      </c>
      <c r="B249" s="9">
        <v>876611</v>
      </c>
      <c r="C249" s="7">
        <v>2.190858157651876E-2</v>
      </c>
      <c r="D249" s="7">
        <f>(Table4[[#This Row],[WALCL]]/1000)/19222</f>
        <v>4.5604567682863383E-2</v>
      </c>
    </row>
    <row r="250" spans="1:4" x14ac:dyDescent="0.2">
      <c r="A250" s="10">
        <v>39274</v>
      </c>
      <c r="B250" s="9">
        <v>869407</v>
      </c>
      <c r="C250" s="7">
        <v>2.190858157651876E-2</v>
      </c>
      <c r="D250" s="7">
        <f>(Table4[[#This Row],[WALCL]]/1000)/19222</f>
        <v>4.522978878368536E-2</v>
      </c>
    </row>
    <row r="251" spans="1:4" x14ac:dyDescent="0.2">
      <c r="A251" s="10">
        <v>39281</v>
      </c>
      <c r="B251" s="9">
        <v>872916</v>
      </c>
      <c r="C251" s="7">
        <v>2.190858157651876E-2</v>
      </c>
      <c r="D251" s="7">
        <f>(Table4[[#This Row],[WALCL]]/1000)/19222</f>
        <v>4.5412340027052342E-2</v>
      </c>
    </row>
    <row r="252" spans="1:4" x14ac:dyDescent="0.2">
      <c r="A252" s="10">
        <v>39288</v>
      </c>
      <c r="B252" s="9">
        <v>863890</v>
      </c>
      <c r="C252" s="7">
        <v>2.190858157651876E-2</v>
      </c>
      <c r="D252" s="7">
        <f>(Table4[[#This Row],[WALCL]]/1000)/19222</f>
        <v>4.4942773904900632E-2</v>
      </c>
    </row>
    <row r="253" spans="1:4" x14ac:dyDescent="0.2">
      <c r="A253" s="10">
        <v>39295</v>
      </c>
      <c r="B253" s="9">
        <v>870261</v>
      </c>
      <c r="C253" s="7">
        <v>2.190858157651876E-2</v>
      </c>
      <c r="D253" s="7">
        <f>(Table4[[#This Row],[WALCL]]/1000)/19222</f>
        <v>4.527421704297159E-2</v>
      </c>
    </row>
    <row r="254" spans="1:4" x14ac:dyDescent="0.2">
      <c r="A254" s="10">
        <v>39302</v>
      </c>
      <c r="B254" s="9">
        <v>865453</v>
      </c>
      <c r="C254" s="7">
        <v>2.190858157651876E-2</v>
      </c>
      <c r="D254" s="7">
        <f>(Table4[[#This Row],[WALCL]]/1000)/19222</f>
        <v>4.502408698366455E-2</v>
      </c>
    </row>
    <row r="255" spans="1:4" x14ac:dyDescent="0.2">
      <c r="A255" s="10">
        <v>39309</v>
      </c>
      <c r="B255" s="9">
        <v>864931</v>
      </c>
      <c r="C255" s="7">
        <v>2.190858157651876E-2</v>
      </c>
      <c r="D255" s="7">
        <f>(Table4[[#This Row],[WALCL]]/1000)/19222</f>
        <v>4.4996930600353764E-2</v>
      </c>
    </row>
    <row r="256" spans="1:4" x14ac:dyDescent="0.2">
      <c r="A256" s="10">
        <v>39316</v>
      </c>
      <c r="B256" s="9">
        <v>862775</v>
      </c>
      <c r="C256" s="7">
        <v>2.190858157651876E-2</v>
      </c>
      <c r="D256" s="7">
        <f>(Table4[[#This Row],[WALCL]]/1000)/19222</f>
        <v>4.4884767453959001E-2</v>
      </c>
    </row>
    <row r="257" spans="1:4" x14ac:dyDescent="0.2">
      <c r="A257" s="10">
        <v>39323</v>
      </c>
      <c r="B257" s="9">
        <v>872873</v>
      </c>
      <c r="C257" s="7">
        <v>2.190858157651876E-2</v>
      </c>
      <c r="D257" s="7">
        <f>(Table4[[#This Row],[WALCL]]/1000)/19222</f>
        <v>4.5410103006971181E-2</v>
      </c>
    </row>
    <row r="258" spans="1:4" x14ac:dyDescent="0.2">
      <c r="A258" s="10">
        <v>39330</v>
      </c>
      <c r="B258" s="9">
        <v>871156</v>
      </c>
      <c r="C258" s="7">
        <v>2.190858157651876E-2</v>
      </c>
      <c r="D258" s="7">
        <f>(Table4[[#This Row],[WALCL]]/1000)/19222</f>
        <v>4.532077827489335E-2</v>
      </c>
    </row>
    <row r="259" spans="1:4" x14ac:dyDescent="0.2">
      <c r="A259" s="10">
        <v>39337</v>
      </c>
      <c r="B259" s="9">
        <v>886314</v>
      </c>
      <c r="C259" s="7">
        <v>2.190858157651876E-2</v>
      </c>
      <c r="D259" s="7">
        <f>(Table4[[#This Row],[WALCL]]/1000)/19222</f>
        <v>4.6109353865362607E-2</v>
      </c>
    </row>
    <row r="260" spans="1:4" x14ac:dyDescent="0.2">
      <c r="A260" s="10">
        <v>39344</v>
      </c>
      <c r="B260" s="9">
        <v>867732</v>
      </c>
      <c r="C260" s="7">
        <v>2.190858157651876E-2</v>
      </c>
      <c r="D260" s="7">
        <f>(Table4[[#This Row],[WALCL]]/1000)/19222</f>
        <v>4.5142649047965874E-2</v>
      </c>
    </row>
    <row r="261" spans="1:4" x14ac:dyDescent="0.2">
      <c r="A261" s="10">
        <v>39351</v>
      </c>
      <c r="B261" s="9">
        <v>889900</v>
      </c>
      <c r="C261" s="7">
        <v>2.190858157651876E-2</v>
      </c>
      <c r="D261" s="7">
        <f>(Table4[[#This Row],[WALCL]]/1000)/19222</f>
        <v>4.6295910935386535E-2</v>
      </c>
    </row>
    <row r="262" spans="1:4" x14ac:dyDescent="0.2">
      <c r="A262" s="10">
        <v>39358</v>
      </c>
      <c r="B262" s="9">
        <v>869051</v>
      </c>
      <c r="C262" s="7">
        <v>2.4536259290961926E-2</v>
      </c>
      <c r="D262" s="7">
        <f>(Table4[[#This Row],[WALCL]]/1000)/19222</f>
        <v>4.5211268338362295E-2</v>
      </c>
    </row>
    <row r="263" spans="1:4" x14ac:dyDescent="0.2">
      <c r="A263" s="10">
        <v>39365</v>
      </c>
      <c r="B263" s="9">
        <v>886363</v>
      </c>
      <c r="C263" s="7">
        <v>2.4536259290961926E-2</v>
      </c>
      <c r="D263" s="7">
        <f>(Table4[[#This Row],[WALCL]]/1000)/19222</f>
        <v>4.6111903027780669E-2</v>
      </c>
    </row>
    <row r="264" spans="1:4" x14ac:dyDescent="0.2">
      <c r="A264" s="10">
        <v>39372</v>
      </c>
      <c r="B264" s="9">
        <v>869509</v>
      </c>
      <c r="C264" s="7">
        <v>2.4536259290961926E-2</v>
      </c>
      <c r="D264" s="7">
        <f>(Table4[[#This Row],[WALCL]]/1000)/19222</f>
        <v>4.5235095203412755E-2</v>
      </c>
    </row>
    <row r="265" spans="1:4" x14ac:dyDescent="0.2">
      <c r="A265" s="10">
        <v>39379</v>
      </c>
      <c r="B265" s="9">
        <v>881395</v>
      </c>
      <c r="C265" s="7">
        <v>2.4536259290961926E-2</v>
      </c>
      <c r="D265" s="7">
        <f>(Table4[[#This Row],[WALCL]]/1000)/19222</f>
        <v>4.5853449172822809E-2</v>
      </c>
    </row>
    <row r="266" spans="1:4" x14ac:dyDescent="0.2">
      <c r="A266" s="10">
        <v>39386</v>
      </c>
      <c r="B266" s="9">
        <v>883385</v>
      </c>
      <c r="C266" s="7">
        <v>2.4536259290961926E-2</v>
      </c>
      <c r="D266" s="7">
        <f>(Table4[[#This Row],[WALCL]]/1000)/19222</f>
        <v>4.5956976381229843E-2</v>
      </c>
    </row>
    <row r="267" spans="1:4" x14ac:dyDescent="0.2">
      <c r="A267" s="10">
        <v>39393</v>
      </c>
      <c r="B267" s="9">
        <v>885724</v>
      </c>
      <c r="C267" s="7">
        <v>2.4536259290961926E-2</v>
      </c>
      <c r="D267" s="7">
        <f>(Table4[[#This Row],[WALCL]]/1000)/19222</f>
        <v>4.6078659868900224E-2</v>
      </c>
    </row>
    <row r="268" spans="1:4" x14ac:dyDescent="0.2">
      <c r="A268" s="10">
        <v>39400</v>
      </c>
      <c r="B268" s="9">
        <v>889537</v>
      </c>
      <c r="C268" s="7">
        <v>2.4536259290961926E-2</v>
      </c>
      <c r="D268" s="7">
        <f>(Table4[[#This Row],[WALCL]]/1000)/19222</f>
        <v>4.6277026324003746E-2</v>
      </c>
    </row>
    <row r="269" spans="1:4" x14ac:dyDescent="0.2">
      <c r="A269" s="10">
        <v>39407</v>
      </c>
      <c r="B269" s="9">
        <v>891028</v>
      </c>
      <c r="C269" s="7">
        <v>2.4536259290961926E-2</v>
      </c>
      <c r="D269" s="7">
        <f>(Table4[[#This Row],[WALCL]]/1000)/19222</f>
        <v>4.6354593694724798E-2</v>
      </c>
    </row>
    <row r="270" spans="1:4" x14ac:dyDescent="0.2">
      <c r="A270" s="10">
        <v>39414</v>
      </c>
      <c r="B270" s="9">
        <v>879417</v>
      </c>
      <c r="C270" s="7">
        <v>2.4536259290961926E-2</v>
      </c>
      <c r="D270" s="7">
        <f>(Table4[[#This Row],[WALCL]]/1000)/19222</f>
        <v>4.5750546249089585E-2</v>
      </c>
    </row>
    <row r="271" spans="1:4" x14ac:dyDescent="0.2">
      <c r="A271" s="10">
        <v>39421</v>
      </c>
      <c r="B271" s="9">
        <v>882764</v>
      </c>
      <c r="C271" s="7">
        <v>2.4536259290961926E-2</v>
      </c>
      <c r="D271" s="7">
        <f>(Table4[[#This Row],[WALCL]]/1000)/19222</f>
        <v>4.5924669649360109E-2</v>
      </c>
    </row>
    <row r="272" spans="1:4" x14ac:dyDescent="0.2">
      <c r="A272" s="10">
        <v>39428</v>
      </c>
      <c r="B272" s="9">
        <v>881750</v>
      </c>
      <c r="C272" s="7">
        <v>2.4536259290961926E-2</v>
      </c>
      <c r="D272" s="7">
        <f>(Table4[[#This Row],[WALCL]]/1000)/19222</f>
        <v>4.5871917594423058E-2</v>
      </c>
    </row>
    <row r="273" spans="1:4" x14ac:dyDescent="0.2">
      <c r="A273" s="10">
        <v>39435</v>
      </c>
      <c r="B273" s="9">
        <v>887983</v>
      </c>
      <c r="C273" s="7">
        <v>2.4536259290961926E-2</v>
      </c>
      <c r="D273" s="7">
        <f>(Table4[[#This Row],[WALCL]]/1000)/19222</f>
        <v>4.6196181458745184E-2</v>
      </c>
    </row>
    <row r="274" spans="1:4" x14ac:dyDescent="0.2">
      <c r="A274" s="10">
        <v>39442</v>
      </c>
      <c r="B274" s="9">
        <v>890662</v>
      </c>
      <c r="C274" s="7">
        <v>2.4536259290961926E-2</v>
      </c>
      <c r="D274" s="7">
        <f>(Table4[[#This Row],[WALCL]]/1000)/19222</f>
        <v>4.6335553012173555E-2</v>
      </c>
    </row>
    <row r="275" spans="1:4" x14ac:dyDescent="0.2">
      <c r="A275" s="10">
        <v>39449</v>
      </c>
      <c r="B275" s="9">
        <v>922187</v>
      </c>
      <c r="C275" s="7">
        <v>-2.2790584029767746E-2</v>
      </c>
      <c r="D275" s="7">
        <f>(Table4[[#This Row],[WALCL]]/1000)/19222</f>
        <v>4.7975600873998547E-2</v>
      </c>
    </row>
    <row r="276" spans="1:4" x14ac:dyDescent="0.2">
      <c r="A276" s="10">
        <v>39456</v>
      </c>
      <c r="B276" s="9">
        <v>880754</v>
      </c>
      <c r="C276" s="7">
        <v>-2.2790584029767746E-2</v>
      </c>
      <c r="D276" s="7">
        <f>(Table4[[#This Row],[WALCL]]/1000)/19222</f>
        <v>4.5820101966496725E-2</v>
      </c>
    </row>
    <row r="277" spans="1:4" x14ac:dyDescent="0.2">
      <c r="A277" s="10">
        <v>39463</v>
      </c>
      <c r="B277" s="9">
        <v>893581</v>
      </c>
      <c r="C277" s="7">
        <v>-2.2790584029767746E-2</v>
      </c>
      <c r="D277" s="7">
        <f>(Table4[[#This Row],[WALCL]]/1000)/19222</f>
        <v>4.6487410259078141E-2</v>
      </c>
    </row>
    <row r="278" spans="1:4" x14ac:dyDescent="0.2">
      <c r="A278" s="10">
        <v>39470</v>
      </c>
      <c r="B278" s="9">
        <v>877253</v>
      </c>
      <c r="C278" s="7">
        <v>-2.2790584029767746E-2</v>
      </c>
      <c r="D278" s="7">
        <f>(Table4[[#This Row],[WALCL]]/1000)/19222</f>
        <v>4.5637966912912289E-2</v>
      </c>
    </row>
    <row r="279" spans="1:4" x14ac:dyDescent="0.2">
      <c r="A279" s="10">
        <v>39477</v>
      </c>
      <c r="B279" s="9">
        <v>900264</v>
      </c>
      <c r="C279" s="7">
        <v>-2.2790584029767746E-2</v>
      </c>
      <c r="D279" s="7">
        <f>(Table4[[#This Row],[WALCL]]/1000)/19222</f>
        <v>4.6835084798668193E-2</v>
      </c>
    </row>
    <row r="280" spans="1:4" x14ac:dyDescent="0.2">
      <c r="A280" s="10">
        <v>39484</v>
      </c>
      <c r="B280" s="9">
        <v>871022</v>
      </c>
      <c r="C280" s="7">
        <v>-2.2790584029767746E-2</v>
      </c>
      <c r="D280" s="7">
        <f>(Table4[[#This Row],[WALCL]]/1000)/19222</f>
        <v>4.5313807096035795E-2</v>
      </c>
    </row>
    <row r="281" spans="1:4" x14ac:dyDescent="0.2">
      <c r="A281" s="10">
        <v>39491</v>
      </c>
      <c r="B281" s="9">
        <v>883005</v>
      </c>
      <c r="C281" s="7">
        <v>-2.2790584029767746E-2</v>
      </c>
      <c r="D281" s="7">
        <f>(Table4[[#This Row],[WALCL]]/1000)/19222</f>
        <v>4.5937207366559152E-2</v>
      </c>
    </row>
    <row r="282" spans="1:4" x14ac:dyDescent="0.2">
      <c r="A282" s="10">
        <v>39498</v>
      </c>
      <c r="B282" s="9">
        <v>878949</v>
      </c>
      <c r="C282" s="7">
        <v>-2.2790584029767746E-2</v>
      </c>
      <c r="D282" s="7">
        <f>(Table4[[#This Row],[WALCL]]/1000)/19222</f>
        <v>4.572619914681094E-2</v>
      </c>
    </row>
    <row r="283" spans="1:4" x14ac:dyDescent="0.2">
      <c r="A283" s="10">
        <v>39505</v>
      </c>
      <c r="B283" s="9">
        <v>893825</v>
      </c>
      <c r="C283" s="7">
        <v>-2.2790584029767746E-2</v>
      </c>
      <c r="D283" s="7">
        <f>(Table4[[#This Row],[WALCL]]/1000)/19222</f>
        <v>4.6500104047445638E-2</v>
      </c>
    </row>
    <row r="284" spans="1:4" x14ac:dyDescent="0.2">
      <c r="A284" s="10">
        <v>39512</v>
      </c>
      <c r="B284" s="9">
        <v>881208</v>
      </c>
      <c r="C284" s="7">
        <v>-2.2790584029767746E-2</v>
      </c>
      <c r="D284" s="7">
        <f>(Table4[[#This Row],[WALCL]]/1000)/19222</f>
        <v>4.5843720736655914E-2</v>
      </c>
    </row>
    <row r="285" spans="1:4" x14ac:dyDescent="0.2">
      <c r="A285" s="10">
        <v>39519</v>
      </c>
      <c r="B285" s="9">
        <v>896565</v>
      </c>
      <c r="C285" s="7">
        <v>-2.2790584029767746E-2</v>
      </c>
      <c r="D285" s="7">
        <f>(Table4[[#This Row],[WALCL]]/1000)/19222</f>
        <v>4.6642649047965876E-2</v>
      </c>
    </row>
    <row r="286" spans="1:4" x14ac:dyDescent="0.2">
      <c r="A286" s="10">
        <v>39526</v>
      </c>
      <c r="B286" s="9">
        <v>888646</v>
      </c>
      <c r="C286" s="7">
        <v>-2.2790584029767746E-2</v>
      </c>
      <c r="D286" s="7">
        <f>(Table4[[#This Row],[WALCL]]/1000)/19222</f>
        <v>4.6230673186973256E-2</v>
      </c>
    </row>
    <row r="287" spans="1:4" x14ac:dyDescent="0.2">
      <c r="A287" s="10">
        <v>39533</v>
      </c>
      <c r="B287" s="9">
        <v>893965</v>
      </c>
      <c r="C287" s="7">
        <v>-2.2790584029767746E-2</v>
      </c>
      <c r="D287" s="7">
        <f>(Table4[[#This Row],[WALCL]]/1000)/19222</f>
        <v>4.6507387368640102E-2</v>
      </c>
    </row>
    <row r="288" spans="1:4" x14ac:dyDescent="0.2">
      <c r="A288" s="10">
        <v>39540</v>
      </c>
      <c r="B288" s="9">
        <v>883708</v>
      </c>
      <c r="C288" s="7">
        <v>2.0816028830630717E-2</v>
      </c>
      <c r="D288" s="7">
        <f>(Table4[[#This Row],[WALCL]]/1000)/19222</f>
        <v>4.5973780043699924E-2</v>
      </c>
    </row>
    <row r="289" spans="1:4" x14ac:dyDescent="0.2">
      <c r="A289" s="10">
        <v>39547</v>
      </c>
      <c r="B289" s="9">
        <v>893029</v>
      </c>
      <c r="C289" s="7">
        <v>2.0816028830630717E-2</v>
      </c>
      <c r="D289" s="7">
        <f>(Table4[[#This Row],[WALCL]]/1000)/19222</f>
        <v>4.6458693164082819E-2</v>
      </c>
    </row>
    <row r="290" spans="1:4" x14ac:dyDescent="0.2">
      <c r="A290" s="10">
        <v>39554</v>
      </c>
      <c r="B290" s="9">
        <v>881904</v>
      </c>
      <c r="C290" s="7">
        <v>2.0816028830630717E-2</v>
      </c>
      <c r="D290" s="7">
        <f>(Table4[[#This Row],[WALCL]]/1000)/19222</f>
        <v>4.587992924773697E-2</v>
      </c>
    </row>
    <row r="291" spans="1:4" x14ac:dyDescent="0.2">
      <c r="A291" s="10">
        <v>39561</v>
      </c>
      <c r="B291" s="9">
        <v>885781</v>
      </c>
      <c r="C291" s="7">
        <v>2.0816028830630717E-2</v>
      </c>
      <c r="D291" s="7">
        <f>(Table4[[#This Row],[WALCL]]/1000)/19222</f>
        <v>4.6081625221100819E-2</v>
      </c>
    </row>
    <row r="292" spans="1:4" x14ac:dyDescent="0.2">
      <c r="A292" s="10">
        <v>39568</v>
      </c>
      <c r="B292" s="9">
        <v>888131</v>
      </c>
      <c r="C292" s="7">
        <v>2.0816028830630717E-2</v>
      </c>
      <c r="D292" s="7">
        <f>(Table4[[#This Row],[WALCL]]/1000)/19222</f>
        <v>4.6203880969722194E-2</v>
      </c>
    </row>
    <row r="293" spans="1:4" x14ac:dyDescent="0.2">
      <c r="A293" s="10">
        <v>39575</v>
      </c>
      <c r="B293" s="9">
        <v>889228</v>
      </c>
      <c r="C293" s="7">
        <v>2.0816028830630717E-2</v>
      </c>
      <c r="D293" s="7">
        <f>(Table4[[#This Row],[WALCL]]/1000)/19222</f>
        <v>4.6260950993653106E-2</v>
      </c>
    </row>
    <row r="294" spans="1:4" x14ac:dyDescent="0.2">
      <c r="A294" s="10">
        <v>39582</v>
      </c>
      <c r="B294" s="9">
        <v>880175</v>
      </c>
      <c r="C294" s="7">
        <v>2.0816028830630717E-2</v>
      </c>
      <c r="D294" s="7">
        <f>(Table4[[#This Row],[WALCL]]/1000)/19222</f>
        <v>4.5789980230985329E-2</v>
      </c>
    </row>
    <row r="295" spans="1:4" x14ac:dyDescent="0.2">
      <c r="A295" s="10">
        <v>39589</v>
      </c>
      <c r="B295" s="9">
        <v>898487</v>
      </c>
      <c r="C295" s="7">
        <v>2.0816028830630717E-2</v>
      </c>
      <c r="D295" s="7">
        <f>(Table4[[#This Row],[WALCL]]/1000)/19222</f>
        <v>4.6742638643221306E-2</v>
      </c>
    </row>
    <row r="296" spans="1:4" x14ac:dyDescent="0.2">
      <c r="A296" s="10">
        <v>39596</v>
      </c>
      <c r="B296" s="9">
        <v>904054</v>
      </c>
      <c r="C296" s="7">
        <v>2.0816028830630717E-2</v>
      </c>
      <c r="D296" s="7">
        <f>(Table4[[#This Row],[WALCL]]/1000)/19222</f>
        <v>4.7032254708146912E-2</v>
      </c>
    </row>
    <row r="297" spans="1:4" x14ac:dyDescent="0.2">
      <c r="A297" s="10">
        <v>39603</v>
      </c>
      <c r="B297" s="9">
        <v>895939</v>
      </c>
      <c r="C297" s="7">
        <v>2.0816028830630717E-2</v>
      </c>
      <c r="D297" s="7">
        <f>(Table4[[#This Row],[WALCL]]/1000)/19222</f>
        <v>4.6610082197482049E-2</v>
      </c>
    </row>
    <row r="298" spans="1:4" x14ac:dyDescent="0.2">
      <c r="A298" s="10">
        <v>39610</v>
      </c>
      <c r="B298" s="9">
        <v>890610</v>
      </c>
      <c r="C298" s="7">
        <v>2.0816028830630717E-2</v>
      </c>
      <c r="D298" s="7">
        <f>(Table4[[#This Row],[WALCL]]/1000)/19222</f>
        <v>4.6332847778587039E-2</v>
      </c>
    </row>
    <row r="299" spans="1:4" x14ac:dyDescent="0.2">
      <c r="A299" s="10">
        <v>39617</v>
      </c>
      <c r="B299" s="9">
        <v>902304</v>
      </c>
      <c r="C299" s="7">
        <v>2.0816028830630717E-2</v>
      </c>
      <c r="D299" s="7">
        <f>(Table4[[#This Row],[WALCL]]/1000)/19222</f>
        <v>4.6941213193216105E-2</v>
      </c>
    </row>
    <row r="300" spans="1:4" x14ac:dyDescent="0.2">
      <c r="A300" s="10">
        <v>39624</v>
      </c>
      <c r="B300" s="9">
        <v>892713</v>
      </c>
      <c r="C300" s="7">
        <v>2.0816028830630717E-2</v>
      </c>
      <c r="D300" s="7">
        <f>(Table4[[#This Row],[WALCL]]/1000)/19222</f>
        <v>4.6442253667672455E-2</v>
      </c>
    </row>
    <row r="301" spans="1:4" x14ac:dyDescent="0.2">
      <c r="A301" s="10">
        <v>39631</v>
      </c>
      <c r="B301" s="9">
        <v>902962</v>
      </c>
      <c r="C301" s="7">
        <v>-2.1479017849608706E-2</v>
      </c>
      <c r="D301" s="7">
        <f>(Table4[[#This Row],[WALCL]]/1000)/19222</f>
        <v>4.6975444802830092E-2</v>
      </c>
    </row>
    <row r="302" spans="1:4" x14ac:dyDescent="0.2">
      <c r="A302" s="10">
        <v>39638</v>
      </c>
      <c r="B302" s="9">
        <v>898034</v>
      </c>
      <c r="C302" s="7">
        <v>-2.1479017849608706E-2</v>
      </c>
      <c r="D302" s="7">
        <f>(Table4[[#This Row],[WALCL]]/1000)/19222</f>
        <v>4.6719071896784932E-2</v>
      </c>
    </row>
    <row r="303" spans="1:4" x14ac:dyDescent="0.2">
      <c r="A303" s="10">
        <v>39645</v>
      </c>
      <c r="B303" s="9">
        <v>910681</v>
      </c>
      <c r="C303" s="7">
        <v>-2.1479017849608706E-2</v>
      </c>
      <c r="D303" s="7">
        <f>(Table4[[#This Row],[WALCL]]/1000)/19222</f>
        <v>4.7377015919259184E-2</v>
      </c>
    </row>
    <row r="304" spans="1:4" x14ac:dyDescent="0.2">
      <c r="A304" s="10">
        <v>39652</v>
      </c>
      <c r="B304" s="9">
        <v>899665</v>
      </c>
      <c r="C304" s="7">
        <v>-2.1479017849608706E-2</v>
      </c>
      <c r="D304" s="7">
        <f>(Table4[[#This Row],[WALCL]]/1000)/19222</f>
        <v>4.6803922588700447E-2</v>
      </c>
    </row>
    <row r="305" spans="1:4" x14ac:dyDescent="0.2">
      <c r="A305" s="10">
        <v>39659</v>
      </c>
      <c r="B305" s="9">
        <v>918625</v>
      </c>
      <c r="C305" s="7">
        <v>-2.1479017849608706E-2</v>
      </c>
      <c r="D305" s="7">
        <f>(Table4[[#This Row],[WALCL]]/1000)/19222</f>
        <v>4.7790292373322232E-2</v>
      </c>
    </row>
    <row r="306" spans="1:4" x14ac:dyDescent="0.2">
      <c r="A306" s="10">
        <v>39666</v>
      </c>
      <c r="B306" s="9">
        <v>901710</v>
      </c>
      <c r="C306" s="7">
        <v>-2.1479017849608706E-2</v>
      </c>
      <c r="D306" s="7">
        <f>(Table4[[#This Row],[WALCL]]/1000)/19222</f>
        <v>4.6910311101862452E-2</v>
      </c>
    </row>
    <row r="307" spans="1:4" x14ac:dyDescent="0.2">
      <c r="A307" s="10">
        <v>39673</v>
      </c>
      <c r="B307" s="9">
        <v>914632</v>
      </c>
      <c r="C307" s="7">
        <v>-2.1479017849608706E-2</v>
      </c>
      <c r="D307" s="7">
        <f>(Table4[[#This Row],[WALCL]]/1000)/19222</f>
        <v>4.7582561648111539E-2</v>
      </c>
    </row>
    <row r="308" spans="1:4" x14ac:dyDescent="0.2">
      <c r="A308" s="10">
        <v>39680</v>
      </c>
      <c r="B308" s="9">
        <v>898611</v>
      </c>
      <c r="C308" s="7">
        <v>-2.1479017849608706E-2</v>
      </c>
      <c r="D308" s="7">
        <f>(Table4[[#This Row],[WALCL]]/1000)/19222</f>
        <v>4.6749089584850689E-2</v>
      </c>
    </row>
    <row r="309" spans="1:4" x14ac:dyDescent="0.2">
      <c r="A309" s="10">
        <v>39687</v>
      </c>
      <c r="B309" s="9">
        <v>909982</v>
      </c>
      <c r="C309" s="7">
        <v>-2.1479017849608706E-2</v>
      </c>
      <c r="D309" s="7">
        <f>(Table4[[#This Row],[WALCL]]/1000)/19222</f>
        <v>4.7340651337009675E-2</v>
      </c>
    </row>
    <row r="310" spans="1:4" x14ac:dyDescent="0.2">
      <c r="A310" s="10">
        <v>39694</v>
      </c>
      <c r="B310" s="9">
        <v>905253</v>
      </c>
      <c r="C310" s="7">
        <v>-2.1479017849608706E-2</v>
      </c>
      <c r="D310" s="7">
        <f>(Table4[[#This Row],[WALCL]]/1000)/19222</f>
        <v>4.7094631151805226E-2</v>
      </c>
    </row>
    <row r="311" spans="1:4" x14ac:dyDescent="0.2">
      <c r="A311" s="10">
        <v>39701</v>
      </c>
      <c r="B311" s="9">
        <v>925725</v>
      </c>
      <c r="C311" s="7">
        <v>-2.1479017849608706E-2</v>
      </c>
      <c r="D311" s="7">
        <f>(Table4[[#This Row],[WALCL]]/1000)/19222</f>
        <v>4.8159660805327228E-2</v>
      </c>
    </row>
    <row r="312" spans="1:4" x14ac:dyDescent="0.2">
      <c r="A312" s="10">
        <v>39708</v>
      </c>
      <c r="B312" s="9">
        <v>995093</v>
      </c>
      <c r="C312" s="7">
        <v>-2.1479017849608706E-2</v>
      </c>
      <c r="D312" s="7">
        <f>(Table4[[#This Row],[WALCL]]/1000)/19222</f>
        <v>5.1768442409738838E-2</v>
      </c>
    </row>
    <row r="313" spans="1:4" x14ac:dyDescent="0.2">
      <c r="A313" s="10">
        <v>39715</v>
      </c>
      <c r="B313" s="9">
        <v>1211825</v>
      </c>
      <c r="C313" s="7">
        <v>-2.1479017849608706E-2</v>
      </c>
      <c r="D313" s="7">
        <f>(Table4[[#This Row],[WALCL]]/1000)/19222</f>
        <v>6.3043647903443967E-2</v>
      </c>
    </row>
    <row r="314" spans="1:4" x14ac:dyDescent="0.2">
      <c r="A314" s="10">
        <v>39722</v>
      </c>
      <c r="B314" s="9">
        <v>1503989</v>
      </c>
      <c r="C314" s="7">
        <v>-8.3783507619077713E-2</v>
      </c>
      <c r="D314" s="7">
        <f>(Table4[[#This Row],[WALCL]]/1000)/19222</f>
        <v>7.8243106856726669E-2</v>
      </c>
    </row>
    <row r="315" spans="1:4" x14ac:dyDescent="0.2">
      <c r="A315" s="10">
        <v>39729</v>
      </c>
      <c r="B315" s="9">
        <v>1591587</v>
      </c>
      <c r="C315" s="7">
        <v>-8.3783507619077713E-2</v>
      </c>
      <c r="D315" s="7">
        <f>(Table4[[#This Row],[WALCL]]/1000)/19222</f>
        <v>8.2800280928103209E-2</v>
      </c>
    </row>
    <row r="316" spans="1:4" x14ac:dyDescent="0.2">
      <c r="A316" s="10">
        <v>39736</v>
      </c>
      <c r="B316" s="9">
        <v>1770809</v>
      </c>
      <c r="C316" s="7">
        <v>-8.3783507619077713E-2</v>
      </c>
      <c r="D316" s="7">
        <f>(Table4[[#This Row],[WALCL]]/1000)/19222</f>
        <v>9.2124076578919981E-2</v>
      </c>
    </row>
    <row r="317" spans="1:4" x14ac:dyDescent="0.2">
      <c r="A317" s="10">
        <v>39743</v>
      </c>
      <c r="B317" s="9">
        <v>1802602</v>
      </c>
      <c r="C317" s="7">
        <v>-8.3783507619077713E-2</v>
      </c>
      <c r="D317" s="7">
        <f>(Table4[[#This Row],[WALCL]]/1000)/19222</f>
        <v>9.3778066798460097E-2</v>
      </c>
    </row>
    <row r="318" spans="1:4" x14ac:dyDescent="0.2">
      <c r="A318" s="10">
        <v>39750</v>
      </c>
      <c r="B318" s="9">
        <v>1969086</v>
      </c>
      <c r="C318" s="7">
        <v>-8.3783507619077713E-2</v>
      </c>
      <c r="D318" s="7">
        <f>(Table4[[#This Row],[WALCL]]/1000)/19222</f>
        <v>0.10243918426802621</v>
      </c>
    </row>
    <row r="319" spans="1:4" x14ac:dyDescent="0.2">
      <c r="A319" s="10">
        <v>39757</v>
      </c>
      <c r="B319" s="9">
        <v>2074205</v>
      </c>
      <c r="C319" s="7">
        <v>-8.3783507619077713E-2</v>
      </c>
      <c r="D319" s="7">
        <f>(Table4[[#This Row],[WALCL]]/1000)/19222</f>
        <v>0.10790786598689002</v>
      </c>
    </row>
    <row r="320" spans="1:4" x14ac:dyDescent="0.2">
      <c r="A320" s="10">
        <v>39764</v>
      </c>
      <c r="B320" s="9">
        <v>2212852</v>
      </c>
      <c r="C320" s="7">
        <v>-8.3783507619077713E-2</v>
      </c>
      <c r="D320" s="7">
        <f>(Table4[[#This Row],[WALCL]]/1000)/19222</f>
        <v>0.11512079908438247</v>
      </c>
    </row>
    <row r="321" spans="1:4" x14ac:dyDescent="0.2">
      <c r="A321" s="10">
        <v>39771</v>
      </c>
      <c r="B321" s="9">
        <v>2187137</v>
      </c>
      <c r="C321" s="7">
        <v>-8.3783507619077713E-2</v>
      </c>
      <c r="D321" s="7">
        <f>(Table4[[#This Row],[WALCL]]/1000)/19222</f>
        <v>0.11378300905212778</v>
      </c>
    </row>
    <row r="322" spans="1:4" x14ac:dyDescent="0.2">
      <c r="A322" s="10">
        <v>39778</v>
      </c>
      <c r="B322" s="9">
        <v>2106117</v>
      </c>
      <c r="C322" s="7">
        <v>-8.3783507619077713E-2</v>
      </c>
      <c r="D322" s="7">
        <f>(Table4[[#This Row],[WALCL]]/1000)/19222</f>
        <v>0.10956804702944543</v>
      </c>
    </row>
    <row r="323" spans="1:4" x14ac:dyDescent="0.2">
      <c r="A323" s="10">
        <v>39785</v>
      </c>
      <c r="B323" s="9">
        <v>2136924</v>
      </c>
      <c r="C323" s="7">
        <v>-8.3783507619077713E-2</v>
      </c>
      <c r="D323" s="7">
        <f>(Table4[[#This Row],[WALCL]]/1000)/19222</f>
        <v>0.11117074185828738</v>
      </c>
    </row>
    <row r="324" spans="1:4" x14ac:dyDescent="0.2">
      <c r="A324" s="10">
        <v>39792</v>
      </c>
      <c r="B324" s="9">
        <v>2250012</v>
      </c>
      <c r="C324" s="7">
        <v>-8.3783507619077713E-2</v>
      </c>
      <c r="D324" s="7">
        <f>(Table4[[#This Row],[WALCL]]/1000)/19222</f>
        <v>0.11705400062428468</v>
      </c>
    </row>
    <row r="325" spans="1:4" x14ac:dyDescent="0.2">
      <c r="A325" s="10">
        <v>39799</v>
      </c>
      <c r="B325" s="9">
        <v>2254983</v>
      </c>
      <c r="C325" s="7">
        <v>-8.3783507619077713E-2</v>
      </c>
      <c r="D325" s="7">
        <f>(Table4[[#This Row],[WALCL]]/1000)/19222</f>
        <v>0.11731261055041099</v>
      </c>
    </row>
    <row r="326" spans="1:4" x14ac:dyDescent="0.2">
      <c r="A326" s="10">
        <v>39806</v>
      </c>
      <c r="B326" s="9">
        <v>2232311</v>
      </c>
      <c r="C326" s="7">
        <v>-8.3783507619077713E-2</v>
      </c>
      <c r="D326" s="7">
        <f>(Table4[[#This Row],[WALCL]]/1000)/19222</f>
        <v>0.11613312870669026</v>
      </c>
    </row>
    <row r="327" spans="1:4" x14ac:dyDescent="0.2">
      <c r="A327" s="10">
        <v>39813</v>
      </c>
      <c r="B327" s="9">
        <v>2239457</v>
      </c>
      <c r="C327" s="7">
        <v>-8.3783507619077713E-2</v>
      </c>
      <c r="D327" s="7">
        <f>(Table4[[#This Row],[WALCL]]/1000)/19222</f>
        <v>0.11650489022994485</v>
      </c>
    </row>
    <row r="328" spans="1:4" x14ac:dyDescent="0.2">
      <c r="A328" s="10">
        <v>39820</v>
      </c>
      <c r="B328" s="9">
        <v>2121439</v>
      </c>
      <c r="C328" s="7">
        <v>-4.4157179886569198E-2</v>
      </c>
      <c r="D328" s="7">
        <f>(Table4[[#This Row],[WALCL]]/1000)/19222</f>
        <v>0.11036515451045677</v>
      </c>
    </row>
    <row r="329" spans="1:4" x14ac:dyDescent="0.2">
      <c r="A329" s="10">
        <v>39827</v>
      </c>
      <c r="B329" s="9">
        <v>2049714</v>
      </c>
      <c r="C329" s="7">
        <v>-4.4157179886569198E-2</v>
      </c>
      <c r="D329" s="7">
        <f>(Table4[[#This Row],[WALCL]]/1000)/19222</f>
        <v>0.10663375299136406</v>
      </c>
    </row>
    <row r="330" spans="1:4" x14ac:dyDescent="0.2">
      <c r="A330" s="10">
        <v>39834</v>
      </c>
      <c r="B330" s="9">
        <v>2037112</v>
      </c>
      <c r="C330" s="7">
        <v>-4.4157179886569198E-2</v>
      </c>
      <c r="D330" s="7">
        <f>(Table4[[#This Row],[WALCL]]/1000)/19222</f>
        <v>0.10597815003641661</v>
      </c>
    </row>
    <row r="331" spans="1:4" x14ac:dyDescent="0.2">
      <c r="A331" s="10">
        <v>39841</v>
      </c>
      <c r="B331" s="9">
        <v>1927082</v>
      </c>
      <c r="C331" s="7">
        <v>-4.4157179886569198E-2</v>
      </c>
      <c r="D331" s="7">
        <f>(Table4[[#This Row],[WALCL]]/1000)/19222</f>
        <v>0.10025397981479556</v>
      </c>
    </row>
    <row r="332" spans="1:4" x14ac:dyDescent="0.2">
      <c r="A332" s="10">
        <v>39848</v>
      </c>
      <c r="B332" s="9">
        <v>1851437</v>
      </c>
      <c r="C332" s="7">
        <v>-4.4157179886569198E-2</v>
      </c>
      <c r="D332" s="7">
        <f>(Table4[[#This Row],[WALCL]]/1000)/19222</f>
        <v>9.6318645302257824E-2</v>
      </c>
    </row>
    <row r="333" spans="1:4" x14ac:dyDescent="0.2">
      <c r="A333" s="10">
        <v>39855</v>
      </c>
      <c r="B333" s="9">
        <v>1843400</v>
      </c>
      <c r="C333" s="7">
        <v>-4.4157179886569198E-2</v>
      </c>
      <c r="D333" s="7">
        <f>(Table4[[#This Row],[WALCL]]/1000)/19222</f>
        <v>9.590053064197275E-2</v>
      </c>
    </row>
    <row r="334" spans="1:4" x14ac:dyDescent="0.2">
      <c r="A334" s="10">
        <v>39862</v>
      </c>
      <c r="B334" s="9">
        <v>1915562</v>
      </c>
      <c r="C334" s="7">
        <v>-4.4157179886569198E-2</v>
      </c>
      <c r="D334" s="7">
        <f>(Table4[[#This Row],[WALCL]]/1000)/19222</f>
        <v>9.9654666527936739E-2</v>
      </c>
    </row>
    <row r="335" spans="1:4" x14ac:dyDescent="0.2">
      <c r="A335" s="10">
        <v>39869</v>
      </c>
      <c r="B335" s="9">
        <v>1916115</v>
      </c>
      <c r="C335" s="7">
        <v>-4.4157179886569198E-2</v>
      </c>
      <c r="D335" s="7">
        <f>(Table4[[#This Row],[WALCL]]/1000)/19222</f>
        <v>9.9683435646654869E-2</v>
      </c>
    </row>
    <row r="336" spans="1:4" x14ac:dyDescent="0.2">
      <c r="A336" s="10">
        <v>39876</v>
      </c>
      <c r="B336" s="9">
        <v>1901317</v>
      </c>
      <c r="C336" s="7">
        <v>-4.4157179886569198E-2</v>
      </c>
      <c r="D336" s="7">
        <f>(Table4[[#This Row],[WALCL]]/1000)/19222</f>
        <v>9.8913588596399954E-2</v>
      </c>
    </row>
    <row r="337" spans="1:4" x14ac:dyDescent="0.2">
      <c r="A337" s="10">
        <v>39883</v>
      </c>
      <c r="B337" s="9">
        <v>1899514</v>
      </c>
      <c r="C337" s="7">
        <v>-4.4157179886569198E-2</v>
      </c>
      <c r="D337" s="7">
        <f>(Table4[[#This Row],[WALCL]]/1000)/19222</f>
        <v>9.8819789824159815E-2</v>
      </c>
    </row>
    <row r="338" spans="1:4" x14ac:dyDescent="0.2">
      <c r="A338" s="10">
        <v>39890</v>
      </c>
      <c r="B338" s="9">
        <v>2066942</v>
      </c>
      <c r="C338" s="7">
        <v>-4.4157179886569198E-2</v>
      </c>
      <c r="D338" s="7">
        <f>(Table4[[#This Row],[WALCL]]/1000)/19222</f>
        <v>0.10753001768806576</v>
      </c>
    </row>
    <row r="339" spans="1:4" x14ac:dyDescent="0.2">
      <c r="A339" s="10">
        <v>39897</v>
      </c>
      <c r="B339" s="9">
        <v>2071556</v>
      </c>
      <c r="C339" s="7">
        <v>-4.4157179886569198E-2</v>
      </c>
      <c r="D339" s="7">
        <f>(Table4[[#This Row],[WALCL]]/1000)/19222</f>
        <v>0.10777005514514619</v>
      </c>
    </row>
    <row r="340" spans="1:4" x14ac:dyDescent="0.2">
      <c r="A340" s="10">
        <v>39904</v>
      </c>
      <c r="B340" s="9">
        <v>2078936</v>
      </c>
      <c r="C340" s="7">
        <v>-5.7471620777015398E-3</v>
      </c>
      <c r="D340" s="7">
        <f>(Table4[[#This Row],[WALCL]]/1000)/19222</f>
        <v>0.10815399021954011</v>
      </c>
    </row>
    <row r="341" spans="1:4" x14ac:dyDescent="0.2">
      <c r="A341" s="10">
        <v>39911</v>
      </c>
      <c r="B341" s="9">
        <v>2088573</v>
      </c>
      <c r="C341" s="7">
        <v>-5.7471620777015398E-3</v>
      </c>
      <c r="D341" s="7">
        <f>(Table4[[#This Row],[WALCL]]/1000)/19222</f>
        <v>0.10865534283633337</v>
      </c>
    </row>
    <row r="342" spans="1:4" x14ac:dyDescent="0.2">
      <c r="A342" s="10">
        <v>39918</v>
      </c>
      <c r="B342" s="9">
        <v>2186498</v>
      </c>
      <c r="C342" s="7">
        <v>-5.7471620777015398E-3</v>
      </c>
      <c r="D342" s="7">
        <f>(Table4[[#This Row],[WALCL]]/1000)/19222</f>
        <v>0.11374976589324733</v>
      </c>
    </row>
    <row r="343" spans="1:4" x14ac:dyDescent="0.2">
      <c r="A343" s="10">
        <v>39925</v>
      </c>
      <c r="B343" s="9">
        <v>2196812</v>
      </c>
      <c r="C343" s="7">
        <v>-5.7471620777015398E-3</v>
      </c>
      <c r="D343" s="7">
        <f>(Table4[[#This Row],[WALCL]]/1000)/19222</f>
        <v>0.11428633857038809</v>
      </c>
    </row>
    <row r="344" spans="1:4" x14ac:dyDescent="0.2">
      <c r="A344" s="10">
        <v>39932</v>
      </c>
      <c r="B344" s="9">
        <v>2066712</v>
      </c>
      <c r="C344" s="7">
        <v>-5.7471620777015398E-3</v>
      </c>
      <c r="D344" s="7">
        <f>(Table4[[#This Row],[WALCL]]/1000)/19222</f>
        <v>0.10751805223181771</v>
      </c>
    </row>
    <row r="345" spans="1:4" x14ac:dyDescent="0.2">
      <c r="A345" s="10">
        <v>39939</v>
      </c>
      <c r="B345" s="9">
        <v>2079758</v>
      </c>
      <c r="C345" s="7">
        <v>-5.7471620777015398E-3</v>
      </c>
      <c r="D345" s="7">
        <f>(Table4[[#This Row],[WALCL]]/1000)/19222</f>
        <v>0.10819675371969617</v>
      </c>
    </row>
    <row r="346" spans="1:4" x14ac:dyDescent="0.2">
      <c r="A346" s="10">
        <v>39946</v>
      </c>
      <c r="B346" s="9">
        <v>2196351</v>
      </c>
      <c r="C346" s="7">
        <v>-5.7471620777015398E-3</v>
      </c>
      <c r="D346" s="7">
        <f>(Table4[[#This Row],[WALCL]]/1000)/19222</f>
        <v>0.11426235563416919</v>
      </c>
    </row>
    <row r="347" spans="1:4" x14ac:dyDescent="0.2">
      <c r="A347" s="10">
        <v>39953</v>
      </c>
      <c r="B347" s="9">
        <v>2181632</v>
      </c>
      <c r="C347" s="7">
        <v>-5.7471620777015398E-3</v>
      </c>
      <c r="D347" s="7">
        <f>(Table4[[#This Row],[WALCL]]/1000)/19222</f>
        <v>0.11349661845801685</v>
      </c>
    </row>
    <row r="348" spans="1:4" x14ac:dyDescent="0.2">
      <c r="A348" s="10">
        <v>39960</v>
      </c>
      <c r="B348" s="9">
        <v>2080115</v>
      </c>
      <c r="C348" s="7">
        <v>-5.7471620777015398E-3</v>
      </c>
      <c r="D348" s="7">
        <f>(Table4[[#This Row],[WALCL]]/1000)/19222</f>
        <v>0.10821532618874205</v>
      </c>
    </row>
    <row r="349" spans="1:4" x14ac:dyDescent="0.2">
      <c r="A349" s="10">
        <v>39967</v>
      </c>
      <c r="B349" s="9">
        <v>2077695</v>
      </c>
      <c r="C349" s="7">
        <v>-5.7471620777015398E-3</v>
      </c>
      <c r="D349" s="7">
        <f>(Table4[[#This Row],[WALCL]]/1000)/19222</f>
        <v>0.10808942877952347</v>
      </c>
    </row>
    <row r="350" spans="1:4" x14ac:dyDescent="0.2">
      <c r="A350" s="10">
        <v>39974</v>
      </c>
      <c r="B350" s="9">
        <v>2052297</v>
      </c>
      <c r="C350" s="7">
        <v>-5.7471620777015398E-3</v>
      </c>
      <c r="D350" s="7">
        <f>(Table4[[#This Row],[WALCL]]/1000)/19222</f>
        <v>0.10676813026740194</v>
      </c>
    </row>
    <row r="351" spans="1:4" x14ac:dyDescent="0.2">
      <c r="A351" s="10">
        <v>39981</v>
      </c>
      <c r="B351" s="9">
        <v>2072527</v>
      </c>
      <c r="C351" s="7">
        <v>-5.7471620777015398E-3</v>
      </c>
      <c r="D351" s="7">
        <f>(Table4[[#This Row],[WALCL]]/1000)/19222</f>
        <v>0.10782057018000209</v>
      </c>
    </row>
    <row r="352" spans="1:4" x14ac:dyDescent="0.2">
      <c r="A352" s="10">
        <v>39988</v>
      </c>
      <c r="B352" s="9">
        <v>2025571</v>
      </c>
      <c r="C352" s="7">
        <v>-5.7471620777015398E-3</v>
      </c>
      <c r="D352" s="7">
        <f>(Table4[[#This Row],[WALCL]]/1000)/19222</f>
        <v>0.10537774425137862</v>
      </c>
    </row>
    <row r="353" spans="1:4" x14ac:dyDescent="0.2">
      <c r="A353" s="10">
        <v>39995</v>
      </c>
      <c r="B353" s="9">
        <v>2005627</v>
      </c>
      <c r="C353" s="7">
        <v>1.4644183433524915E-2</v>
      </c>
      <c r="D353" s="7">
        <f>(Table4[[#This Row],[WALCL]]/1000)/19222</f>
        <v>0.10434018312350432</v>
      </c>
    </row>
    <row r="354" spans="1:4" x14ac:dyDescent="0.2">
      <c r="A354" s="10">
        <v>40002</v>
      </c>
      <c r="B354" s="9">
        <v>1992740</v>
      </c>
      <c r="C354" s="7">
        <v>1.4644183433524915E-2</v>
      </c>
      <c r="D354" s="7">
        <f>(Table4[[#This Row],[WALCL]]/1000)/19222</f>
        <v>0.10366975340755384</v>
      </c>
    </row>
    <row r="355" spans="1:4" x14ac:dyDescent="0.2">
      <c r="A355" s="10">
        <v>40009</v>
      </c>
      <c r="B355" s="9">
        <v>2072451</v>
      </c>
      <c r="C355" s="7">
        <v>1.4644183433524915E-2</v>
      </c>
      <c r="D355" s="7">
        <f>(Table4[[#This Row],[WALCL]]/1000)/19222</f>
        <v>0.10781661637706795</v>
      </c>
    </row>
    <row r="356" spans="1:4" x14ac:dyDescent="0.2">
      <c r="A356" s="10">
        <v>40016</v>
      </c>
      <c r="B356" s="9">
        <v>2039001</v>
      </c>
      <c r="C356" s="7">
        <v>1.4644183433524915E-2</v>
      </c>
      <c r="D356" s="7">
        <f>(Table4[[#This Row],[WALCL]]/1000)/19222</f>
        <v>0.10607642284881906</v>
      </c>
    </row>
    <row r="357" spans="1:4" x14ac:dyDescent="0.2">
      <c r="A357" s="10">
        <v>40023</v>
      </c>
      <c r="B357" s="9">
        <v>2000547</v>
      </c>
      <c r="C357" s="7">
        <v>1.4644183433524915E-2</v>
      </c>
      <c r="D357" s="7">
        <f>(Table4[[#This Row],[WALCL]]/1000)/19222</f>
        <v>0.10407590261159089</v>
      </c>
    </row>
    <row r="358" spans="1:4" x14ac:dyDescent="0.2">
      <c r="A358" s="10">
        <v>40030</v>
      </c>
      <c r="B358" s="9">
        <v>1989203</v>
      </c>
      <c r="C358" s="7">
        <v>1.4644183433524915E-2</v>
      </c>
      <c r="D358" s="7">
        <f>(Table4[[#This Row],[WALCL]]/1000)/19222</f>
        <v>0.10348574549994798</v>
      </c>
    </row>
    <row r="359" spans="1:4" x14ac:dyDescent="0.2">
      <c r="A359" s="10">
        <v>40037</v>
      </c>
      <c r="B359" s="9">
        <v>2014899</v>
      </c>
      <c r="C359" s="7">
        <v>1.4644183433524915E-2</v>
      </c>
      <c r="D359" s="7">
        <f>(Table4[[#This Row],[WALCL]]/1000)/19222</f>
        <v>0.10482254708146914</v>
      </c>
    </row>
    <row r="360" spans="1:4" x14ac:dyDescent="0.2">
      <c r="A360" s="10">
        <v>40044</v>
      </c>
      <c r="B360" s="9">
        <v>2060641</v>
      </c>
      <c r="C360" s="7">
        <v>1.4644183433524915E-2</v>
      </c>
      <c r="D360" s="7">
        <f>(Table4[[#This Row],[WALCL]]/1000)/19222</f>
        <v>0.10720221621059203</v>
      </c>
    </row>
    <row r="361" spans="1:4" x14ac:dyDescent="0.2">
      <c r="A361" s="10">
        <v>40051</v>
      </c>
      <c r="B361" s="9">
        <v>2074902</v>
      </c>
      <c r="C361" s="7">
        <v>1.4644183433524915E-2</v>
      </c>
      <c r="D361" s="7">
        <f>(Table4[[#This Row],[WALCL]]/1000)/19222</f>
        <v>0.1079441265216939</v>
      </c>
    </row>
    <row r="362" spans="1:4" x14ac:dyDescent="0.2">
      <c r="A362" s="10">
        <v>40058</v>
      </c>
      <c r="B362" s="9">
        <v>2083720</v>
      </c>
      <c r="C362" s="7">
        <v>1.4644183433524915E-2</v>
      </c>
      <c r="D362" s="7">
        <f>(Table4[[#This Row],[WALCL]]/1000)/19222</f>
        <v>0.10840287170949953</v>
      </c>
    </row>
    <row r="363" spans="1:4" x14ac:dyDescent="0.2">
      <c r="A363" s="10">
        <v>40065</v>
      </c>
      <c r="B363" s="9">
        <v>2087946</v>
      </c>
      <c r="C363" s="7">
        <v>1.4644183433524915E-2</v>
      </c>
      <c r="D363" s="7">
        <f>(Table4[[#This Row],[WALCL]]/1000)/19222</f>
        <v>0.10862272396212673</v>
      </c>
    </row>
    <row r="364" spans="1:4" x14ac:dyDescent="0.2">
      <c r="A364" s="10">
        <v>40072</v>
      </c>
      <c r="B364" s="9">
        <v>2139783</v>
      </c>
      <c r="C364" s="7">
        <v>1.4644183433524915E-2</v>
      </c>
      <c r="D364" s="7">
        <f>(Table4[[#This Row],[WALCL]]/1000)/19222</f>
        <v>0.1113194776818229</v>
      </c>
    </row>
    <row r="365" spans="1:4" x14ac:dyDescent="0.2">
      <c r="A365" s="10">
        <v>40079</v>
      </c>
      <c r="B365" s="9">
        <v>2158631</v>
      </c>
      <c r="C365" s="7">
        <v>1.4644183433524915E-2</v>
      </c>
      <c r="D365" s="7">
        <f>(Table4[[#This Row],[WALCL]]/1000)/19222</f>
        <v>0.11230002080948912</v>
      </c>
    </row>
    <row r="366" spans="1:4" x14ac:dyDescent="0.2">
      <c r="A366" s="10">
        <v>40086</v>
      </c>
      <c r="B366" s="9">
        <v>2141020</v>
      </c>
      <c r="C366" s="7">
        <v>1.4644183433524915E-2</v>
      </c>
      <c r="D366" s="7">
        <f>(Table4[[#This Row],[WALCL]]/1000)/19222</f>
        <v>0.11138383102694829</v>
      </c>
    </row>
    <row r="367" spans="1:4" x14ac:dyDescent="0.2">
      <c r="A367" s="10">
        <v>40093</v>
      </c>
      <c r="B367" s="9">
        <v>2138086</v>
      </c>
      <c r="C367" s="7">
        <v>4.4664547879113226E-2</v>
      </c>
      <c r="D367" s="7">
        <f>(Table4[[#This Row],[WALCL]]/1000)/19222</f>
        <v>0.11123119342420143</v>
      </c>
    </row>
    <row r="368" spans="1:4" x14ac:dyDescent="0.2">
      <c r="A368" s="10">
        <v>40100</v>
      </c>
      <c r="B368" s="9">
        <v>2192787</v>
      </c>
      <c r="C368" s="7">
        <v>4.4664547879113226E-2</v>
      </c>
      <c r="D368" s="7">
        <f>(Table4[[#This Row],[WALCL]]/1000)/19222</f>
        <v>0.11407694308604722</v>
      </c>
    </row>
    <row r="369" spans="1:4" x14ac:dyDescent="0.2">
      <c r="A369" s="10">
        <v>40107</v>
      </c>
      <c r="B369" s="9">
        <v>2201119</v>
      </c>
      <c r="C369" s="7">
        <v>4.4664547879113226E-2</v>
      </c>
      <c r="D369" s="7">
        <f>(Table4[[#This Row],[WALCL]]/1000)/19222</f>
        <v>0.11451040474456353</v>
      </c>
    </row>
    <row r="370" spans="1:4" x14ac:dyDescent="0.2">
      <c r="A370" s="10">
        <v>40114</v>
      </c>
      <c r="B370" s="9">
        <v>2161537</v>
      </c>
      <c r="C370" s="7">
        <v>4.4664547879113226E-2</v>
      </c>
      <c r="D370" s="7">
        <f>(Table4[[#This Row],[WALCL]]/1000)/19222</f>
        <v>0.11245120174799708</v>
      </c>
    </row>
    <row r="371" spans="1:4" x14ac:dyDescent="0.2">
      <c r="A371" s="10">
        <v>40121</v>
      </c>
      <c r="B371" s="9">
        <v>2165067</v>
      </c>
      <c r="C371" s="7">
        <v>4.4664547879113226E-2</v>
      </c>
      <c r="D371" s="7">
        <f>(Table4[[#This Row],[WALCL]]/1000)/19222</f>
        <v>0.11263484548954324</v>
      </c>
    </row>
    <row r="372" spans="1:4" x14ac:dyDescent="0.2">
      <c r="A372" s="10">
        <v>40128</v>
      </c>
      <c r="B372" s="9">
        <v>2135035</v>
      </c>
      <c r="C372" s="7">
        <v>4.4664547879113226E-2</v>
      </c>
      <c r="D372" s="7">
        <f>(Table4[[#This Row],[WALCL]]/1000)/19222</f>
        <v>0.11107246904588491</v>
      </c>
    </row>
    <row r="373" spans="1:4" x14ac:dyDescent="0.2">
      <c r="A373" s="10">
        <v>40135</v>
      </c>
      <c r="B373" s="9">
        <v>2208721</v>
      </c>
      <c r="C373" s="7">
        <v>4.4664547879113226E-2</v>
      </c>
      <c r="D373" s="7">
        <f>(Table4[[#This Row],[WALCL]]/1000)/19222</f>
        <v>0.11490588908542296</v>
      </c>
    </row>
    <row r="374" spans="1:4" x14ac:dyDescent="0.2">
      <c r="A374" s="12">
        <v>40142</v>
      </c>
      <c r="B374" s="11">
        <v>2206359</v>
      </c>
      <c r="C374" s="7">
        <v>4.4664547879113226E-2</v>
      </c>
      <c r="D374" s="7">
        <f>(Table4[[#This Row],[WALCL]]/1000)/19222</f>
        <v>0.11478300905212777</v>
      </c>
    </row>
    <row r="375" spans="1:4" x14ac:dyDescent="0.2">
      <c r="A375" s="10">
        <v>40149</v>
      </c>
      <c r="B375" s="9">
        <v>2204074</v>
      </c>
      <c r="C375" s="7">
        <v>4.4664547879113226E-2</v>
      </c>
      <c r="D375" s="7">
        <f>(Table4[[#This Row],[WALCL]]/1000)/19222</f>
        <v>0.11466413484548954</v>
      </c>
    </row>
    <row r="376" spans="1:4" x14ac:dyDescent="0.2">
      <c r="A376" s="10">
        <v>40156</v>
      </c>
      <c r="B376" s="9">
        <v>2186383</v>
      </c>
      <c r="C376" s="7">
        <v>4.4664547879113226E-2</v>
      </c>
      <c r="D376" s="7">
        <f>(Table4[[#This Row],[WALCL]]/1000)/19222</f>
        <v>0.11374378316512329</v>
      </c>
    </row>
    <row r="377" spans="1:4" x14ac:dyDescent="0.2">
      <c r="A377" s="10">
        <v>40163</v>
      </c>
      <c r="B377" s="9">
        <v>2235763</v>
      </c>
      <c r="C377" s="7">
        <v>4.4664547879113226E-2</v>
      </c>
      <c r="D377" s="7">
        <f>(Table4[[#This Row],[WALCL]]/1000)/19222</f>
        <v>0.11631271459785662</v>
      </c>
    </row>
    <row r="378" spans="1:4" x14ac:dyDescent="0.2">
      <c r="A378" s="10">
        <v>40170</v>
      </c>
      <c r="B378" s="9">
        <v>2235803</v>
      </c>
      <c r="C378" s="7">
        <v>4.4664547879113226E-2</v>
      </c>
      <c r="D378" s="7">
        <f>(Table4[[#This Row],[WALCL]]/1000)/19222</f>
        <v>0.11631479554676932</v>
      </c>
    </row>
    <row r="379" spans="1:4" x14ac:dyDescent="0.2">
      <c r="A379" s="10">
        <v>40177</v>
      </c>
      <c r="B379" s="9">
        <v>2234067</v>
      </c>
      <c r="C379" s="7">
        <v>4.4664547879113226E-2</v>
      </c>
      <c r="D379" s="7">
        <f>(Table4[[#This Row],[WALCL]]/1000)/19222</f>
        <v>0.11622448236395796</v>
      </c>
    </row>
    <row r="380" spans="1:4" x14ac:dyDescent="0.2">
      <c r="A380" s="10">
        <v>40184</v>
      </c>
      <c r="B380" s="9">
        <v>2235304</v>
      </c>
      <c r="C380" s="7">
        <v>1.5480250950848484E-2</v>
      </c>
      <c r="D380" s="7">
        <f>(Table4[[#This Row],[WALCL]]/1000)/19222</f>
        <v>0.11628883570908334</v>
      </c>
    </row>
    <row r="381" spans="1:4" x14ac:dyDescent="0.2">
      <c r="A381" s="10">
        <v>40191</v>
      </c>
      <c r="B381" s="9">
        <v>2291700</v>
      </c>
      <c r="C381" s="7">
        <v>1.5480250950848484E-2</v>
      </c>
      <c r="D381" s="7">
        <f>(Table4[[#This Row],[WALCL]]/1000)/19222</f>
        <v>0.11922276558110498</v>
      </c>
    </row>
    <row r="382" spans="1:4" x14ac:dyDescent="0.2">
      <c r="A382" s="10">
        <v>40198</v>
      </c>
      <c r="B382" s="9">
        <v>2251806</v>
      </c>
      <c r="C382" s="7">
        <v>1.5480250950848484E-2</v>
      </c>
      <c r="D382" s="7">
        <f>(Table4[[#This Row],[WALCL]]/1000)/19222</f>
        <v>0.11714733118301945</v>
      </c>
    </row>
    <row r="383" spans="1:4" x14ac:dyDescent="0.2">
      <c r="A383" s="10">
        <v>40205</v>
      </c>
      <c r="B383" s="9">
        <v>2246886</v>
      </c>
      <c r="C383" s="7">
        <v>1.5480250950848484E-2</v>
      </c>
      <c r="D383" s="7">
        <f>(Table4[[#This Row],[WALCL]]/1000)/19222</f>
        <v>0.11689137446675683</v>
      </c>
    </row>
    <row r="384" spans="1:4" x14ac:dyDescent="0.2">
      <c r="A384" s="10">
        <v>40212</v>
      </c>
      <c r="B384" s="9">
        <v>2249319</v>
      </c>
      <c r="C384" s="7">
        <v>1.5480250950848484E-2</v>
      </c>
      <c r="D384" s="7">
        <f>(Table4[[#This Row],[WALCL]]/1000)/19222</f>
        <v>0.11701794818437207</v>
      </c>
    </row>
    <row r="385" spans="1:5" x14ac:dyDescent="0.2">
      <c r="A385" s="10">
        <v>40219</v>
      </c>
      <c r="B385" s="9">
        <v>2256679</v>
      </c>
      <c r="C385" s="7">
        <v>1.5480250950848484E-2</v>
      </c>
      <c r="D385" s="7">
        <f>(Table4[[#This Row],[WALCL]]/1000)/19222</f>
        <v>0.11740084278430965</v>
      </c>
    </row>
    <row r="386" spans="1:5" x14ac:dyDescent="0.2">
      <c r="A386" s="10">
        <v>40226</v>
      </c>
      <c r="B386" s="9">
        <v>2277574</v>
      </c>
      <c r="C386" s="7">
        <v>1.5480250950848484E-2</v>
      </c>
      <c r="D386" s="7">
        <f>(Table4[[#This Row],[WALCL]]/1000)/19222</f>
        <v>0.1184878784725835</v>
      </c>
    </row>
    <row r="387" spans="1:5" x14ac:dyDescent="0.2">
      <c r="A387" s="10">
        <v>40233</v>
      </c>
      <c r="B387" s="9">
        <v>2286127</v>
      </c>
      <c r="C387" s="7">
        <v>1.5480250950848484E-2</v>
      </c>
      <c r="D387" s="7">
        <f>(Table4[[#This Row],[WALCL]]/1000)/19222</f>
        <v>0.11893283737384247</v>
      </c>
    </row>
    <row r="388" spans="1:5" x14ac:dyDescent="0.2">
      <c r="A388" s="10">
        <v>40240</v>
      </c>
      <c r="B388" s="9">
        <v>2280147</v>
      </c>
      <c r="C388" s="7">
        <v>1.5480250950848484E-2</v>
      </c>
      <c r="D388" s="7">
        <f>(Table4[[#This Row],[WALCL]]/1000)/19222</f>
        <v>0.1186217355113932</v>
      </c>
    </row>
    <row r="389" spans="1:5" x14ac:dyDescent="0.2">
      <c r="A389" s="10">
        <v>40247</v>
      </c>
      <c r="B389" s="9">
        <v>2282474</v>
      </c>
      <c r="C389" s="7">
        <v>1.5480250950848484E-2</v>
      </c>
      <c r="D389" s="7">
        <f>(Table4[[#This Row],[WALCL]]/1000)/19222</f>
        <v>0.11874279471438977</v>
      </c>
    </row>
    <row r="390" spans="1:5" x14ac:dyDescent="0.2">
      <c r="A390" s="10">
        <v>40254</v>
      </c>
      <c r="B390" s="9">
        <v>2307997</v>
      </c>
      <c r="C390" s="7">
        <v>1.5480250950848484E-2</v>
      </c>
      <c r="D390" s="7">
        <f>(Table4[[#This Row],[WALCL]]/1000)/19222</f>
        <v>0.12007059619186349</v>
      </c>
    </row>
    <row r="391" spans="1:5" x14ac:dyDescent="0.2">
      <c r="A391" s="10">
        <v>40261</v>
      </c>
      <c r="B391" s="9">
        <v>2313149</v>
      </c>
      <c r="C391" s="7">
        <v>1.5480250950848484E-2</v>
      </c>
      <c r="D391" s="7">
        <f>(Table4[[#This Row],[WALCL]]/1000)/19222</f>
        <v>0.12033862241181978</v>
      </c>
    </row>
    <row r="392" spans="1:5" x14ac:dyDescent="0.2">
      <c r="A392" s="10">
        <v>40268</v>
      </c>
      <c r="B392" s="9">
        <v>2307150</v>
      </c>
      <c r="C392" s="7">
        <v>1.5480250950848484E-2</v>
      </c>
      <c r="D392" s="7">
        <f>(Table4[[#This Row],[WALCL]]/1000)/19222</f>
        <v>0.12002653209863698</v>
      </c>
      <c r="E392" s="13"/>
    </row>
    <row r="393" spans="1:5" x14ac:dyDescent="0.2">
      <c r="A393" s="10">
        <v>40275</v>
      </c>
      <c r="B393" s="9">
        <v>2307575</v>
      </c>
      <c r="C393" s="7">
        <v>3.7394356501167847E-2</v>
      </c>
      <c r="D393" s="7">
        <f>(Table4[[#This Row],[WALCL]]/1000)/19222</f>
        <v>0.12004864218083446</v>
      </c>
    </row>
    <row r="394" spans="1:5" x14ac:dyDescent="0.2">
      <c r="A394" s="10">
        <v>40282</v>
      </c>
      <c r="B394" s="9">
        <v>2339345</v>
      </c>
      <c r="C394" s="7">
        <v>3.7394356501167847E-2</v>
      </c>
      <c r="D394" s="7">
        <f>(Table4[[#This Row],[WALCL]]/1000)/19222</f>
        <v>0.12170143585474975</v>
      </c>
    </row>
    <row r="395" spans="1:5" x14ac:dyDescent="0.2">
      <c r="A395" s="10">
        <v>40289</v>
      </c>
      <c r="B395" s="9">
        <v>2337556</v>
      </c>
      <c r="C395" s="7">
        <v>3.7394356501167847E-2</v>
      </c>
      <c r="D395" s="7">
        <f>(Table4[[#This Row],[WALCL]]/1000)/19222</f>
        <v>0.12160836541462908</v>
      </c>
    </row>
    <row r="396" spans="1:5" x14ac:dyDescent="0.2">
      <c r="A396" s="10">
        <v>40296</v>
      </c>
      <c r="B396" s="9">
        <v>2330472</v>
      </c>
      <c r="C396" s="7">
        <v>3.7394356501167847E-2</v>
      </c>
      <c r="D396" s="7">
        <f>(Table4[[#This Row],[WALCL]]/1000)/19222</f>
        <v>0.12123982936218917</v>
      </c>
    </row>
    <row r="397" spans="1:5" x14ac:dyDescent="0.2">
      <c r="A397" s="10">
        <v>40303</v>
      </c>
      <c r="B397" s="9">
        <v>2326164</v>
      </c>
      <c r="C397" s="7">
        <v>3.7394356501167847E-2</v>
      </c>
      <c r="D397" s="7">
        <f>(Table4[[#This Row],[WALCL]]/1000)/19222</f>
        <v>0.12101571116429093</v>
      </c>
    </row>
    <row r="398" spans="1:5" x14ac:dyDescent="0.2">
      <c r="A398" s="10">
        <v>40310</v>
      </c>
      <c r="B398" s="9">
        <v>2336103</v>
      </c>
      <c r="C398" s="7">
        <v>3.7394356501167847E-2</v>
      </c>
      <c r="D398" s="7">
        <f>(Table4[[#This Row],[WALCL]]/1000)/19222</f>
        <v>0.12153277494537509</v>
      </c>
    </row>
    <row r="399" spans="1:5" x14ac:dyDescent="0.2">
      <c r="A399" s="10">
        <v>40317</v>
      </c>
      <c r="B399" s="9">
        <v>2350890</v>
      </c>
      <c r="C399" s="7">
        <v>3.7394356501167847E-2</v>
      </c>
      <c r="D399" s="7">
        <f>(Table4[[#This Row],[WALCL]]/1000)/19222</f>
        <v>0.12230204973467901</v>
      </c>
    </row>
    <row r="400" spans="1:5" x14ac:dyDescent="0.2">
      <c r="A400" s="10">
        <v>40324</v>
      </c>
      <c r="B400" s="9">
        <v>2334041</v>
      </c>
      <c r="C400" s="7">
        <v>3.7394356501167847E-2</v>
      </c>
      <c r="D400" s="7">
        <f>(Table4[[#This Row],[WALCL]]/1000)/19222</f>
        <v>0.1214255020289252</v>
      </c>
    </row>
    <row r="401" spans="1:16" x14ac:dyDescent="0.2">
      <c r="A401" s="10">
        <v>40331</v>
      </c>
      <c r="B401" s="9">
        <v>2336216</v>
      </c>
      <c r="C401" s="7">
        <v>3.7394356501167847E-2</v>
      </c>
      <c r="D401" s="7">
        <f>(Table4[[#This Row],[WALCL]]/1000)/19222</f>
        <v>0.12153865362605347</v>
      </c>
    </row>
    <row r="402" spans="1:16" x14ac:dyDescent="0.2">
      <c r="A402" s="10">
        <v>40338</v>
      </c>
      <c r="B402" s="9">
        <v>2331529</v>
      </c>
      <c r="C402" s="7">
        <v>3.7394356501167847E-2</v>
      </c>
      <c r="D402" s="7">
        <f>(Table4[[#This Row],[WALCL]]/1000)/19222</f>
        <v>0.12129481843720737</v>
      </c>
    </row>
    <row r="403" spans="1:16" x14ac:dyDescent="0.2">
      <c r="A403" s="10">
        <v>40345</v>
      </c>
      <c r="B403" s="9">
        <v>2344316</v>
      </c>
      <c r="C403" s="7">
        <v>3.7394356501167847E-2</v>
      </c>
      <c r="D403" s="7">
        <f>(Table4[[#This Row],[WALCL]]/1000)/19222</f>
        <v>0.12196004578087608</v>
      </c>
    </row>
    <row r="404" spans="1:16" x14ac:dyDescent="0.2">
      <c r="A404" s="10">
        <v>40352</v>
      </c>
      <c r="B404" s="9">
        <v>2344497</v>
      </c>
      <c r="C404" s="7">
        <v>3.7394356501167847E-2</v>
      </c>
      <c r="D404" s="7">
        <f>(Table4[[#This Row],[WALCL]]/1000)/19222</f>
        <v>0.12196946207470606</v>
      </c>
    </row>
    <row r="405" spans="1:16" x14ac:dyDescent="0.2">
      <c r="A405" s="10">
        <v>40359</v>
      </c>
      <c r="B405" s="9">
        <v>2330851</v>
      </c>
      <c r="C405" s="7">
        <v>3.7394356501167847E-2</v>
      </c>
      <c r="D405" s="7">
        <f>(Table4[[#This Row],[WALCL]]/1000)/19222</f>
        <v>0.12125954635313704</v>
      </c>
    </row>
    <row r="406" spans="1:16" x14ac:dyDescent="0.2">
      <c r="A406" s="10">
        <v>40366</v>
      </c>
      <c r="B406" s="9">
        <v>2332017</v>
      </c>
      <c r="C406" s="7">
        <v>2.9816144838429537E-2</v>
      </c>
      <c r="D406" s="7">
        <f>(Table4[[#This Row],[WALCL]]/1000)/19222</f>
        <v>0.12132020601394235</v>
      </c>
    </row>
    <row r="407" spans="1:16" x14ac:dyDescent="0.2">
      <c r="A407" s="10">
        <v>40373</v>
      </c>
      <c r="B407" s="9">
        <v>2340717</v>
      </c>
      <c r="C407" s="7">
        <v>2.9816144838429537E-2</v>
      </c>
      <c r="D407" s="7">
        <f>(Table4[[#This Row],[WALCL]]/1000)/19222</f>
        <v>0.12177281240245552</v>
      </c>
    </row>
    <row r="408" spans="1:16" x14ac:dyDescent="0.2">
      <c r="A408" s="10">
        <v>40380</v>
      </c>
      <c r="B408" s="9">
        <v>2332322</v>
      </c>
      <c r="C408" s="7">
        <v>2.9816144838429537E-2</v>
      </c>
      <c r="D408" s="7">
        <f>(Table4[[#This Row],[WALCL]]/1000)/19222</f>
        <v>0.12133607324940174</v>
      </c>
    </row>
    <row r="409" spans="1:16" x14ac:dyDescent="0.2">
      <c r="A409" s="10">
        <v>40387</v>
      </c>
      <c r="B409" s="9">
        <v>2325298</v>
      </c>
      <c r="C409" s="7">
        <v>2.9816144838429537E-2</v>
      </c>
      <c r="D409" s="7">
        <f>(Table4[[#This Row],[WALCL]]/1000)/19222</f>
        <v>0.12097065862033086</v>
      </c>
    </row>
    <row r="410" spans="1:16" x14ac:dyDescent="0.2">
      <c r="A410" s="10">
        <v>40394</v>
      </c>
      <c r="B410" s="9">
        <v>2326479</v>
      </c>
      <c r="C410" s="7">
        <v>2.9816144838429537E-2</v>
      </c>
      <c r="D410" s="7">
        <f>(Table4[[#This Row],[WALCL]]/1000)/19222</f>
        <v>0.12103209863697845</v>
      </c>
    </row>
    <row r="411" spans="1:16" x14ac:dyDescent="0.2">
      <c r="A411" s="10">
        <v>40401</v>
      </c>
      <c r="B411" s="9">
        <v>2327533</v>
      </c>
      <c r="C411" s="7">
        <v>2.9816144838429537E-2</v>
      </c>
      <c r="D411" s="7">
        <f>(Table4[[#This Row],[WALCL]]/1000)/19222</f>
        <v>0.12108693164082822</v>
      </c>
      <c r="E411" s="13"/>
      <c r="P411" s="3"/>
    </row>
    <row r="412" spans="1:16" x14ac:dyDescent="0.2">
      <c r="A412" s="10">
        <v>40408</v>
      </c>
      <c r="B412" s="9">
        <v>2313662</v>
      </c>
      <c r="C412" s="7">
        <v>2.9816144838429537E-2</v>
      </c>
      <c r="D412" s="7">
        <f>(Table4[[#This Row],[WALCL]]/1000)/19222</f>
        <v>0.12036531058162521</v>
      </c>
    </row>
    <row r="413" spans="1:16" x14ac:dyDescent="0.2">
      <c r="A413" s="10">
        <v>40415</v>
      </c>
      <c r="B413" s="9">
        <v>2301015</v>
      </c>
      <c r="C413" s="7">
        <v>2.9816144838429537E-2</v>
      </c>
      <c r="D413" s="7">
        <f>(Table4[[#This Row],[WALCL]]/1000)/19222</f>
        <v>0.11970736655915097</v>
      </c>
    </row>
    <row r="414" spans="1:16" x14ac:dyDescent="0.2">
      <c r="A414" s="10">
        <v>40422</v>
      </c>
      <c r="B414" s="9">
        <v>2301996</v>
      </c>
      <c r="C414" s="7">
        <v>2.9816144838429537E-2</v>
      </c>
      <c r="D414" s="7">
        <f>(Table4[[#This Row],[WALCL]]/1000)/19222</f>
        <v>0.11975840183123505</v>
      </c>
    </row>
    <row r="415" spans="1:16" x14ac:dyDescent="0.2">
      <c r="A415" s="10">
        <v>40429</v>
      </c>
      <c r="B415" s="9">
        <v>2305802</v>
      </c>
      <c r="C415" s="7">
        <v>2.9816144838429537E-2</v>
      </c>
      <c r="D415" s="7">
        <f>(Table4[[#This Row],[WALCL]]/1000)/19222</f>
        <v>0.11995640412027886</v>
      </c>
    </row>
    <row r="416" spans="1:16" x14ac:dyDescent="0.2">
      <c r="A416" s="10">
        <v>40436</v>
      </c>
      <c r="B416" s="9">
        <v>2296079</v>
      </c>
      <c r="C416" s="7">
        <v>2.9816144838429537E-2</v>
      </c>
      <c r="D416" s="7">
        <f>(Table4[[#This Row],[WALCL]]/1000)/19222</f>
        <v>0.11945057746332328</v>
      </c>
    </row>
    <row r="417" spans="1:5" x14ac:dyDescent="0.2">
      <c r="A417" s="10">
        <v>40443</v>
      </c>
      <c r="B417" s="9">
        <v>2307171</v>
      </c>
      <c r="C417" s="7">
        <v>2.9816144838429537E-2</v>
      </c>
      <c r="D417" s="7">
        <f>(Table4[[#This Row],[WALCL]]/1000)/19222</f>
        <v>0.12002762459681614</v>
      </c>
    </row>
    <row r="418" spans="1:5" x14ac:dyDescent="0.2">
      <c r="A418" s="10">
        <v>40450</v>
      </c>
      <c r="B418" s="9">
        <v>2298691</v>
      </c>
      <c r="C418" s="7">
        <v>2.9816144838429537E-2</v>
      </c>
      <c r="D418" s="7">
        <f>(Table4[[#This Row],[WALCL]]/1000)/19222</f>
        <v>0.11958646342732285</v>
      </c>
      <c r="E418" s="13"/>
    </row>
    <row r="419" spans="1:5" x14ac:dyDescent="0.2">
      <c r="A419" s="10">
        <v>40457</v>
      </c>
      <c r="B419" s="9">
        <v>2308092</v>
      </c>
      <c r="C419" s="7">
        <v>2.0227751545476291E-2</v>
      </c>
      <c r="D419" s="7">
        <f>(Table4[[#This Row],[WALCL]]/1000)/19222</f>
        <v>0.12007553844553116</v>
      </c>
    </row>
    <row r="420" spans="1:5" x14ac:dyDescent="0.2">
      <c r="A420" s="10">
        <v>40464</v>
      </c>
      <c r="B420" s="9">
        <v>2309885</v>
      </c>
      <c r="C420" s="7">
        <v>2.0227751545476291E-2</v>
      </c>
      <c r="D420" s="7">
        <f>(Table4[[#This Row],[WALCL]]/1000)/19222</f>
        <v>0.12016881698054314</v>
      </c>
    </row>
    <row r="421" spans="1:5" x14ac:dyDescent="0.2">
      <c r="A421" s="10">
        <v>40471</v>
      </c>
      <c r="B421" s="9">
        <v>2305227</v>
      </c>
      <c r="C421" s="7">
        <v>2.0227751545476291E-2</v>
      </c>
      <c r="D421" s="7">
        <f>(Table4[[#This Row],[WALCL]]/1000)/19222</f>
        <v>0.11992649047965871</v>
      </c>
    </row>
    <row r="422" spans="1:5" x14ac:dyDescent="0.2">
      <c r="A422" s="10">
        <v>40478</v>
      </c>
      <c r="B422" s="9">
        <v>2295392</v>
      </c>
      <c r="C422" s="7">
        <v>2.0227751545476291E-2</v>
      </c>
      <c r="D422" s="7">
        <f>(Table4[[#This Row],[WALCL]]/1000)/19222</f>
        <v>0.11941483716574758</v>
      </c>
    </row>
    <row r="423" spans="1:5" x14ac:dyDescent="0.2">
      <c r="A423" s="10">
        <v>40485</v>
      </c>
      <c r="B423" s="9">
        <v>2300353</v>
      </c>
      <c r="C423" s="7">
        <v>2.0227751545476291E-2</v>
      </c>
      <c r="D423" s="7">
        <f>(Table4[[#This Row],[WALCL]]/1000)/19222</f>
        <v>0.11967292685464573</v>
      </c>
      <c r="E423" s="13"/>
    </row>
    <row r="424" spans="1:5" x14ac:dyDescent="0.2">
      <c r="A424" s="10">
        <v>40492</v>
      </c>
      <c r="B424" s="9">
        <v>2312768</v>
      </c>
      <c r="C424" s="7">
        <v>2.0227751545476291E-2</v>
      </c>
      <c r="D424" s="7">
        <f>(Table4[[#This Row],[WALCL]]/1000)/19222</f>
        <v>0.12031880137342628</v>
      </c>
    </row>
    <row r="425" spans="1:5" x14ac:dyDescent="0.2">
      <c r="A425" s="10">
        <v>40499</v>
      </c>
      <c r="B425" s="9">
        <v>2314757</v>
      </c>
      <c r="C425" s="7">
        <v>2.0227751545476291E-2</v>
      </c>
      <c r="D425" s="7">
        <f>(Table4[[#This Row],[WALCL]]/1000)/19222</f>
        <v>0.1204222765581105</v>
      </c>
    </row>
    <row r="426" spans="1:5" x14ac:dyDescent="0.2">
      <c r="A426" s="10">
        <v>40506</v>
      </c>
      <c r="B426" s="9">
        <v>2346001</v>
      </c>
      <c r="C426" s="7">
        <v>2.0227751545476291E-2</v>
      </c>
      <c r="D426" s="7">
        <f>(Table4[[#This Row],[WALCL]]/1000)/19222</f>
        <v>0.12204770575382376</v>
      </c>
    </row>
    <row r="427" spans="1:5" x14ac:dyDescent="0.2">
      <c r="A427" s="10">
        <v>40513</v>
      </c>
      <c r="B427" s="9">
        <v>2346920</v>
      </c>
      <c r="C427" s="7">
        <v>2.0227751545476291E-2</v>
      </c>
      <c r="D427" s="7">
        <f>(Table4[[#This Row],[WALCL]]/1000)/19222</f>
        <v>0.12209551555509313</v>
      </c>
    </row>
    <row r="428" spans="1:5" x14ac:dyDescent="0.2">
      <c r="A428" s="10">
        <v>40520</v>
      </c>
      <c r="B428" s="9">
        <v>2382294</v>
      </c>
      <c r="C428" s="7">
        <v>2.0227751545476291E-2</v>
      </c>
      <c r="D428" s="7">
        <f>(Table4[[#This Row],[WALCL]]/1000)/19222</f>
        <v>0.12393580272604307</v>
      </c>
    </row>
    <row r="429" spans="1:5" x14ac:dyDescent="0.2">
      <c r="A429" s="10">
        <v>40527</v>
      </c>
      <c r="B429" s="9">
        <v>2385754</v>
      </c>
      <c r="C429" s="7">
        <v>2.0227751545476291E-2</v>
      </c>
      <c r="D429" s="7">
        <f>(Table4[[#This Row],[WALCL]]/1000)/19222</f>
        <v>0.12411580480699198</v>
      </c>
    </row>
    <row r="430" spans="1:5" x14ac:dyDescent="0.2">
      <c r="A430" s="10">
        <v>40534</v>
      </c>
      <c r="B430" s="9">
        <v>2427921</v>
      </c>
      <c r="C430" s="7">
        <v>2.0227751545476291E-2</v>
      </c>
      <c r="D430" s="7">
        <f>(Table4[[#This Row],[WALCL]]/1000)/19222</f>
        <v>0.12630948912704193</v>
      </c>
    </row>
    <row r="431" spans="1:5" x14ac:dyDescent="0.2">
      <c r="A431" s="10">
        <v>40541</v>
      </c>
      <c r="B431" s="9">
        <v>2420570</v>
      </c>
      <c r="C431" s="7">
        <v>2.0227751545476291E-2</v>
      </c>
      <c r="D431" s="7">
        <f>(Table4[[#This Row],[WALCL]]/1000)/19222</f>
        <v>0.12592706274060972</v>
      </c>
    </row>
    <row r="432" spans="1:5" x14ac:dyDescent="0.2">
      <c r="A432" s="10">
        <v>40548</v>
      </c>
      <c r="B432" s="9">
        <v>2436064</v>
      </c>
      <c r="C432" s="7">
        <v>-9.5830184638887594E-3</v>
      </c>
      <c r="D432" s="7">
        <f>(Table4[[#This Row],[WALCL]]/1000)/19222</f>
        <v>0.12673311830194567</v>
      </c>
    </row>
    <row r="433" spans="1:4" x14ac:dyDescent="0.2">
      <c r="A433" s="10">
        <v>40555</v>
      </c>
      <c r="B433" s="9">
        <v>2468131</v>
      </c>
      <c r="C433" s="7">
        <v>-9.5830184638887594E-3</v>
      </c>
      <c r="D433" s="7">
        <f>(Table4[[#This Row],[WALCL]]/1000)/19222</f>
        <v>0.12840136302153782</v>
      </c>
    </row>
    <row r="434" spans="1:4" x14ac:dyDescent="0.2">
      <c r="A434" s="10">
        <v>40562</v>
      </c>
      <c r="B434" s="9">
        <v>2425164</v>
      </c>
      <c r="C434" s="7">
        <v>-9.5830184638887594E-3</v>
      </c>
      <c r="D434" s="7">
        <f>(Table4[[#This Row],[WALCL]]/1000)/19222</f>
        <v>0.1261660597232338</v>
      </c>
    </row>
    <row r="435" spans="1:4" x14ac:dyDescent="0.2">
      <c r="A435" s="10">
        <v>40569</v>
      </c>
      <c r="B435" s="9">
        <v>2443527</v>
      </c>
      <c r="C435" s="7">
        <v>-9.5830184638887594E-3</v>
      </c>
      <c r="D435" s="7">
        <f>(Table4[[#This Row],[WALCL]]/1000)/19222</f>
        <v>0.12712137134533347</v>
      </c>
    </row>
    <row r="436" spans="1:4" x14ac:dyDescent="0.2">
      <c r="A436" s="10">
        <v>40576</v>
      </c>
      <c r="B436" s="9">
        <v>2469419</v>
      </c>
      <c r="C436" s="7">
        <v>-9.5830184638887594E-3</v>
      </c>
      <c r="D436" s="7">
        <f>(Table4[[#This Row],[WALCL]]/1000)/19222</f>
        <v>0.12846836957652688</v>
      </c>
    </row>
    <row r="437" spans="1:4" x14ac:dyDescent="0.2">
      <c r="A437" s="10">
        <v>40583</v>
      </c>
      <c r="B437" s="9">
        <v>2500481</v>
      </c>
      <c r="C437" s="7">
        <v>-9.5830184638887594E-3</v>
      </c>
      <c r="D437" s="7">
        <f>(Table4[[#This Row],[WALCL]]/1000)/19222</f>
        <v>0.13008433045468734</v>
      </c>
    </row>
    <row r="438" spans="1:4" x14ac:dyDescent="0.2">
      <c r="A438" s="10">
        <v>40590</v>
      </c>
      <c r="B438" s="9">
        <v>2508868</v>
      </c>
      <c r="C438" s="7">
        <v>-9.5830184638887594E-3</v>
      </c>
      <c r="D438" s="7">
        <f>(Table4[[#This Row],[WALCL]]/1000)/19222</f>
        <v>0.1305206534179586</v>
      </c>
    </row>
    <row r="439" spans="1:4" x14ac:dyDescent="0.2">
      <c r="A439" s="10">
        <v>40597</v>
      </c>
      <c r="B439" s="9">
        <v>2533221</v>
      </c>
      <c r="C439" s="7">
        <v>-9.5830184638887594E-3</v>
      </c>
      <c r="D439" s="7">
        <f>(Table4[[#This Row],[WALCL]]/1000)/19222</f>
        <v>0.13178758713973571</v>
      </c>
    </row>
    <row r="440" spans="1:4" x14ac:dyDescent="0.2">
      <c r="A440" s="10">
        <v>40604</v>
      </c>
      <c r="B440" s="9">
        <v>2545119</v>
      </c>
      <c r="C440" s="7">
        <v>-9.5830184638887594E-3</v>
      </c>
      <c r="D440" s="7">
        <f>(Table4[[#This Row],[WALCL]]/1000)/19222</f>
        <v>0.13240656539381959</v>
      </c>
    </row>
    <row r="441" spans="1:4" x14ac:dyDescent="0.2">
      <c r="A441" s="10">
        <v>40611</v>
      </c>
      <c r="B441" s="9">
        <v>2577076</v>
      </c>
      <c r="C441" s="7">
        <v>-9.5830184638887594E-3</v>
      </c>
      <c r="D441" s="7">
        <f>(Table4[[#This Row],[WALCL]]/1000)/19222</f>
        <v>0.13406908750390178</v>
      </c>
    </row>
    <row r="442" spans="1:4" x14ac:dyDescent="0.2">
      <c r="A442" s="10">
        <v>40618</v>
      </c>
      <c r="B442" s="9">
        <v>2583046</v>
      </c>
      <c r="C442" s="7">
        <v>-9.5830184638887594E-3</v>
      </c>
      <c r="D442" s="7">
        <f>(Table4[[#This Row],[WALCL]]/1000)/19222</f>
        <v>0.13437966912912286</v>
      </c>
    </row>
    <row r="443" spans="1:4" x14ac:dyDescent="0.2">
      <c r="A443" s="10">
        <v>40625</v>
      </c>
      <c r="B443" s="9">
        <v>2601341</v>
      </c>
      <c r="C443" s="7">
        <v>-9.5830184638887594E-3</v>
      </c>
      <c r="D443" s="7">
        <f>(Table4[[#This Row],[WALCL]]/1000)/19222</f>
        <v>0.13533144313807097</v>
      </c>
    </row>
    <row r="444" spans="1:4" x14ac:dyDescent="0.2">
      <c r="A444" s="10">
        <v>40632</v>
      </c>
      <c r="B444" s="9">
        <v>2622523</v>
      </c>
      <c r="C444" s="7">
        <v>-9.5830184638887594E-3</v>
      </c>
      <c r="D444" s="7">
        <f>(Table4[[#This Row],[WALCL]]/1000)/19222</f>
        <v>0.13643340963479347</v>
      </c>
    </row>
    <row r="445" spans="1:4" x14ac:dyDescent="0.2">
      <c r="A445" s="10">
        <v>40639</v>
      </c>
      <c r="B445" s="9">
        <v>2648676</v>
      </c>
      <c r="C445" s="7">
        <v>2.8907109738332437E-2</v>
      </c>
      <c r="D445" s="7">
        <f>(Table4[[#This Row],[WALCL]]/1000)/19222</f>
        <v>0.13779398605764229</v>
      </c>
    </row>
    <row r="446" spans="1:4" x14ac:dyDescent="0.2">
      <c r="A446" s="10">
        <v>40646</v>
      </c>
      <c r="B446" s="9">
        <v>2665408</v>
      </c>
      <c r="C446" s="7">
        <v>2.8907109738332437E-2</v>
      </c>
      <c r="D446" s="7">
        <f>(Table4[[#This Row],[WALCL]]/1000)/19222</f>
        <v>0.13866444698782646</v>
      </c>
    </row>
    <row r="447" spans="1:4" x14ac:dyDescent="0.2">
      <c r="A447" s="10">
        <v>40653</v>
      </c>
      <c r="B447" s="9">
        <v>2685782</v>
      </c>
      <c r="C447" s="7">
        <v>2.8907109738332437E-2</v>
      </c>
      <c r="D447" s="7">
        <f>(Table4[[#This Row],[WALCL]]/1000)/19222</f>
        <v>0.13972437831651233</v>
      </c>
    </row>
    <row r="448" spans="1:4" x14ac:dyDescent="0.2">
      <c r="A448" s="10">
        <v>40660</v>
      </c>
      <c r="B448" s="9">
        <v>2690985</v>
      </c>
      <c r="C448" s="7">
        <v>2.8907109738332437E-2</v>
      </c>
      <c r="D448" s="7">
        <f>(Table4[[#This Row],[WALCL]]/1000)/19222</f>
        <v>0.13999505774633234</v>
      </c>
    </row>
    <row r="449" spans="1:4" x14ac:dyDescent="0.2">
      <c r="A449" s="10">
        <v>40667</v>
      </c>
      <c r="B449" s="9">
        <v>2718757</v>
      </c>
      <c r="C449" s="7">
        <v>2.8907109738332437E-2</v>
      </c>
      <c r="D449" s="7">
        <f>(Table4[[#This Row],[WALCL]]/1000)/19222</f>
        <v>0.14143986057642285</v>
      </c>
    </row>
    <row r="450" spans="1:4" x14ac:dyDescent="0.2">
      <c r="A450" s="10">
        <v>40674</v>
      </c>
      <c r="B450" s="9">
        <v>2744498</v>
      </c>
      <c r="C450" s="7">
        <v>2.8907109738332437E-2</v>
      </c>
      <c r="D450" s="7">
        <f>(Table4[[#This Row],[WALCL]]/1000)/19222</f>
        <v>0.14277900322547082</v>
      </c>
    </row>
    <row r="451" spans="1:4" x14ac:dyDescent="0.2">
      <c r="A451" s="10">
        <v>40681</v>
      </c>
      <c r="B451" s="9">
        <v>2758009</v>
      </c>
      <c r="C451" s="7">
        <v>2.8907109738332437E-2</v>
      </c>
      <c r="D451" s="7">
        <f>(Table4[[#This Row],[WALCL]]/1000)/19222</f>
        <v>0.14348189574445946</v>
      </c>
    </row>
    <row r="452" spans="1:4" x14ac:dyDescent="0.2">
      <c r="A452" s="10">
        <v>40688</v>
      </c>
      <c r="B452" s="9">
        <v>2774996</v>
      </c>
      <c r="C452" s="7">
        <v>2.8907109738332437E-2</v>
      </c>
      <c r="D452" s="7">
        <f>(Table4[[#This Row],[WALCL]]/1000)/19222</f>
        <v>0.14436562272396214</v>
      </c>
    </row>
    <row r="453" spans="1:4" x14ac:dyDescent="0.2">
      <c r="A453" s="10">
        <v>40695</v>
      </c>
      <c r="B453" s="9">
        <v>2788723</v>
      </c>
      <c r="C453" s="7">
        <v>2.8907109738332437E-2</v>
      </c>
      <c r="D453" s="7">
        <f>(Table4[[#This Row],[WALCL]]/1000)/19222</f>
        <v>0.14507975236707937</v>
      </c>
    </row>
    <row r="454" spans="1:4" x14ac:dyDescent="0.2">
      <c r="A454" s="10">
        <v>40702</v>
      </c>
      <c r="B454" s="9">
        <v>2811206</v>
      </c>
      <c r="C454" s="7">
        <v>2.8907109738332437E-2</v>
      </c>
      <c r="D454" s="7">
        <f>(Table4[[#This Row],[WALCL]]/1000)/19222</f>
        <v>0.14624940172718762</v>
      </c>
    </row>
    <row r="455" spans="1:4" x14ac:dyDescent="0.2">
      <c r="A455" s="10">
        <v>40709</v>
      </c>
      <c r="B455" s="9">
        <v>2827549</v>
      </c>
      <c r="C455" s="7">
        <v>2.8907109738332437E-2</v>
      </c>
      <c r="D455" s="7">
        <f>(Table4[[#This Row],[WALCL]]/1000)/19222</f>
        <v>0.14709962542919572</v>
      </c>
    </row>
    <row r="456" spans="1:4" x14ac:dyDescent="0.2">
      <c r="A456" s="10">
        <v>40716</v>
      </c>
      <c r="B456" s="9">
        <v>2856403</v>
      </c>
      <c r="C456" s="7">
        <v>2.8907109738332437E-2</v>
      </c>
      <c r="D456" s="7">
        <f>(Table4[[#This Row],[WALCL]]/1000)/19222</f>
        <v>0.14860071792737486</v>
      </c>
    </row>
    <row r="457" spans="1:4" x14ac:dyDescent="0.2">
      <c r="A457" s="10">
        <v>40723</v>
      </c>
      <c r="B457" s="9">
        <v>2865251</v>
      </c>
      <c r="C457" s="7">
        <v>2.8907109738332437E-2</v>
      </c>
      <c r="D457" s="7">
        <f>(Table4[[#This Row],[WALCL]]/1000)/19222</f>
        <v>0.14906102382686506</v>
      </c>
    </row>
    <row r="458" spans="1:4" x14ac:dyDescent="0.2">
      <c r="A458" s="10">
        <v>40730</v>
      </c>
      <c r="B458" s="9">
        <v>2870103</v>
      </c>
      <c r="C458" s="7">
        <v>-1.1106835912257917E-3</v>
      </c>
      <c r="D458" s="7">
        <f>(Table4[[#This Row],[WALCL]]/1000)/19222</f>
        <v>0.14931344292997606</v>
      </c>
    </row>
    <row r="459" spans="1:4" x14ac:dyDescent="0.2">
      <c r="A459" s="10">
        <v>40737</v>
      </c>
      <c r="B459" s="9">
        <v>2878074</v>
      </c>
      <c r="C459" s="7">
        <v>-1.1106835912257917E-3</v>
      </c>
      <c r="D459" s="7">
        <f>(Table4[[#This Row],[WALCL]]/1000)/19222</f>
        <v>0.14972812402455521</v>
      </c>
    </row>
    <row r="460" spans="1:4" x14ac:dyDescent="0.2">
      <c r="A460" s="10">
        <v>40744</v>
      </c>
      <c r="B460" s="9">
        <v>2871301</v>
      </c>
      <c r="C460" s="7">
        <v>-1.1106835912257917E-3</v>
      </c>
      <c r="D460" s="7">
        <f>(Table4[[#This Row],[WALCL]]/1000)/19222</f>
        <v>0.14937576734991156</v>
      </c>
    </row>
    <row r="461" spans="1:4" x14ac:dyDescent="0.2">
      <c r="A461" s="10">
        <v>40751</v>
      </c>
      <c r="B461" s="9">
        <v>2863576</v>
      </c>
      <c r="C461" s="7">
        <v>-1.1106835912257917E-3</v>
      </c>
      <c r="D461" s="7">
        <f>(Table4[[#This Row],[WALCL]]/1000)/19222</f>
        <v>0.14897388409114556</v>
      </c>
    </row>
    <row r="462" spans="1:4" x14ac:dyDescent="0.2">
      <c r="A462" s="10">
        <v>40758</v>
      </c>
      <c r="B462" s="9">
        <v>2867215</v>
      </c>
      <c r="C462" s="7">
        <v>-1.1106835912257917E-3</v>
      </c>
      <c r="D462" s="7">
        <f>(Table4[[#This Row],[WALCL]]/1000)/19222</f>
        <v>0.14916319841847883</v>
      </c>
    </row>
    <row r="463" spans="1:4" x14ac:dyDescent="0.2">
      <c r="A463" s="10">
        <v>40765</v>
      </c>
      <c r="B463" s="9">
        <v>2872423</v>
      </c>
      <c r="C463" s="7">
        <v>-1.1106835912257917E-3</v>
      </c>
      <c r="D463" s="7">
        <f>(Table4[[#This Row],[WALCL]]/1000)/19222</f>
        <v>0.14943413796691291</v>
      </c>
    </row>
    <row r="464" spans="1:4" x14ac:dyDescent="0.2">
      <c r="A464" s="10">
        <v>40772</v>
      </c>
      <c r="B464" s="9">
        <v>2857906</v>
      </c>
      <c r="C464" s="7">
        <v>-1.1106835912257917E-3</v>
      </c>
      <c r="D464" s="7">
        <f>(Table4[[#This Row],[WALCL]]/1000)/19222</f>
        <v>0.14867890958276975</v>
      </c>
    </row>
    <row r="465" spans="1:5" x14ac:dyDescent="0.2">
      <c r="A465" s="10">
        <v>40779</v>
      </c>
      <c r="B465" s="9">
        <v>2859433</v>
      </c>
      <c r="C465" s="7">
        <v>-1.1106835912257917E-3</v>
      </c>
      <c r="D465" s="7">
        <f>(Table4[[#This Row],[WALCL]]/1000)/19222</f>
        <v>0.14875834980751224</v>
      </c>
    </row>
    <row r="466" spans="1:5" x14ac:dyDescent="0.2">
      <c r="A466" s="10">
        <v>40786</v>
      </c>
      <c r="B466" s="9">
        <v>2853888</v>
      </c>
      <c r="C466" s="7">
        <v>-1.1106835912257917E-3</v>
      </c>
      <c r="D466" s="7">
        <f>(Table4[[#This Row],[WALCL]]/1000)/19222</f>
        <v>0.1484698782644886</v>
      </c>
    </row>
    <row r="467" spans="1:5" x14ac:dyDescent="0.2">
      <c r="A467" s="10">
        <v>40793</v>
      </c>
      <c r="B467" s="9">
        <v>2858660</v>
      </c>
      <c r="C467" s="7">
        <v>-1.1106835912257917E-3</v>
      </c>
      <c r="D467" s="7">
        <f>(Table4[[#This Row],[WALCL]]/1000)/19222</f>
        <v>0.14871813546977422</v>
      </c>
    </row>
    <row r="468" spans="1:5" x14ac:dyDescent="0.2">
      <c r="A468" s="10">
        <v>40800</v>
      </c>
      <c r="B468" s="9">
        <v>2863540</v>
      </c>
      <c r="C468" s="7">
        <v>-1.1106835912257917E-3</v>
      </c>
      <c r="D468" s="7">
        <f>(Table4[[#This Row],[WALCL]]/1000)/19222</f>
        <v>0.14897201123712411</v>
      </c>
    </row>
    <row r="469" spans="1:5" x14ac:dyDescent="0.2">
      <c r="A469" s="10">
        <v>40807</v>
      </c>
      <c r="B469" s="9">
        <v>2857747</v>
      </c>
      <c r="C469" s="7">
        <v>-1.1106835912257917E-3</v>
      </c>
      <c r="D469" s="7">
        <f>(Table4[[#This Row],[WALCL]]/1000)/19222</f>
        <v>0.14867063781084175</v>
      </c>
      <c r="E469" s="13"/>
    </row>
    <row r="470" spans="1:5" x14ac:dyDescent="0.2">
      <c r="A470" s="10">
        <v>40814</v>
      </c>
      <c r="B470" s="9">
        <v>2850921</v>
      </c>
      <c r="C470" s="7">
        <v>-1.1106835912257917E-3</v>
      </c>
      <c r="D470" s="7">
        <f>(Table4[[#This Row],[WALCL]]/1000)/19222</f>
        <v>0.14831552387888877</v>
      </c>
    </row>
    <row r="471" spans="1:5" x14ac:dyDescent="0.2">
      <c r="A471" s="10">
        <v>40821</v>
      </c>
      <c r="B471" s="9">
        <v>2859701</v>
      </c>
      <c r="C471" s="7">
        <v>4.718401461224575E-2</v>
      </c>
      <c r="D471" s="7">
        <f>(Table4[[#This Row],[WALCL]]/1000)/19222</f>
        <v>0.14877229216522733</v>
      </c>
    </row>
    <row r="472" spans="1:5" x14ac:dyDescent="0.2">
      <c r="A472" s="10">
        <v>40828</v>
      </c>
      <c r="B472" s="9">
        <v>2860822</v>
      </c>
      <c r="C472" s="7">
        <v>4.718401461224575E-2</v>
      </c>
      <c r="D472" s="7">
        <f>(Table4[[#This Row],[WALCL]]/1000)/19222</f>
        <v>0.14883061075850587</v>
      </c>
    </row>
    <row r="473" spans="1:5" x14ac:dyDescent="0.2">
      <c r="A473" s="10">
        <v>40835</v>
      </c>
      <c r="B473" s="9">
        <v>2852390</v>
      </c>
      <c r="C473" s="7">
        <v>4.718401461224575E-2</v>
      </c>
      <c r="D473" s="7">
        <f>(Table4[[#This Row],[WALCL]]/1000)/19222</f>
        <v>0.14839194672770784</v>
      </c>
    </row>
    <row r="474" spans="1:5" x14ac:dyDescent="0.2">
      <c r="A474" s="10">
        <v>40842</v>
      </c>
      <c r="B474" s="9">
        <v>2845685</v>
      </c>
      <c r="C474" s="7">
        <v>4.718401461224575E-2</v>
      </c>
      <c r="D474" s="7">
        <f>(Table4[[#This Row],[WALCL]]/1000)/19222</f>
        <v>0.1480431276662158</v>
      </c>
    </row>
    <row r="475" spans="1:5" x14ac:dyDescent="0.2">
      <c r="A475" s="10">
        <v>40849</v>
      </c>
      <c r="B475" s="9">
        <v>2822034</v>
      </c>
      <c r="C475" s="7">
        <v>4.718401461224575E-2</v>
      </c>
      <c r="D475" s="7">
        <f>(Table4[[#This Row],[WALCL]]/1000)/19222</f>
        <v>0.14681271459785664</v>
      </c>
    </row>
    <row r="476" spans="1:5" x14ac:dyDescent="0.2">
      <c r="A476" s="10">
        <v>40856</v>
      </c>
      <c r="B476" s="9">
        <v>2839786</v>
      </c>
      <c r="C476" s="7">
        <v>4.718401461224575E-2</v>
      </c>
      <c r="D476" s="7">
        <f>(Table4[[#This Row],[WALCL]]/1000)/19222</f>
        <v>0.14773623972531474</v>
      </c>
    </row>
    <row r="477" spans="1:5" x14ac:dyDescent="0.2">
      <c r="A477" s="10">
        <v>40863</v>
      </c>
      <c r="B477" s="9">
        <v>2831576</v>
      </c>
      <c r="C477" s="7">
        <v>4.718401461224575E-2</v>
      </c>
      <c r="D477" s="7">
        <f>(Table4[[#This Row],[WALCL]]/1000)/19222</f>
        <v>0.1473091249609822</v>
      </c>
    </row>
    <row r="478" spans="1:5" x14ac:dyDescent="0.2">
      <c r="A478" s="10">
        <v>40870</v>
      </c>
      <c r="B478" s="9">
        <v>2821980</v>
      </c>
      <c r="C478" s="7">
        <v>4.718401461224575E-2</v>
      </c>
      <c r="D478" s="7">
        <f>(Table4[[#This Row],[WALCL]]/1000)/19222</f>
        <v>0.14680990531682447</v>
      </c>
    </row>
    <row r="479" spans="1:5" x14ac:dyDescent="0.2">
      <c r="A479" s="10">
        <v>40877</v>
      </c>
      <c r="B479" s="9">
        <v>2814235</v>
      </c>
      <c r="C479" s="7">
        <v>4.718401461224575E-2</v>
      </c>
      <c r="D479" s="7">
        <f>(Table4[[#This Row],[WALCL]]/1000)/19222</f>
        <v>0.14640698158360213</v>
      </c>
    </row>
    <row r="480" spans="1:5" x14ac:dyDescent="0.2">
      <c r="A480" s="10">
        <v>40884</v>
      </c>
      <c r="B480" s="9">
        <v>2820691</v>
      </c>
      <c r="C480" s="7">
        <v>4.718401461224575E-2</v>
      </c>
      <c r="D480" s="7">
        <f>(Table4[[#This Row],[WALCL]]/1000)/19222</f>
        <v>0.14674284673811258</v>
      </c>
    </row>
    <row r="481" spans="1:4" x14ac:dyDescent="0.2">
      <c r="A481" s="10">
        <v>40891</v>
      </c>
      <c r="B481" s="9">
        <v>2902488</v>
      </c>
      <c r="C481" s="7">
        <v>4.718401461224575E-2</v>
      </c>
      <c r="D481" s="7">
        <f>(Table4[[#This Row],[WALCL]]/1000)/19222</f>
        <v>0.1509982311934242</v>
      </c>
    </row>
    <row r="482" spans="1:4" x14ac:dyDescent="0.2">
      <c r="A482" s="10">
        <v>40898</v>
      </c>
      <c r="B482" s="9">
        <v>2916085</v>
      </c>
      <c r="C482" s="7">
        <v>4.718401461224575E-2</v>
      </c>
      <c r="D482" s="7">
        <f>(Table4[[#This Row],[WALCL]]/1000)/19222</f>
        <v>0.15170559775257517</v>
      </c>
    </row>
    <row r="483" spans="1:4" x14ac:dyDescent="0.2">
      <c r="A483" s="10">
        <v>40905</v>
      </c>
      <c r="B483" s="9">
        <v>2926095</v>
      </c>
      <c r="C483" s="7">
        <v>4.718401461224575E-2</v>
      </c>
      <c r="D483" s="7">
        <f>(Table4[[#This Row],[WALCL]]/1000)/19222</f>
        <v>0.15222635521797939</v>
      </c>
    </row>
    <row r="484" spans="1:4" x14ac:dyDescent="0.2">
      <c r="A484" s="10">
        <v>40912</v>
      </c>
      <c r="B484" s="9">
        <v>2917689</v>
      </c>
      <c r="C484" s="7">
        <v>3.1689481124483221E-2</v>
      </c>
      <c r="D484" s="7">
        <f>(Table4[[#This Row],[WALCL]]/1000)/19222</f>
        <v>0.15178904380397459</v>
      </c>
    </row>
    <row r="485" spans="1:4" x14ac:dyDescent="0.2">
      <c r="A485" s="10">
        <v>40919</v>
      </c>
      <c r="B485" s="9">
        <v>2899149</v>
      </c>
      <c r="C485" s="7">
        <v>3.1689481124483221E-2</v>
      </c>
      <c r="D485" s="7">
        <f>(Table4[[#This Row],[WALCL]]/1000)/19222</f>
        <v>0.15082452398293622</v>
      </c>
    </row>
    <row r="486" spans="1:4" x14ac:dyDescent="0.2">
      <c r="A486" s="10">
        <v>40926</v>
      </c>
      <c r="B486" s="9">
        <v>2919423</v>
      </c>
      <c r="C486" s="7">
        <v>3.1689481124483221E-2</v>
      </c>
      <c r="D486" s="7">
        <f>(Table4[[#This Row],[WALCL]]/1000)/19222</f>
        <v>0.15187925293934032</v>
      </c>
    </row>
    <row r="487" spans="1:4" x14ac:dyDescent="0.2">
      <c r="A487" s="10">
        <v>40933</v>
      </c>
      <c r="B487" s="9">
        <v>2919545</v>
      </c>
      <c r="C487" s="7">
        <v>3.1689481124483221E-2</v>
      </c>
      <c r="D487" s="7">
        <f>(Table4[[#This Row],[WALCL]]/1000)/19222</f>
        <v>0.15188559983352409</v>
      </c>
    </row>
    <row r="488" spans="1:4" x14ac:dyDescent="0.2">
      <c r="A488" s="10">
        <v>40940</v>
      </c>
      <c r="B488" s="9">
        <v>2924947</v>
      </c>
      <c r="C488" s="7">
        <v>3.1689481124483221E-2</v>
      </c>
      <c r="D488" s="7">
        <f>(Table4[[#This Row],[WALCL]]/1000)/19222</f>
        <v>0.15216663198418479</v>
      </c>
    </row>
    <row r="489" spans="1:4" x14ac:dyDescent="0.2">
      <c r="A489" s="10">
        <v>40947</v>
      </c>
      <c r="B489" s="9">
        <v>2928275</v>
      </c>
      <c r="C489" s="7">
        <v>3.1689481124483221E-2</v>
      </c>
      <c r="D489" s="7">
        <f>(Table4[[#This Row],[WALCL]]/1000)/19222</f>
        <v>0.15233976693372178</v>
      </c>
    </row>
    <row r="490" spans="1:4" x14ac:dyDescent="0.2">
      <c r="A490" s="10">
        <v>40954</v>
      </c>
      <c r="B490" s="9">
        <v>2937893</v>
      </c>
      <c r="C490" s="7">
        <v>3.1689481124483221E-2</v>
      </c>
      <c r="D490" s="7">
        <f>(Table4[[#This Row],[WALCL]]/1000)/19222</f>
        <v>0.15284013109978151</v>
      </c>
    </row>
    <row r="491" spans="1:4" x14ac:dyDescent="0.2">
      <c r="A491" s="10">
        <v>40961</v>
      </c>
      <c r="B491" s="9">
        <v>2932813</v>
      </c>
      <c r="C491" s="7">
        <v>3.1689481124483221E-2</v>
      </c>
      <c r="D491" s="7">
        <f>(Table4[[#This Row],[WALCL]]/1000)/19222</f>
        <v>0.15257585058786807</v>
      </c>
    </row>
    <row r="492" spans="1:4" x14ac:dyDescent="0.2">
      <c r="A492" s="10">
        <v>40968</v>
      </c>
      <c r="B492" s="9">
        <v>2925722</v>
      </c>
      <c r="C492" s="7">
        <v>3.1689481124483221E-2</v>
      </c>
      <c r="D492" s="7">
        <f>(Table4[[#This Row],[WALCL]]/1000)/19222</f>
        <v>0.15220695036936843</v>
      </c>
    </row>
    <row r="493" spans="1:4" x14ac:dyDescent="0.2">
      <c r="A493" s="10">
        <v>40975</v>
      </c>
      <c r="B493" s="9">
        <v>2884747</v>
      </c>
      <c r="C493" s="7">
        <v>3.1689481124483221E-2</v>
      </c>
      <c r="D493" s="7">
        <f>(Table4[[#This Row],[WALCL]]/1000)/19222</f>
        <v>0.15007527832691706</v>
      </c>
    </row>
    <row r="494" spans="1:4" x14ac:dyDescent="0.2">
      <c r="A494" s="10">
        <v>40982</v>
      </c>
      <c r="B494" s="9">
        <v>2893560</v>
      </c>
      <c r="C494" s="7">
        <v>3.1689481124483221E-2</v>
      </c>
      <c r="D494" s="7">
        <f>(Table4[[#This Row],[WALCL]]/1000)/19222</f>
        <v>0.15053376339610863</v>
      </c>
    </row>
    <row r="495" spans="1:4" x14ac:dyDescent="0.2">
      <c r="A495" s="10">
        <v>40989</v>
      </c>
      <c r="B495" s="9">
        <v>2892646</v>
      </c>
      <c r="C495" s="7">
        <v>3.1689481124483221E-2</v>
      </c>
      <c r="D495" s="7">
        <f>(Table4[[#This Row],[WALCL]]/1000)/19222</f>
        <v>0.15048621371345333</v>
      </c>
    </row>
    <row r="496" spans="1:4" x14ac:dyDescent="0.2">
      <c r="A496" s="10">
        <v>40996</v>
      </c>
      <c r="B496" s="9">
        <v>2878137</v>
      </c>
      <c r="C496" s="7">
        <v>3.1689481124483221E-2</v>
      </c>
      <c r="D496" s="7">
        <f>(Table4[[#This Row],[WALCL]]/1000)/19222</f>
        <v>0.14973140151909273</v>
      </c>
    </row>
    <row r="497" spans="1:5" x14ac:dyDescent="0.2">
      <c r="A497" s="10">
        <v>41003</v>
      </c>
      <c r="B497" s="9">
        <v>2865478</v>
      </c>
      <c r="C497" s="7">
        <v>1.7319423274066326E-2</v>
      </c>
      <c r="D497" s="7">
        <f>(Table4[[#This Row],[WALCL]]/1000)/19222</f>
        <v>0.14907283321194464</v>
      </c>
    </row>
    <row r="498" spans="1:5" x14ac:dyDescent="0.2">
      <c r="A498" s="10">
        <v>41010</v>
      </c>
      <c r="B498" s="9">
        <v>2867200</v>
      </c>
      <c r="C498" s="7">
        <v>1.7319423274066326E-2</v>
      </c>
      <c r="D498" s="7">
        <f>(Table4[[#This Row],[WALCL]]/1000)/19222</f>
        <v>0.14916241806263655</v>
      </c>
    </row>
    <row r="499" spans="1:5" x14ac:dyDescent="0.2">
      <c r="A499" s="10">
        <v>41017</v>
      </c>
      <c r="B499" s="9">
        <v>2875470</v>
      </c>
      <c r="C499" s="7">
        <v>1.7319423274066326E-2</v>
      </c>
      <c r="D499" s="7">
        <f>(Table4[[#This Row],[WALCL]]/1000)/19222</f>
        <v>0.14959265425033813</v>
      </c>
    </row>
    <row r="500" spans="1:5" x14ac:dyDescent="0.2">
      <c r="A500" s="10">
        <v>41024</v>
      </c>
      <c r="B500" s="9">
        <v>2866561</v>
      </c>
      <c r="C500" s="7">
        <v>1.7319423274066326E-2</v>
      </c>
      <c r="D500" s="7">
        <f>(Table4[[#This Row],[WALCL]]/1000)/19222</f>
        <v>0.14912917490375613</v>
      </c>
    </row>
    <row r="501" spans="1:5" x14ac:dyDescent="0.2">
      <c r="A501" s="10">
        <v>41031</v>
      </c>
      <c r="B501" s="9">
        <v>2864280</v>
      </c>
      <c r="C501" s="7">
        <v>1.7319423274066326E-2</v>
      </c>
      <c r="D501" s="7">
        <f>(Table4[[#This Row],[WALCL]]/1000)/19222</f>
        <v>0.14901050879200917</v>
      </c>
    </row>
    <row r="502" spans="1:5" x14ac:dyDescent="0.2">
      <c r="A502" s="10">
        <v>41038</v>
      </c>
      <c r="B502" s="9">
        <v>2864150</v>
      </c>
      <c r="C502" s="7">
        <v>1.7319423274066326E-2</v>
      </c>
      <c r="D502" s="7">
        <f>(Table4[[#This Row],[WALCL]]/1000)/19222</f>
        <v>0.14900374570804287</v>
      </c>
    </row>
    <row r="503" spans="1:5" x14ac:dyDescent="0.2">
      <c r="A503" s="10">
        <v>41045</v>
      </c>
      <c r="B503" s="9">
        <v>2850984</v>
      </c>
      <c r="C503" s="7">
        <v>1.7319423274066326E-2</v>
      </c>
      <c r="D503" s="7">
        <f>(Table4[[#This Row],[WALCL]]/1000)/19222</f>
        <v>0.14831880137342629</v>
      </c>
    </row>
    <row r="504" spans="1:5" x14ac:dyDescent="0.2">
      <c r="A504" s="10">
        <v>41052</v>
      </c>
      <c r="B504" s="9">
        <v>2859495</v>
      </c>
      <c r="C504" s="7">
        <v>1.7319423274066326E-2</v>
      </c>
      <c r="D504" s="7">
        <f>(Table4[[#This Row],[WALCL]]/1000)/19222</f>
        <v>0.14876157527832692</v>
      </c>
    </row>
    <row r="505" spans="1:5" x14ac:dyDescent="0.2">
      <c r="A505" s="10">
        <v>41059</v>
      </c>
      <c r="B505" s="9">
        <v>2842654</v>
      </c>
      <c r="C505" s="7">
        <v>1.7319423274066326E-2</v>
      </c>
      <c r="D505" s="7">
        <f>(Table4[[#This Row],[WALCL]]/1000)/19222</f>
        <v>0.14788544376235563</v>
      </c>
    </row>
    <row r="506" spans="1:5" x14ac:dyDescent="0.2">
      <c r="A506" s="10">
        <v>41066</v>
      </c>
      <c r="B506" s="9">
        <v>2852018</v>
      </c>
      <c r="C506" s="7">
        <v>1.7319423274066326E-2</v>
      </c>
      <c r="D506" s="7">
        <f>(Table4[[#This Row],[WALCL]]/1000)/19222</f>
        <v>0.14837259390281968</v>
      </c>
    </row>
    <row r="507" spans="1:5" x14ac:dyDescent="0.2">
      <c r="A507" s="10">
        <v>41073</v>
      </c>
      <c r="B507" s="9">
        <v>2869071</v>
      </c>
      <c r="C507" s="7">
        <v>1.7319423274066326E-2</v>
      </c>
      <c r="D507" s="7">
        <f>(Table4[[#This Row],[WALCL]]/1000)/19222</f>
        <v>0.1492597544480283</v>
      </c>
      <c r="E507" s="13"/>
    </row>
    <row r="508" spans="1:5" x14ac:dyDescent="0.2">
      <c r="A508" s="10">
        <v>41080</v>
      </c>
      <c r="B508" s="9">
        <v>2870846</v>
      </c>
      <c r="C508" s="7">
        <v>1.7319423274066326E-2</v>
      </c>
      <c r="D508" s="7">
        <f>(Table4[[#This Row],[WALCL]]/1000)/19222</f>
        <v>0.14935209655602955</v>
      </c>
    </row>
    <row r="509" spans="1:5" x14ac:dyDescent="0.2">
      <c r="A509" s="10">
        <v>41087</v>
      </c>
      <c r="B509" s="9">
        <v>2863547</v>
      </c>
      <c r="C509" s="7">
        <v>1.7319423274066326E-2</v>
      </c>
      <c r="D509" s="7">
        <f>(Table4[[#This Row],[WALCL]]/1000)/19222</f>
        <v>0.14897237540318387</v>
      </c>
      <c r="E509" s="14"/>
    </row>
    <row r="510" spans="1:5" x14ac:dyDescent="0.2">
      <c r="A510" s="10">
        <v>41094</v>
      </c>
      <c r="B510" s="9">
        <v>2865858</v>
      </c>
      <c r="C510" s="7">
        <v>5.4088648233405756E-3</v>
      </c>
      <c r="D510" s="7">
        <f>(Table4[[#This Row],[WALCL]]/1000)/19222</f>
        <v>0.14909260222661536</v>
      </c>
    </row>
    <row r="511" spans="1:5" x14ac:dyDescent="0.2">
      <c r="A511" s="10">
        <v>41101</v>
      </c>
      <c r="B511" s="9">
        <v>2866279</v>
      </c>
      <c r="C511" s="7">
        <v>5.4088648233405756E-3</v>
      </c>
      <c r="D511" s="7">
        <f>(Table4[[#This Row],[WALCL]]/1000)/19222</f>
        <v>0.14911450421392156</v>
      </c>
    </row>
    <row r="512" spans="1:5" x14ac:dyDescent="0.2">
      <c r="A512" s="10">
        <v>41108</v>
      </c>
      <c r="B512" s="9">
        <v>2855807</v>
      </c>
      <c r="C512" s="7">
        <v>5.4088648233405756E-3</v>
      </c>
      <c r="D512" s="7">
        <f>(Table4[[#This Row],[WALCL]]/1000)/19222</f>
        <v>0.14856971178857559</v>
      </c>
    </row>
    <row r="513" spans="1:5" x14ac:dyDescent="0.2">
      <c r="A513" s="10">
        <v>41115</v>
      </c>
      <c r="B513" s="9">
        <v>2846757</v>
      </c>
      <c r="C513" s="7">
        <v>5.4088648233405756E-3</v>
      </c>
      <c r="D513" s="7">
        <f>(Table4[[#This Row],[WALCL]]/1000)/19222</f>
        <v>0.14809889709707627</v>
      </c>
    </row>
    <row r="514" spans="1:5" x14ac:dyDescent="0.2">
      <c r="A514" s="10">
        <v>41122</v>
      </c>
      <c r="B514" s="9">
        <v>2851118</v>
      </c>
      <c r="C514" s="7">
        <v>5.4088648233405756E-3</v>
      </c>
      <c r="D514" s="7">
        <f>(Table4[[#This Row],[WALCL]]/1000)/19222</f>
        <v>0.14832577255228382</v>
      </c>
    </row>
    <row r="515" spans="1:5" x14ac:dyDescent="0.2">
      <c r="A515" s="10">
        <v>41129</v>
      </c>
      <c r="B515" s="9">
        <v>2856181</v>
      </c>
      <c r="C515" s="7">
        <v>5.4088648233405756E-3</v>
      </c>
      <c r="D515" s="7">
        <f>(Table4[[#This Row],[WALCL]]/1000)/19222</f>
        <v>0.14858916866090938</v>
      </c>
    </row>
    <row r="516" spans="1:5" x14ac:dyDescent="0.2">
      <c r="A516" s="10">
        <v>41136</v>
      </c>
      <c r="B516" s="9">
        <v>2833317</v>
      </c>
      <c r="C516" s="7">
        <v>5.4088648233405756E-3</v>
      </c>
      <c r="D516" s="7">
        <f>(Table4[[#This Row],[WALCL]]/1000)/19222</f>
        <v>0.14739969826240765</v>
      </c>
    </row>
    <row r="517" spans="1:5" x14ac:dyDescent="0.2">
      <c r="A517" s="10">
        <v>41143</v>
      </c>
      <c r="B517" s="9">
        <v>2825661</v>
      </c>
      <c r="C517" s="7">
        <v>5.4088648233405756E-3</v>
      </c>
      <c r="D517" s="7">
        <f>(Table4[[#This Row],[WALCL]]/1000)/19222</f>
        <v>0.14700140464051609</v>
      </c>
    </row>
    <row r="518" spans="1:5" x14ac:dyDescent="0.2">
      <c r="A518" s="10">
        <v>41150</v>
      </c>
      <c r="B518" s="9">
        <v>2812806</v>
      </c>
      <c r="C518" s="7">
        <v>5.4088648233405756E-3</v>
      </c>
      <c r="D518" s="7">
        <f>(Table4[[#This Row],[WALCL]]/1000)/19222</f>
        <v>0.14633263968369578</v>
      </c>
    </row>
    <row r="519" spans="1:5" x14ac:dyDescent="0.2">
      <c r="A519" s="10">
        <v>41157</v>
      </c>
      <c r="B519" s="9">
        <v>2822169</v>
      </c>
      <c r="C519" s="7">
        <v>5.4088648233405756E-3</v>
      </c>
      <c r="D519" s="7">
        <f>(Table4[[#This Row],[WALCL]]/1000)/19222</f>
        <v>0.146819737800437</v>
      </c>
    </row>
    <row r="520" spans="1:5" x14ac:dyDescent="0.2">
      <c r="A520" s="10">
        <v>41164</v>
      </c>
      <c r="B520" s="9">
        <v>2823448</v>
      </c>
      <c r="C520" s="7">
        <v>5.4088648233405756E-3</v>
      </c>
      <c r="D520" s="7">
        <f>(Table4[[#This Row],[WALCL]]/1000)/19222</f>
        <v>0.14688627614192071</v>
      </c>
      <c r="E520" s="13"/>
    </row>
    <row r="521" spans="1:5" x14ac:dyDescent="0.2">
      <c r="A521" s="10">
        <v>41171</v>
      </c>
      <c r="B521" s="9">
        <v>2821574</v>
      </c>
      <c r="C521" s="7">
        <v>5.4088648233405756E-3</v>
      </c>
      <c r="D521" s="7">
        <f>(Table4[[#This Row],[WALCL]]/1000)/19222</f>
        <v>0.14678878368536052</v>
      </c>
    </row>
    <row r="522" spans="1:5" x14ac:dyDescent="0.2">
      <c r="A522" s="10">
        <v>41178</v>
      </c>
      <c r="B522" s="9">
        <v>2804457</v>
      </c>
      <c r="C522" s="7">
        <v>5.4088648233405756E-3</v>
      </c>
      <c r="D522" s="7">
        <f>(Table4[[#This Row],[WALCL]]/1000)/19222</f>
        <v>0.14589829362189158</v>
      </c>
    </row>
    <row r="523" spans="1:5" x14ac:dyDescent="0.2">
      <c r="A523" s="10">
        <v>41185</v>
      </c>
      <c r="B523" s="9">
        <v>2808512</v>
      </c>
      <c r="C523" s="7">
        <v>4.5627160089589669E-3</v>
      </c>
      <c r="D523" s="7">
        <f>(Table4[[#This Row],[WALCL]]/1000)/19222</f>
        <v>0.14610924981791698</v>
      </c>
    </row>
    <row r="524" spans="1:5" x14ac:dyDescent="0.2">
      <c r="A524" s="10">
        <v>41192</v>
      </c>
      <c r="B524" s="9">
        <v>2811623</v>
      </c>
      <c r="C524" s="7">
        <v>4.5627160089589669E-3</v>
      </c>
      <c r="D524" s="7">
        <f>(Table4[[#This Row],[WALCL]]/1000)/19222</f>
        <v>0.14627109561960255</v>
      </c>
    </row>
    <row r="525" spans="1:5" x14ac:dyDescent="0.2">
      <c r="A525" s="10">
        <v>41199</v>
      </c>
      <c r="B525" s="9">
        <v>2846920</v>
      </c>
      <c r="C525" s="7">
        <v>4.5627160089589669E-3</v>
      </c>
      <c r="D525" s="7">
        <f>(Table4[[#This Row],[WALCL]]/1000)/19222</f>
        <v>0.14810737696389553</v>
      </c>
    </row>
    <row r="526" spans="1:5" x14ac:dyDescent="0.2">
      <c r="A526" s="10">
        <v>41206</v>
      </c>
      <c r="B526" s="9">
        <v>2840964</v>
      </c>
      <c r="C526" s="7">
        <v>4.5627160089589669E-3</v>
      </c>
      <c r="D526" s="7">
        <f>(Table4[[#This Row],[WALCL]]/1000)/19222</f>
        <v>0.14779752367079388</v>
      </c>
    </row>
    <row r="527" spans="1:5" x14ac:dyDescent="0.2">
      <c r="A527" s="10">
        <v>41213</v>
      </c>
      <c r="B527" s="9">
        <v>2823137</v>
      </c>
      <c r="C527" s="7">
        <v>4.5627160089589669E-3</v>
      </c>
      <c r="D527" s="7">
        <f>(Table4[[#This Row],[WALCL]]/1000)/19222</f>
        <v>0.14687009676412444</v>
      </c>
    </row>
    <row r="528" spans="1:5" x14ac:dyDescent="0.2">
      <c r="A528" s="10">
        <v>41220</v>
      </c>
      <c r="B528" s="9">
        <v>2830791</v>
      </c>
      <c r="C528" s="7">
        <v>4.5627160089589669E-3</v>
      </c>
      <c r="D528" s="7">
        <f>(Table4[[#This Row],[WALCL]]/1000)/19222</f>
        <v>0.14726828633857039</v>
      </c>
    </row>
    <row r="529" spans="1:16" x14ac:dyDescent="0.2">
      <c r="A529" s="10">
        <v>41227</v>
      </c>
      <c r="B529" s="9">
        <v>2877244</v>
      </c>
      <c r="C529" s="7">
        <v>4.5627160089589669E-3</v>
      </c>
      <c r="D529" s="7">
        <f>(Table4[[#This Row],[WALCL]]/1000)/19222</f>
        <v>0.1496849443346166</v>
      </c>
    </row>
    <row r="530" spans="1:16" x14ac:dyDescent="0.2">
      <c r="A530" s="10">
        <v>41234</v>
      </c>
      <c r="B530" s="9">
        <v>2871161</v>
      </c>
      <c r="C530" s="7">
        <v>4.5627160089589669E-3</v>
      </c>
      <c r="D530" s="7">
        <f>(Table4[[#This Row],[WALCL]]/1000)/19222</f>
        <v>0.14936848402871711</v>
      </c>
    </row>
    <row r="531" spans="1:16" x14ac:dyDescent="0.2">
      <c r="A531" s="10">
        <v>41241</v>
      </c>
      <c r="B531" s="9">
        <v>2851362</v>
      </c>
      <c r="C531" s="7">
        <v>4.5627160089589669E-3</v>
      </c>
      <c r="D531" s="7">
        <f>(Table4[[#This Row],[WALCL]]/1000)/19222</f>
        <v>0.14833846634065134</v>
      </c>
    </row>
    <row r="532" spans="1:16" x14ac:dyDescent="0.2">
      <c r="A532" s="10">
        <v>41248</v>
      </c>
      <c r="B532" s="9">
        <v>2859807</v>
      </c>
      <c r="C532" s="7">
        <v>4.5627160089589669E-3</v>
      </c>
      <c r="D532" s="7">
        <f>(Table4[[#This Row],[WALCL]]/1000)/19222</f>
        <v>0.148777806679846</v>
      </c>
    </row>
    <row r="533" spans="1:16" x14ac:dyDescent="0.2">
      <c r="A533" s="10">
        <v>41255</v>
      </c>
      <c r="B533" s="9">
        <v>2917260</v>
      </c>
      <c r="C533" s="7">
        <v>4.5627160089589669E-3</v>
      </c>
      <c r="D533" s="7">
        <f>(Table4[[#This Row],[WALCL]]/1000)/19222</f>
        <v>0.15176672562688587</v>
      </c>
    </row>
    <row r="534" spans="1:16" x14ac:dyDescent="0.2">
      <c r="A534" s="10">
        <v>41262</v>
      </c>
      <c r="B534" s="9">
        <v>2920231</v>
      </c>
      <c r="C534" s="7">
        <v>4.5627160089589669E-3</v>
      </c>
      <c r="D534" s="7">
        <f>(Table4[[#This Row],[WALCL]]/1000)/19222</f>
        <v>0.15192128810737698</v>
      </c>
    </row>
    <row r="535" spans="1:16" x14ac:dyDescent="0.2">
      <c r="A535" s="10">
        <v>41269</v>
      </c>
      <c r="B535" s="9">
        <v>2907300</v>
      </c>
      <c r="C535" s="7">
        <v>4.5627160089589669E-3</v>
      </c>
      <c r="D535" s="7">
        <f>(Table4[[#This Row],[WALCL]]/1000)/19222</f>
        <v>0.15124856934762251</v>
      </c>
      <c r="E535" s="13"/>
      <c r="P535" s="3"/>
    </row>
    <row r="536" spans="1:16" x14ac:dyDescent="0.2">
      <c r="A536" s="10">
        <v>41276</v>
      </c>
      <c r="B536" s="9">
        <v>2917189</v>
      </c>
      <c r="C536" s="7">
        <v>3.590044091402711E-2</v>
      </c>
      <c r="D536" s="7">
        <f>(Table4[[#This Row],[WALCL]]/1000)/19222</f>
        <v>0.1517630319425658</v>
      </c>
    </row>
    <row r="537" spans="1:16" x14ac:dyDescent="0.2">
      <c r="A537" s="10">
        <v>41283</v>
      </c>
      <c r="B537" s="9">
        <v>2928728</v>
      </c>
      <c r="C537" s="7">
        <v>3.590044091402711E-2</v>
      </c>
      <c r="D537" s="7">
        <f>(Table4[[#This Row],[WALCL]]/1000)/19222</f>
        <v>0.15236333368015814</v>
      </c>
    </row>
    <row r="538" spans="1:16" x14ac:dyDescent="0.2">
      <c r="A538" s="10">
        <v>41290</v>
      </c>
      <c r="B538" s="9">
        <v>2963812</v>
      </c>
      <c r="C538" s="7">
        <v>3.590044091402711E-2</v>
      </c>
      <c r="D538" s="7">
        <f>(Table4[[#This Row],[WALCL]]/1000)/19222</f>
        <v>0.15418853397149099</v>
      </c>
    </row>
    <row r="539" spans="1:16" x14ac:dyDescent="0.2">
      <c r="A539" s="10">
        <v>41297</v>
      </c>
      <c r="B539" s="9">
        <v>3011697</v>
      </c>
      <c r="C539" s="7">
        <v>3.590044091402711E-2</v>
      </c>
      <c r="D539" s="7">
        <f>(Table4[[#This Row],[WALCL]]/1000)/19222</f>
        <v>0.156679689938612</v>
      </c>
    </row>
    <row r="540" spans="1:16" x14ac:dyDescent="0.2">
      <c r="A540" s="10">
        <v>41304</v>
      </c>
      <c r="B540" s="9">
        <v>3008704</v>
      </c>
      <c r="C540" s="7">
        <v>3.590044091402711E-2</v>
      </c>
      <c r="D540" s="7">
        <f>(Table4[[#This Row],[WALCL]]/1000)/19222</f>
        <v>0.15652398293621891</v>
      </c>
    </row>
    <row r="541" spans="1:16" x14ac:dyDescent="0.2">
      <c r="A541" s="10">
        <v>41311</v>
      </c>
      <c r="B541" s="9">
        <v>3014975</v>
      </c>
      <c r="C541" s="7">
        <v>3.590044091402711E-2</v>
      </c>
      <c r="D541" s="7">
        <f>(Table4[[#This Row],[WALCL]]/1000)/19222</f>
        <v>0.1568502237020081</v>
      </c>
    </row>
    <row r="542" spans="1:16" x14ac:dyDescent="0.2">
      <c r="A542" s="10">
        <v>41318</v>
      </c>
      <c r="B542" s="9">
        <v>3074225</v>
      </c>
      <c r="C542" s="7">
        <v>3.590044091402711E-2</v>
      </c>
      <c r="D542" s="7">
        <f>(Table4[[#This Row],[WALCL]]/1000)/19222</f>
        <v>0.15993262927895119</v>
      </c>
    </row>
    <row r="543" spans="1:16" x14ac:dyDescent="0.2">
      <c r="A543" s="10">
        <v>41325</v>
      </c>
      <c r="B543" s="9">
        <v>3095150</v>
      </c>
      <c r="C543" s="7">
        <v>3.590044091402711E-2</v>
      </c>
      <c r="D543" s="7">
        <f>(Table4[[#This Row],[WALCL]]/1000)/19222</f>
        <v>0.16102122567890959</v>
      </c>
    </row>
    <row r="544" spans="1:16" x14ac:dyDescent="0.2">
      <c r="A544" s="10">
        <v>41332</v>
      </c>
      <c r="B544" s="9">
        <v>3090600</v>
      </c>
      <c r="C544" s="7">
        <v>3.590044091402711E-2</v>
      </c>
      <c r="D544" s="7">
        <f>(Table4[[#This Row],[WALCL]]/1000)/19222</f>
        <v>0.16078451774008948</v>
      </c>
    </row>
    <row r="545" spans="1:4" x14ac:dyDescent="0.2">
      <c r="A545" s="10">
        <v>41339</v>
      </c>
      <c r="B545" s="9">
        <v>3108805</v>
      </c>
      <c r="C545" s="7">
        <v>3.590044091402711E-2</v>
      </c>
      <c r="D545" s="7">
        <f>(Table4[[#This Row],[WALCL]]/1000)/19222</f>
        <v>0.16173160961398397</v>
      </c>
    </row>
    <row r="546" spans="1:4" x14ac:dyDescent="0.2">
      <c r="A546" s="10">
        <v>41346</v>
      </c>
      <c r="B546" s="9">
        <v>3165396</v>
      </c>
      <c r="C546" s="7">
        <v>3.590044091402711E-2</v>
      </c>
      <c r="D546" s="7">
        <f>(Table4[[#This Row],[WALCL]]/1000)/19222</f>
        <v>0.16467568411195507</v>
      </c>
    </row>
    <row r="547" spans="1:4" x14ac:dyDescent="0.2">
      <c r="A547" s="10">
        <v>41353</v>
      </c>
      <c r="B547" s="9">
        <v>3206888</v>
      </c>
      <c r="C547" s="7">
        <v>3.590044091402711E-2</v>
      </c>
      <c r="D547" s="7">
        <f>(Table4[[#This Row],[WALCL]]/1000)/19222</f>
        <v>0.1668342524191031</v>
      </c>
    </row>
    <row r="548" spans="1:4" x14ac:dyDescent="0.2">
      <c r="A548" s="10">
        <v>41360</v>
      </c>
      <c r="B548" s="9">
        <v>3202256</v>
      </c>
      <c r="C548" s="7">
        <v>3.590044091402711E-2</v>
      </c>
      <c r="D548" s="7">
        <f>(Table4[[#This Row],[WALCL]]/1000)/19222</f>
        <v>0.16659327853501196</v>
      </c>
    </row>
    <row r="549" spans="1:4" x14ac:dyDescent="0.2">
      <c r="A549" s="10">
        <v>41367</v>
      </c>
      <c r="B549" s="9">
        <v>3215432</v>
      </c>
      <c r="C549" s="7">
        <v>4.9450025132720121E-3</v>
      </c>
      <c r="D549" s="7">
        <f>(Table4[[#This Row],[WALCL]]/1000)/19222</f>
        <v>0.16727874310685673</v>
      </c>
    </row>
    <row r="550" spans="1:4" x14ac:dyDescent="0.2">
      <c r="A550" s="10">
        <v>41374</v>
      </c>
      <c r="B550" s="9">
        <v>3227762</v>
      </c>
      <c r="C550" s="7">
        <v>4.9450025132720121E-3</v>
      </c>
      <c r="D550" s="7">
        <f>(Table4[[#This Row],[WALCL]]/1000)/19222</f>
        <v>0.1679201956091978</v>
      </c>
    </row>
    <row r="551" spans="1:4" x14ac:dyDescent="0.2">
      <c r="A551" s="10">
        <v>41381</v>
      </c>
      <c r="B551" s="9">
        <v>3295109</v>
      </c>
      <c r="C551" s="7">
        <v>4.9450025132720121E-3</v>
      </c>
      <c r="D551" s="7">
        <f>(Table4[[#This Row],[WALCL]]/1000)/19222</f>
        <v>0.17142383726979502</v>
      </c>
    </row>
    <row r="552" spans="1:4" x14ac:dyDescent="0.2">
      <c r="A552" s="10">
        <v>41388</v>
      </c>
      <c r="B552" s="9">
        <v>3318649</v>
      </c>
      <c r="C552" s="7">
        <v>4.9450025132720121E-3</v>
      </c>
      <c r="D552" s="7">
        <f>(Table4[[#This Row],[WALCL]]/1000)/19222</f>
        <v>0.17264847570492145</v>
      </c>
    </row>
    <row r="553" spans="1:4" x14ac:dyDescent="0.2">
      <c r="A553" s="10">
        <v>41395</v>
      </c>
      <c r="B553" s="9">
        <v>3317194</v>
      </c>
      <c r="C553" s="7">
        <v>4.9450025132720121E-3</v>
      </c>
      <c r="D553" s="7">
        <f>(Table4[[#This Row],[WALCL]]/1000)/19222</f>
        <v>0.17257278118822184</v>
      </c>
    </row>
    <row r="554" spans="1:4" x14ac:dyDescent="0.2">
      <c r="A554" s="10">
        <v>41402</v>
      </c>
      <c r="B554" s="9">
        <v>3324615</v>
      </c>
      <c r="C554" s="7">
        <v>4.9450025132720121E-3</v>
      </c>
      <c r="D554" s="7">
        <f>(Table4[[#This Row],[WALCL]]/1000)/19222</f>
        <v>0.17295884923525126</v>
      </c>
    </row>
    <row r="555" spans="1:4" x14ac:dyDescent="0.2">
      <c r="A555" s="10">
        <v>41409</v>
      </c>
      <c r="B555" s="9">
        <v>3354269</v>
      </c>
      <c r="C555" s="7">
        <v>4.9450025132720121E-3</v>
      </c>
      <c r="D555" s="7">
        <f>(Table4[[#This Row],[WALCL]]/1000)/19222</f>
        <v>0.17450156071168452</v>
      </c>
    </row>
    <row r="556" spans="1:4" x14ac:dyDescent="0.2">
      <c r="A556" s="10">
        <v>41416</v>
      </c>
      <c r="B556" s="9">
        <v>3398713</v>
      </c>
      <c r="C556" s="7">
        <v>4.9450025132720121E-3</v>
      </c>
      <c r="D556" s="7">
        <f>(Table4[[#This Row],[WALCL]]/1000)/19222</f>
        <v>0.17681370304859018</v>
      </c>
    </row>
    <row r="557" spans="1:4" x14ac:dyDescent="0.2">
      <c r="A557" s="10">
        <v>41423</v>
      </c>
      <c r="B557" s="9">
        <v>3385128</v>
      </c>
      <c r="C557" s="7">
        <v>4.9450025132720121E-3</v>
      </c>
      <c r="D557" s="7">
        <f>(Table4[[#This Row],[WALCL]]/1000)/19222</f>
        <v>0.176106960774113</v>
      </c>
    </row>
    <row r="558" spans="1:4" x14ac:dyDescent="0.2">
      <c r="A558" s="10">
        <v>41430</v>
      </c>
      <c r="B558" s="9">
        <v>3400183</v>
      </c>
      <c r="C558" s="7">
        <v>4.9450025132720121E-3</v>
      </c>
      <c r="D558" s="7">
        <f>(Table4[[#This Row],[WALCL]]/1000)/19222</f>
        <v>0.17689017792113204</v>
      </c>
    </row>
    <row r="559" spans="1:4" x14ac:dyDescent="0.2">
      <c r="A559" s="10">
        <v>41437</v>
      </c>
      <c r="B559" s="9">
        <v>3410842</v>
      </c>
      <c r="C559" s="7">
        <v>4.9450025132720121E-3</v>
      </c>
      <c r="D559" s="7">
        <f>(Table4[[#This Row],[WALCL]]/1000)/19222</f>
        <v>0.17744469878264488</v>
      </c>
    </row>
    <row r="560" spans="1:4" x14ac:dyDescent="0.2">
      <c r="A560" s="10">
        <v>41444</v>
      </c>
      <c r="B560" s="9">
        <v>3470530</v>
      </c>
      <c r="C560" s="7">
        <v>4.9450025132720121E-3</v>
      </c>
      <c r="D560" s="7">
        <f>(Table4[[#This Row],[WALCL]]/1000)/19222</f>
        <v>0.1805498907501821</v>
      </c>
    </row>
    <row r="561" spans="1:4" x14ac:dyDescent="0.2">
      <c r="A561" s="10">
        <v>41451</v>
      </c>
      <c r="B561" s="9">
        <v>3478672</v>
      </c>
      <c r="C561" s="7">
        <v>4.9450025132720121E-3</v>
      </c>
      <c r="D561" s="7">
        <f>(Table4[[#This Row],[WALCL]]/1000)/19222</f>
        <v>0.18097346790136301</v>
      </c>
    </row>
    <row r="562" spans="1:4" x14ac:dyDescent="0.2">
      <c r="A562" s="10">
        <v>41458</v>
      </c>
      <c r="B562" s="9">
        <v>3492742</v>
      </c>
      <c r="C562" s="7">
        <v>3.1706777294290056E-2</v>
      </c>
      <c r="D562" s="7">
        <f>(Table4[[#This Row],[WALCL]]/1000)/19222</f>
        <v>0.18170544168140673</v>
      </c>
    </row>
    <row r="563" spans="1:4" x14ac:dyDescent="0.2">
      <c r="A563" s="10">
        <v>41465</v>
      </c>
      <c r="B563" s="9">
        <v>3504095</v>
      </c>
      <c r="C563" s="7">
        <v>3.1706777294290056E-2</v>
      </c>
      <c r="D563" s="7">
        <f>(Table4[[#This Row],[WALCL]]/1000)/19222</f>
        <v>0.18229606700655498</v>
      </c>
    </row>
    <row r="564" spans="1:4" x14ac:dyDescent="0.2">
      <c r="A564" s="10">
        <v>41472</v>
      </c>
      <c r="B564" s="9">
        <v>3537861</v>
      </c>
      <c r="C564" s="7">
        <v>3.1706777294290056E-2</v>
      </c>
      <c r="D564" s="7">
        <f>(Table4[[#This Row],[WALCL]]/1000)/19222</f>
        <v>0.18405270003121424</v>
      </c>
    </row>
    <row r="565" spans="1:4" x14ac:dyDescent="0.2">
      <c r="A565" s="10">
        <v>41479</v>
      </c>
      <c r="B565" s="9">
        <v>3574574</v>
      </c>
      <c r="C565" s="7">
        <v>3.1706777294290056E-2</v>
      </c>
      <c r="D565" s="7">
        <f>(Table4[[#This Row],[WALCL]]/1000)/19222</f>
        <v>0.18596264696701698</v>
      </c>
    </row>
    <row r="566" spans="1:4" x14ac:dyDescent="0.2">
      <c r="A566" s="10">
        <v>41486</v>
      </c>
      <c r="B566" s="9">
        <v>3571797</v>
      </c>
      <c r="C566" s="7">
        <v>3.1706777294290056E-2</v>
      </c>
      <c r="D566" s="7">
        <f>(Table4[[#This Row],[WALCL]]/1000)/19222</f>
        <v>0.18581817708875248</v>
      </c>
    </row>
    <row r="567" spans="1:4" x14ac:dyDescent="0.2">
      <c r="A567" s="10">
        <v>41493</v>
      </c>
      <c r="B567" s="9">
        <v>3585359</v>
      </c>
      <c r="C567" s="7">
        <v>3.1706777294290056E-2</v>
      </c>
      <c r="D567" s="7">
        <f>(Table4[[#This Row],[WALCL]]/1000)/19222</f>
        <v>0.18652372281760482</v>
      </c>
    </row>
    <row r="568" spans="1:4" x14ac:dyDescent="0.2">
      <c r="A568" s="10">
        <v>41500</v>
      </c>
      <c r="B568" s="9">
        <v>3646323</v>
      </c>
      <c r="C568" s="7">
        <v>3.1706777294290056E-2</v>
      </c>
      <c r="D568" s="7">
        <f>(Table4[[#This Row],[WALCL]]/1000)/19222</f>
        <v>0.18969529705545729</v>
      </c>
    </row>
    <row r="569" spans="1:4" x14ac:dyDescent="0.2">
      <c r="A569" s="10">
        <v>41507</v>
      </c>
      <c r="B569" s="9">
        <v>3645668</v>
      </c>
      <c r="C569" s="7">
        <v>3.1706777294290056E-2</v>
      </c>
      <c r="D569" s="7">
        <f>(Table4[[#This Row],[WALCL]]/1000)/19222</f>
        <v>0.18966122151701176</v>
      </c>
    </row>
    <row r="570" spans="1:4" x14ac:dyDescent="0.2">
      <c r="A570" s="10">
        <v>41514</v>
      </c>
      <c r="B570" s="9">
        <v>3644456</v>
      </c>
      <c r="C570" s="7">
        <v>3.1706777294290056E-2</v>
      </c>
      <c r="D570" s="7">
        <f>(Table4[[#This Row],[WALCL]]/1000)/19222</f>
        <v>0.18959816876495683</v>
      </c>
    </row>
    <row r="571" spans="1:4" x14ac:dyDescent="0.2">
      <c r="A571" s="10">
        <v>41521</v>
      </c>
      <c r="B571" s="9">
        <v>3654182</v>
      </c>
      <c r="C571" s="7">
        <v>3.1706777294290056E-2</v>
      </c>
      <c r="D571" s="7">
        <f>(Table4[[#This Row],[WALCL]]/1000)/19222</f>
        <v>0.19010415149308083</v>
      </c>
    </row>
    <row r="572" spans="1:4" x14ac:dyDescent="0.2">
      <c r="A572" s="10">
        <v>41528</v>
      </c>
      <c r="B572" s="9">
        <v>3662035</v>
      </c>
      <c r="C572" s="7">
        <v>3.1706777294290056E-2</v>
      </c>
      <c r="D572" s="7">
        <f>(Table4[[#This Row],[WALCL]]/1000)/19222</f>
        <v>0.19051269378836749</v>
      </c>
    </row>
    <row r="573" spans="1:4" x14ac:dyDescent="0.2">
      <c r="A573" s="10">
        <v>41535</v>
      </c>
      <c r="B573" s="9">
        <v>3722192</v>
      </c>
      <c r="C573" s="7">
        <v>3.1706777294290056E-2</v>
      </c>
      <c r="D573" s="7">
        <f>(Table4[[#This Row],[WALCL]]/1000)/19222</f>
        <v>0.19364228488190616</v>
      </c>
    </row>
    <row r="574" spans="1:4" x14ac:dyDescent="0.2">
      <c r="A574" s="10">
        <v>41542</v>
      </c>
      <c r="B574" s="9">
        <v>3734018</v>
      </c>
      <c r="C574" s="7">
        <v>3.1706777294290056E-2</v>
      </c>
      <c r="D574" s="7">
        <f>(Table4[[#This Row],[WALCL]]/1000)/19222</f>
        <v>0.19425751742794714</v>
      </c>
    </row>
    <row r="575" spans="1:4" x14ac:dyDescent="0.2">
      <c r="A575" s="10">
        <v>41549</v>
      </c>
      <c r="B575" s="9">
        <v>3747387</v>
      </c>
      <c r="C575" s="7">
        <v>3.2314316995104342E-2</v>
      </c>
      <c r="D575" s="7">
        <f>(Table4[[#This Row],[WALCL]]/1000)/19222</f>
        <v>0.19495302257829572</v>
      </c>
    </row>
    <row r="576" spans="1:4" x14ac:dyDescent="0.2">
      <c r="A576" s="10">
        <v>41556</v>
      </c>
      <c r="B576" s="9">
        <v>3758663</v>
      </c>
      <c r="C576" s="7">
        <v>3.2314316995104342E-2</v>
      </c>
      <c r="D576" s="7">
        <f>(Table4[[#This Row],[WALCL]]/1000)/19222</f>
        <v>0.19553964207678701</v>
      </c>
    </row>
    <row r="577" spans="1:4" x14ac:dyDescent="0.2">
      <c r="A577" s="10">
        <v>41563</v>
      </c>
      <c r="B577" s="9">
        <v>3813599</v>
      </c>
      <c r="C577" s="7">
        <v>3.2314316995104342E-2</v>
      </c>
      <c r="D577" s="7">
        <f>(Table4[[#This Row],[WALCL]]/1000)/19222</f>
        <v>0.19839761731349495</v>
      </c>
    </row>
    <row r="578" spans="1:4" x14ac:dyDescent="0.2">
      <c r="A578" s="10">
        <v>41570</v>
      </c>
      <c r="B578" s="9">
        <v>3839033</v>
      </c>
      <c r="C578" s="7">
        <v>3.2314316995104342E-2</v>
      </c>
      <c r="D578" s="7">
        <f>(Table4[[#This Row],[WALCL]]/1000)/19222</f>
        <v>0.19972078867963791</v>
      </c>
    </row>
    <row r="579" spans="1:4" x14ac:dyDescent="0.2">
      <c r="A579" s="10">
        <v>41577</v>
      </c>
      <c r="B579" s="9">
        <v>3843396</v>
      </c>
      <c r="C579" s="7">
        <v>3.2314316995104342E-2</v>
      </c>
      <c r="D579" s="7">
        <f>(Table4[[#This Row],[WALCL]]/1000)/19222</f>
        <v>0.19994776818229112</v>
      </c>
    </row>
    <row r="580" spans="1:4" x14ac:dyDescent="0.2">
      <c r="A580" s="10">
        <v>41584</v>
      </c>
      <c r="B580" s="9">
        <v>3851623</v>
      </c>
      <c r="C580" s="7">
        <v>3.2314316995104342E-2</v>
      </c>
      <c r="D580" s="7">
        <f>(Table4[[#This Row],[WALCL]]/1000)/19222</f>
        <v>0.20037576734991155</v>
      </c>
    </row>
    <row r="581" spans="1:4" x14ac:dyDescent="0.2">
      <c r="A581" s="10">
        <v>41591</v>
      </c>
      <c r="B581" s="9">
        <v>3907424</v>
      </c>
      <c r="C581" s="7">
        <v>3.2314316995104342E-2</v>
      </c>
      <c r="D581" s="7">
        <f>(Table4[[#This Row],[WALCL]]/1000)/19222</f>
        <v>0.20327874310685673</v>
      </c>
    </row>
    <row r="582" spans="1:4" x14ac:dyDescent="0.2">
      <c r="A582" s="10">
        <v>41598</v>
      </c>
      <c r="B582" s="9">
        <v>3906620</v>
      </c>
      <c r="C582" s="7">
        <v>3.2314316995104342E-2</v>
      </c>
      <c r="D582" s="7">
        <f>(Table4[[#This Row],[WALCL]]/1000)/19222</f>
        <v>0.20323691603371136</v>
      </c>
    </row>
    <row r="583" spans="1:4" x14ac:dyDescent="0.2">
      <c r="A583" s="10">
        <v>41605</v>
      </c>
      <c r="B583" s="9">
        <v>3925876</v>
      </c>
      <c r="C583" s="7">
        <v>3.2314316995104342E-2</v>
      </c>
      <c r="D583" s="7">
        <f>(Table4[[#This Row],[WALCL]]/1000)/19222</f>
        <v>0.20423868484028718</v>
      </c>
    </row>
    <row r="584" spans="1:4" x14ac:dyDescent="0.2">
      <c r="A584" s="10">
        <v>41612</v>
      </c>
      <c r="B584" s="9">
        <v>3932626</v>
      </c>
      <c r="C584" s="7">
        <v>3.2314316995104342E-2</v>
      </c>
      <c r="D584" s="7">
        <f>(Table4[[#This Row],[WALCL]]/1000)/19222</f>
        <v>0.20458984496930602</v>
      </c>
    </row>
    <row r="585" spans="1:4" x14ac:dyDescent="0.2">
      <c r="A585" s="10">
        <v>41619</v>
      </c>
      <c r="B585" s="9">
        <v>3993955</v>
      </c>
      <c r="C585" s="7">
        <v>3.2314316995104342E-2</v>
      </c>
      <c r="D585" s="7">
        <f>(Table4[[#This Row],[WALCL]]/1000)/19222</f>
        <v>0.20778040786598689</v>
      </c>
    </row>
    <row r="586" spans="1:4" x14ac:dyDescent="0.2">
      <c r="A586" s="10">
        <v>41626</v>
      </c>
      <c r="B586" s="9">
        <v>4008062</v>
      </c>
      <c r="C586" s="7">
        <v>3.2314316995104342E-2</v>
      </c>
      <c r="D586" s="7">
        <f>(Table4[[#This Row],[WALCL]]/1000)/19222</f>
        <v>0.20851430652377484</v>
      </c>
    </row>
    <row r="587" spans="1:4" x14ac:dyDescent="0.2">
      <c r="A587" s="10">
        <v>41633</v>
      </c>
      <c r="B587" s="9">
        <v>4032575</v>
      </c>
      <c r="C587" s="7">
        <v>3.2314316995104342E-2</v>
      </c>
      <c r="D587" s="7">
        <f>(Table4[[#This Row],[WALCL]]/1000)/19222</f>
        <v>0.20978956404120278</v>
      </c>
    </row>
    <row r="588" spans="1:4" x14ac:dyDescent="0.2">
      <c r="A588" s="10">
        <v>41640</v>
      </c>
      <c r="B588" s="9">
        <v>4023640</v>
      </c>
      <c r="C588" s="7">
        <v>-1.1260344444356418E-2</v>
      </c>
      <c r="D588" s="7">
        <f>(Table4[[#This Row],[WALCL]]/1000)/19222</f>
        <v>0.20932473207782748</v>
      </c>
    </row>
    <row r="589" spans="1:4" x14ac:dyDescent="0.2">
      <c r="A589" s="10">
        <v>41647</v>
      </c>
      <c r="B589" s="9">
        <v>4028185</v>
      </c>
      <c r="C589" s="7">
        <v>-1.1260344444356418E-2</v>
      </c>
      <c r="D589" s="7">
        <f>(Table4[[#This Row],[WALCL]]/1000)/19222</f>
        <v>0.20956117989803349</v>
      </c>
    </row>
    <row r="590" spans="1:4" x14ac:dyDescent="0.2">
      <c r="A590" s="10">
        <v>41654</v>
      </c>
      <c r="B590" s="9">
        <v>4071528</v>
      </c>
      <c r="C590" s="7">
        <v>-1.1260344444356418E-2</v>
      </c>
      <c r="D590" s="7">
        <f>(Table4[[#This Row],[WALCL]]/1000)/19222</f>
        <v>0.21181604411611693</v>
      </c>
    </row>
    <row r="591" spans="1:4" x14ac:dyDescent="0.2">
      <c r="A591" s="10">
        <v>41661</v>
      </c>
      <c r="B591" s="9">
        <v>4097914</v>
      </c>
      <c r="C591" s="7">
        <v>-1.1260344444356418E-2</v>
      </c>
      <c r="D591" s="7">
        <f>(Table4[[#This Row],[WALCL]]/1000)/19222</f>
        <v>0.21318874206638225</v>
      </c>
    </row>
    <row r="592" spans="1:4" x14ac:dyDescent="0.2">
      <c r="A592" s="10">
        <v>41668</v>
      </c>
      <c r="B592" s="9">
        <v>4102138</v>
      </c>
      <c r="C592" s="7">
        <v>-1.1260344444356418E-2</v>
      </c>
      <c r="D592" s="7">
        <f>(Table4[[#This Row],[WALCL]]/1000)/19222</f>
        <v>0.21340849027156383</v>
      </c>
    </row>
    <row r="593" spans="1:4" x14ac:dyDescent="0.2">
      <c r="A593" s="10">
        <v>41675</v>
      </c>
      <c r="B593" s="9">
        <v>4109285</v>
      </c>
      <c r="C593" s="7">
        <v>-1.1260344444356418E-2</v>
      </c>
      <c r="D593" s="7">
        <f>(Table4[[#This Row],[WALCL]]/1000)/19222</f>
        <v>0.21378030381854124</v>
      </c>
    </row>
    <row r="594" spans="1:4" x14ac:dyDescent="0.2">
      <c r="A594" s="10">
        <v>41682</v>
      </c>
      <c r="B594" s="9">
        <v>4119474</v>
      </c>
      <c r="C594" s="7">
        <v>-1.1260344444356418E-2</v>
      </c>
      <c r="D594" s="7">
        <f>(Table4[[#This Row],[WALCL]]/1000)/19222</f>
        <v>0.21431037353032983</v>
      </c>
    </row>
    <row r="595" spans="1:4" x14ac:dyDescent="0.2">
      <c r="A595" s="10">
        <v>41689</v>
      </c>
      <c r="B595" s="9">
        <v>4149224</v>
      </c>
      <c r="C595" s="7">
        <v>-1.1260344444356418E-2</v>
      </c>
      <c r="D595" s="7">
        <f>(Table4[[#This Row],[WALCL]]/1000)/19222</f>
        <v>0.21585807928415357</v>
      </c>
    </row>
    <row r="596" spans="1:4" x14ac:dyDescent="0.2">
      <c r="A596" s="10">
        <v>41696</v>
      </c>
      <c r="B596" s="9">
        <v>4159972</v>
      </c>
      <c r="C596" s="7">
        <v>-1.1260344444356418E-2</v>
      </c>
      <c r="D596" s="7">
        <f>(Table4[[#This Row],[WALCL]]/1000)/19222</f>
        <v>0.21641723025699719</v>
      </c>
    </row>
    <row r="597" spans="1:4" x14ac:dyDescent="0.2">
      <c r="A597" s="10">
        <v>41703</v>
      </c>
      <c r="B597" s="9">
        <v>4171762</v>
      </c>
      <c r="C597" s="7">
        <v>-1.1260344444356418E-2</v>
      </c>
      <c r="D597" s="7">
        <f>(Table4[[#This Row],[WALCL]]/1000)/19222</f>
        <v>0.21703058994901675</v>
      </c>
    </row>
    <row r="598" spans="1:4" x14ac:dyDescent="0.2">
      <c r="A598" s="10">
        <v>41710</v>
      </c>
      <c r="B598" s="9">
        <v>4181361</v>
      </c>
      <c r="C598" s="7">
        <v>-1.1260344444356418E-2</v>
      </c>
      <c r="D598" s="7">
        <f>(Table4[[#This Row],[WALCL]]/1000)/19222</f>
        <v>0.21752996566434293</v>
      </c>
    </row>
    <row r="599" spans="1:4" x14ac:dyDescent="0.2">
      <c r="A599" s="10">
        <v>41717</v>
      </c>
      <c r="B599" s="9">
        <v>4222081</v>
      </c>
      <c r="C599" s="7">
        <v>-1.1260344444356418E-2</v>
      </c>
      <c r="D599" s="7">
        <f>(Table4[[#This Row],[WALCL]]/1000)/19222</f>
        <v>0.2196483716574758</v>
      </c>
    </row>
    <row r="600" spans="1:4" x14ac:dyDescent="0.2">
      <c r="A600" s="10">
        <v>41724</v>
      </c>
      <c r="B600" s="9">
        <v>4226971</v>
      </c>
      <c r="C600" s="7">
        <v>-1.1260344444356418E-2</v>
      </c>
      <c r="D600" s="7">
        <f>(Table4[[#This Row],[WALCL]]/1000)/19222</f>
        <v>0.21990276766205388</v>
      </c>
    </row>
    <row r="601" spans="1:4" x14ac:dyDescent="0.2">
      <c r="A601" s="10">
        <v>41731</v>
      </c>
      <c r="B601" s="9">
        <v>4236441</v>
      </c>
      <c r="C601" s="7">
        <v>5.5256680977402883E-2</v>
      </c>
      <c r="D601" s="7">
        <f>(Table4[[#This Row],[WALCL]]/1000)/19222</f>
        <v>0.2203954323171366</v>
      </c>
    </row>
    <row r="602" spans="1:4" x14ac:dyDescent="0.2">
      <c r="A602" s="10">
        <v>41738</v>
      </c>
      <c r="B602" s="9">
        <v>4244188</v>
      </c>
      <c r="C602" s="7">
        <v>5.5256680977402883E-2</v>
      </c>
      <c r="D602" s="7">
        <f>(Table4[[#This Row],[WALCL]]/1000)/19222</f>
        <v>0.2207984600978046</v>
      </c>
    </row>
    <row r="603" spans="1:4" x14ac:dyDescent="0.2">
      <c r="A603" s="10">
        <v>41745</v>
      </c>
      <c r="B603" s="9">
        <v>4283967</v>
      </c>
      <c r="C603" s="7">
        <v>5.5256680977402883E-2</v>
      </c>
      <c r="D603" s="7">
        <f>(Table4[[#This Row],[WALCL]]/1000)/19222</f>
        <v>0.22286791176776607</v>
      </c>
    </row>
    <row r="604" spans="1:4" x14ac:dyDescent="0.2">
      <c r="A604" s="10">
        <v>41752</v>
      </c>
      <c r="B604" s="9">
        <v>4296339</v>
      </c>
      <c r="C604" s="7">
        <v>5.5256680977402883E-2</v>
      </c>
      <c r="D604" s="7">
        <f>(Table4[[#This Row],[WALCL]]/1000)/19222</f>
        <v>0.22351154926646549</v>
      </c>
    </row>
    <row r="605" spans="1:4" x14ac:dyDescent="0.2">
      <c r="A605" s="10">
        <v>41759</v>
      </c>
      <c r="B605" s="9">
        <v>4296049</v>
      </c>
      <c r="C605" s="7">
        <v>5.5256680977402883E-2</v>
      </c>
      <c r="D605" s="7">
        <f>(Table4[[#This Row],[WALCL]]/1000)/19222</f>
        <v>0.22349646238684839</v>
      </c>
    </row>
    <row r="606" spans="1:4" x14ac:dyDescent="0.2">
      <c r="A606" s="10">
        <v>41766</v>
      </c>
      <c r="B606" s="9">
        <v>4303143</v>
      </c>
      <c r="C606" s="7">
        <v>5.5256680977402883E-2</v>
      </c>
      <c r="D606" s="7">
        <f>(Table4[[#This Row],[WALCL]]/1000)/19222</f>
        <v>0.2238655186765165</v>
      </c>
    </row>
    <row r="607" spans="1:4" x14ac:dyDescent="0.2">
      <c r="A607" s="10">
        <v>41773</v>
      </c>
      <c r="B607" s="9">
        <v>4336649</v>
      </c>
      <c r="C607" s="7">
        <v>5.5256680977402883E-2</v>
      </c>
      <c r="D607" s="7">
        <f>(Table4[[#This Row],[WALCL]]/1000)/19222</f>
        <v>0.22560862553324318</v>
      </c>
    </row>
    <row r="608" spans="1:4" x14ac:dyDescent="0.2">
      <c r="A608" s="10">
        <v>41780</v>
      </c>
      <c r="B608" s="9">
        <v>4327560</v>
      </c>
      <c r="C608" s="7">
        <v>5.5256680977402883E-2</v>
      </c>
      <c r="D608" s="7">
        <f>(Table4[[#This Row],[WALCL]]/1000)/19222</f>
        <v>0.22513578191655398</v>
      </c>
    </row>
    <row r="609" spans="1:4" x14ac:dyDescent="0.2">
      <c r="A609" s="10">
        <v>41787</v>
      </c>
      <c r="B609" s="9">
        <v>4322654</v>
      </c>
      <c r="C609" s="7">
        <v>5.5256680977402883E-2</v>
      </c>
      <c r="D609" s="7">
        <f>(Table4[[#This Row],[WALCL]]/1000)/19222</f>
        <v>0.22488055353241079</v>
      </c>
    </row>
    <row r="610" spans="1:4" x14ac:dyDescent="0.2">
      <c r="A610" s="10">
        <v>41794</v>
      </c>
      <c r="B610" s="9">
        <v>4330917</v>
      </c>
      <c r="C610" s="7">
        <v>5.5256680977402883E-2</v>
      </c>
      <c r="D610" s="7">
        <f>(Table4[[#This Row],[WALCL]]/1000)/19222</f>
        <v>0.22531042555405267</v>
      </c>
    </row>
    <row r="611" spans="1:4" x14ac:dyDescent="0.2">
      <c r="A611" s="10">
        <v>41801</v>
      </c>
      <c r="B611" s="9">
        <v>4340904</v>
      </c>
      <c r="C611" s="7">
        <v>5.5256680977402883E-2</v>
      </c>
      <c r="D611" s="7">
        <f>(Table4[[#This Row],[WALCL]]/1000)/19222</f>
        <v>0.2258299864738321</v>
      </c>
    </row>
    <row r="612" spans="1:4" x14ac:dyDescent="0.2">
      <c r="A612" s="10">
        <v>41808</v>
      </c>
      <c r="B612" s="9">
        <v>4368168</v>
      </c>
      <c r="C612" s="7">
        <v>5.5256680977402883E-2</v>
      </c>
      <c r="D612" s="7">
        <f>(Table4[[#This Row],[WALCL]]/1000)/19222</f>
        <v>0.22724836125273123</v>
      </c>
    </row>
    <row r="613" spans="1:4" x14ac:dyDescent="0.2">
      <c r="A613" s="10">
        <v>41815</v>
      </c>
      <c r="B613" s="9">
        <v>4368348</v>
      </c>
      <c r="C613" s="7">
        <v>5.5256680977402883E-2</v>
      </c>
      <c r="D613" s="7">
        <f>(Table4[[#This Row],[WALCL]]/1000)/19222</f>
        <v>0.22725772552283841</v>
      </c>
    </row>
    <row r="614" spans="1:4" x14ac:dyDescent="0.2">
      <c r="A614" s="10">
        <v>41822</v>
      </c>
      <c r="B614" s="9">
        <v>4377031</v>
      </c>
      <c r="C614" s="7">
        <v>4.9738997698089538E-2</v>
      </c>
      <c r="D614" s="7">
        <f>(Table4[[#This Row],[WALCL]]/1000)/19222</f>
        <v>0.22770944750806368</v>
      </c>
    </row>
    <row r="615" spans="1:4" x14ac:dyDescent="0.2">
      <c r="A615" s="10">
        <v>41829</v>
      </c>
      <c r="B615" s="9">
        <v>4383401</v>
      </c>
      <c r="C615" s="7">
        <v>4.9738997698089538E-2</v>
      </c>
      <c r="D615" s="7">
        <f>(Table4[[#This Row],[WALCL]]/1000)/19222</f>
        <v>0.22804083862241181</v>
      </c>
    </row>
    <row r="616" spans="1:4" x14ac:dyDescent="0.2">
      <c r="A616" s="10">
        <v>41836</v>
      </c>
      <c r="B616" s="9">
        <v>4398201</v>
      </c>
      <c r="C616" s="7">
        <v>4.9738997698089538E-2</v>
      </c>
      <c r="D616" s="7">
        <f>(Table4[[#This Row],[WALCL]]/1000)/19222</f>
        <v>0.22881078972011237</v>
      </c>
    </row>
    <row r="617" spans="1:4" x14ac:dyDescent="0.2">
      <c r="A617" s="10">
        <v>41843</v>
      </c>
      <c r="B617" s="9">
        <v>4410746</v>
      </c>
      <c r="C617" s="7">
        <v>4.9738997698089538E-2</v>
      </c>
      <c r="D617" s="7">
        <f>(Table4[[#This Row],[WALCL]]/1000)/19222</f>
        <v>0.22946342732285924</v>
      </c>
    </row>
    <row r="618" spans="1:4" x14ac:dyDescent="0.2">
      <c r="A618" s="10">
        <v>41850</v>
      </c>
      <c r="B618" s="9">
        <v>4406637</v>
      </c>
      <c r="C618" s="7">
        <v>4.9738997698089538E-2</v>
      </c>
      <c r="D618" s="7">
        <f>(Table4[[#This Row],[WALCL]]/1000)/19222</f>
        <v>0.22924966184580167</v>
      </c>
    </row>
    <row r="619" spans="1:4" x14ac:dyDescent="0.2">
      <c r="A619" s="10">
        <v>41857</v>
      </c>
      <c r="B619" s="9">
        <v>4410111</v>
      </c>
      <c r="C619" s="7">
        <v>4.9738997698089538E-2</v>
      </c>
      <c r="D619" s="7">
        <f>(Table4[[#This Row],[WALCL]]/1000)/19222</f>
        <v>0.22943039225887005</v>
      </c>
    </row>
    <row r="620" spans="1:4" x14ac:dyDescent="0.2">
      <c r="A620" s="10">
        <v>41864</v>
      </c>
      <c r="B620" s="9">
        <v>4431923</v>
      </c>
      <c r="C620" s="7">
        <v>4.9738997698089538E-2</v>
      </c>
      <c r="D620" s="7">
        <f>(Table4[[#This Row],[WALCL]]/1000)/19222</f>
        <v>0.23056513370096762</v>
      </c>
    </row>
    <row r="621" spans="1:4" x14ac:dyDescent="0.2">
      <c r="A621" s="10">
        <v>41871</v>
      </c>
      <c r="B621" s="9">
        <v>4412924</v>
      </c>
      <c r="C621" s="7">
        <v>4.9738997698089538E-2</v>
      </c>
      <c r="D621" s="7">
        <f>(Table4[[#This Row],[WALCL]]/1000)/19222</f>
        <v>0.22957673499115597</v>
      </c>
    </row>
    <row r="622" spans="1:4" x14ac:dyDescent="0.2">
      <c r="A622" s="10">
        <v>41878</v>
      </c>
      <c r="B622" s="9">
        <v>4413736</v>
      </c>
      <c r="C622" s="7">
        <v>4.9738997698089538E-2</v>
      </c>
      <c r="D622" s="7">
        <f>(Table4[[#This Row],[WALCL]]/1000)/19222</f>
        <v>0.22961897825408387</v>
      </c>
    </row>
    <row r="623" spans="1:4" x14ac:dyDescent="0.2">
      <c r="A623" s="10">
        <v>41885</v>
      </c>
      <c r="B623" s="9">
        <v>4415587</v>
      </c>
      <c r="C623" s="7">
        <v>4.9738997698089538E-2</v>
      </c>
      <c r="D623" s="7">
        <f>(Table4[[#This Row],[WALCL]]/1000)/19222</f>
        <v>0.22971527416501927</v>
      </c>
    </row>
    <row r="624" spans="1:4" x14ac:dyDescent="0.2">
      <c r="A624" s="10">
        <v>41892</v>
      </c>
      <c r="B624" s="9">
        <v>4421408</v>
      </c>
      <c r="C624" s="7">
        <v>4.9738997698089538E-2</v>
      </c>
      <c r="D624" s="7">
        <f>(Table4[[#This Row],[WALCL]]/1000)/19222</f>
        <v>0.23001810425554053</v>
      </c>
    </row>
    <row r="625" spans="1:4" x14ac:dyDescent="0.2">
      <c r="A625" s="10">
        <v>41899</v>
      </c>
      <c r="B625" s="9">
        <v>4449588</v>
      </c>
      <c r="C625" s="7">
        <v>4.9738997698089538E-2</v>
      </c>
      <c r="D625" s="7">
        <f>(Table4[[#This Row],[WALCL]]/1000)/19222</f>
        <v>0.23148413276454061</v>
      </c>
    </row>
    <row r="626" spans="1:4" x14ac:dyDescent="0.2">
      <c r="A626" s="10">
        <v>41906</v>
      </c>
      <c r="B626" s="9">
        <v>4459050</v>
      </c>
      <c r="C626" s="7">
        <v>4.9738997698089538E-2</v>
      </c>
      <c r="D626" s="7">
        <f>(Table4[[#This Row],[WALCL]]/1000)/19222</f>
        <v>0.23197638122984082</v>
      </c>
    </row>
    <row r="627" spans="1:4" x14ac:dyDescent="0.2">
      <c r="A627" s="10">
        <v>41913</v>
      </c>
      <c r="B627" s="9">
        <v>4450260</v>
      </c>
      <c r="C627" s="7">
        <v>2.2702505615013635E-2</v>
      </c>
      <c r="D627" s="7">
        <f>(Table4[[#This Row],[WALCL]]/1000)/19222</f>
        <v>0.23151909270627408</v>
      </c>
    </row>
    <row r="628" spans="1:4" x14ac:dyDescent="0.2">
      <c r="A628" s="10">
        <v>41920</v>
      </c>
      <c r="B628" s="9">
        <v>4455403</v>
      </c>
      <c r="C628" s="7">
        <v>2.2702505615013635E-2</v>
      </c>
      <c r="D628" s="7">
        <f>(Table4[[#This Row],[WALCL]]/1000)/19222</f>
        <v>0.23178665071272503</v>
      </c>
    </row>
    <row r="629" spans="1:4" x14ac:dyDescent="0.2">
      <c r="A629" s="10">
        <v>41927</v>
      </c>
      <c r="B629" s="9">
        <v>4474360</v>
      </c>
      <c r="C629" s="7">
        <v>2.2702505615013635E-2</v>
      </c>
      <c r="D629" s="7">
        <f>(Table4[[#This Row],[WALCL]]/1000)/19222</f>
        <v>0.23277286442617831</v>
      </c>
    </row>
    <row r="630" spans="1:4" x14ac:dyDescent="0.2">
      <c r="A630" s="10">
        <v>41934</v>
      </c>
      <c r="B630" s="9">
        <v>4481616</v>
      </c>
      <c r="C630" s="7">
        <v>2.2702505615013635E-2</v>
      </c>
      <c r="D630" s="7">
        <f>(Table4[[#This Row],[WALCL]]/1000)/19222</f>
        <v>0.23315034855894287</v>
      </c>
    </row>
    <row r="631" spans="1:4" x14ac:dyDescent="0.2">
      <c r="A631" s="10">
        <v>41941</v>
      </c>
      <c r="B631" s="9">
        <v>4486754</v>
      </c>
      <c r="C631" s="7">
        <v>2.2702505615013635E-2</v>
      </c>
      <c r="D631" s="7">
        <f>(Table4[[#This Row],[WALCL]]/1000)/19222</f>
        <v>0.23341764644677973</v>
      </c>
    </row>
    <row r="632" spans="1:4" x14ac:dyDescent="0.2">
      <c r="A632" s="10">
        <v>41948</v>
      </c>
      <c r="B632" s="9">
        <v>4486585</v>
      </c>
      <c r="C632" s="7">
        <v>2.2702505615013635E-2</v>
      </c>
      <c r="D632" s="7">
        <f>(Table4[[#This Row],[WALCL]]/1000)/19222</f>
        <v>0.23340885443762355</v>
      </c>
    </row>
    <row r="633" spans="1:4" x14ac:dyDescent="0.2">
      <c r="A633" s="10">
        <v>41955</v>
      </c>
      <c r="B633" s="9">
        <v>4488895</v>
      </c>
      <c r="C633" s="7">
        <v>2.2702505615013635E-2</v>
      </c>
      <c r="D633" s="7">
        <f>(Table4[[#This Row],[WALCL]]/1000)/19222</f>
        <v>0.23352902923733224</v>
      </c>
    </row>
    <row r="634" spans="1:4" x14ac:dyDescent="0.2">
      <c r="A634" s="10">
        <v>41962</v>
      </c>
      <c r="B634" s="9">
        <v>4492759</v>
      </c>
      <c r="C634" s="7">
        <v>2.2702505615013635E-2</v>
      </c>
      <c r="D634" s="7">
        <f>(Table4[[#This Row],[WALCL]]/1000)/19222</f>
        <v>0.23373004890229945</v>
      </c>
    </row>
    <row r="635" spans="1:4" x14ac:dyDescent="0.2">
      <c r="A635" s="10">
        <v>41969</v>
      </c>
      <c r="B635" s="9">
        <v>4485931</v>
      </c>
      <c r="C635" s="7">
        <v>2.2702505615013635E-2</v>
      </c>
      <c r="D635" s="7">
        <f>(Table4[[#This Row],[WALCL]]/1000)/19222</f>
        <v>0.23337483092290082</v>
      </c>
    </row>
    <row r="636" spans="1:4" x14ac:dyDescent="0.2">
      <c r="A636" s="10">
        <v>41976</v>
      </c>
      <c r="B636" s="9">
        <v>4486190</v>
      </c>
      <c r="C636" s="7">
        <v>2.2702505615013635E-2</v>
      </c>
      <c r="D636" s="7">
        <f>(Table4[[#This Row],[WALCL]]/1000)/19222</f>
        <v>0.23338830506711059</v>
      </c>
    </row>
    <row r="637" spans="1:4" x14ac:dyDescent="0.2">
      <c r="A637" s="10">
        <v>41983</v>
      </c>
      <c r="B637" s="9">
        <v>4488865</v>
      </c>
      <c r="C637" s="7">
        <v>2.2702505615013635E-2</v>
      </c>
      <c r="D637" s="7">
        <f>(Table4[[#This Row],[WALCL]]/1000)/19222</f>
        <v>0.23352746852564768</v>
      </c>
    </row>
    <row r="638" spans="1:4" x14ac:dyDescent="0.2">
      <c r="A638" s="10">
        <v>41990</v>
      </c>
      <c r="B638" s="9">
        <v>4502247</v>
      </c>
      <c r="C638" s="7">
        <v>2.2702505615013635E-2</v>
      </c>
      <c r="D638" s="7">
        <f>(Table4[[#This Row],[WALCL]]/1000)/19222</f>
        <v>0.23422364998439291</v>
      </c>
    </row>
    <row r="639" spans="1:4" x14ac:dyDescent="0.2">
      <c r="A639" s="10">
        <v>41997</v>
      </c>
      <c r="B639" s="9">
        <v>4509462</v>
      </c>
      <c r="C639" s="7">
        <v>2.2702505615013635E-2</v>
      </c>
      <c r="D639" s="7">
        <f>(Table4[[#This Row],[WALCL]]/1000)/19222</f>
        <v>0.23459900114452192</v>
      </c>
    </row>
    <row r="640" spans="1:4" x14ac:dyDescent="0.2">
      <c r="A640" s="10">
        <v>42004</v>
      </c>
      <c r="B640" s="9">
        <v>4497660</v>
      </c>
      <c r="C640" s="7">
        <v>2.2702505615013635E-2</v>
      </c>
      <c r="D640" s="7">
        <f>(Table4[[#This Row],[WALCL]]/1000)/19222</f>
        <v>0.23398501716782852</v>
      </c>
    </row>
    <row r="641" spans="1:4" x14ac:dyDescent="0.2">
      <c r="A641" s="10">
        <v>42011</v>
      </c>
      <c r="B641" s="9">
        <v>4499524</v>
      </c>
      <c r="C641" s="7">
        <v>3.8510165042299871E-2</v>
      </c>
      <c r="D641" s="7">
        <f>(Table4[[#This Row],[WALCL]]/1000)/19222</f>
        <v>0.23408198938716057</v>
      </c>
    </row>
    <row r="642" spans="1:4" x14ac:dyDescent="0.2">
      <c r="A642" s="10">
        <v>42018</v>
      </c>
      <c r="B642" s="9">
        <v>4516077</v>
      </c>
      <c r="C642" s="7">
        <v>3.8510165042299871E-2</v>
      </c>
      <c r="D642" s="7">
        <f>(Table4[[#This Row],[WALCL]]/1000)/19222</f>
        <v>0.23494313807096037</v>
      </c>
    </row>
    <row r="643" spans="1:4" x14ac:dyDescent="0.2">
      <c r="A643" s="10">
        <v>42025</v>
      </c>
      <c r="B643" s="9">
        <v>4512936</v>
      </c>
      <c r="C643" s="7">
        <v>3.8510165042299871E-2</v>
      </c>
      <c r="D643" s="7">
        <f>(Table4[[#This Row],[WALCL]]/1000)/19222</f>
        <v>0.23477973155759024</v>
      </c>
    </row>
    <row r="644" spans="1:4" x14ac:dyDescent="0.2">
      <c r="A644" s="10">
        <v>42032</v>
      </c>
      <c r="B644" s="9">
        <v>4500064</v>
      </c>
      <c r="C644" s="7">
        <v>3.8510165042299871E-2</v>
      </c>
      <c r="D644" s="7">
        <f>(Table4[[#This Row],[WALCL]]/1000)/19222</f>
        <v>0.23411008219748206</v>
      </c>
    </row>
    <row r="645" spans="1:4" x14ac:dyDescent="0.2">
      <c r="A645" s="10">
        <v>42039</v>
      </c>
      <c r="B645" s="9">
        <v>4500348</v>
      </c>
      <c r="C645" s="7">
        <v>3.8510165042299871E-2</v>
      </c>
      <c r="D645" s="7">
        <f>(Table4[[#This Row],[WALCL]]/1000)/19222</f>
        <v>0.23412485693476226</v>
      </c>
    </row>
    <row r="646" spans="1:4" x14ac:dyDescent="0.2">
      <c r="A646" s="10">
        <v>42046</v>
      </c>
      <c r="B646" s="9">
        <v>4501685</v>
      </c>
      <c r="C646" s="7">
        <v>3.8510165042299871E-2</v>
      </c>
      <c r="D646" s="7">
        <f>(Table4[[#This Row],[WALCL]]/1000)/19222</f>
        <v>0.23419441265216942</v>
      </c>
    </row>
    <row r="647" spans="1:4" x14ac:dyDescent="0.2">
      <c r="A647" s="10">
        <v>42053</v>
      </c>
      <c r="B647" s="9">
        <v>4496851</v>
      </c>
      <c r="C647" s="7">
        <v>3.8510165042299871E-2</v>
      </c>
      <c r="D647" s="7">
        <f>(Table4[[#This Row],[WALCL]]/1000)/19222</f>
        <v>0.23394292997606908</v>
      </c>
    </row>
    <row r="648" spans="1:4" x14ac:dyDescent="0.2">
      <c r="A648" s="10">
        <v>42060</v>
      </c>
      <c r="B648" s="9">
        <v>4486725</v>
      </c>
      <c r="C648" s="7">
        <v>3.8510165042299871E-2</v>
      </c>
      <c r="D648" s="7">
        <f>(Table4[[#This Row],[WALCL]]/1000)/19222</f>
        <v>0.23341613775881803</v>
      </c>
    </row>
    <row r="649" spans="1:4" x14ac:dyDescent="0.2">
      <c r="A649" s="10">
        <v>42067</v>
      </c>
      <c r="B649" s="9">
        <v>4487583</v>
      </c>
      <c r="C649" s="7">
        <v>3.8510165042299871E-2</v>
      </c>
      <c r="D649" s="7">
        <f>(Table4[[#This Row],[WALCL]]/1000)/19222</f>
        <v>0.23346077411299551</v>
      </c>
    </row>
    <row r="650" spans="1:4" x14ac:dyDescent="0.2">
      <c r="A650" s="10">
        <v>42074</v>
      </c>
      <c r="B650" s="9">
        <v>4489279</v>
      </c>
      <c r="C650" s="7">
        <v>3.8510165042299871E-2</v>
      </c>
      <c r="D650" s="7">
        <f>(Table4[[#This Row],[WALCL]]/1000)/19222</f>
        <v>0.23354900634689421</v>
      </c>
    </row>
    <row r="651" spans="1:4" x14ac:dyDescent="0.2">
      <c r="A651" s="10">
        <v>42081</v>
      </c>
      <c r="B651" s="9">
        <v>4495888</v>
      </c>
      <c r="C651" s="7">
        <v>3.8510165042299871E-2</v>
      </c>
      <c r="D651" s="7">
        <f>(Table4[[#This Row],[WALCL]]/1000)/19222</f>
        <v>0.23389283113099574</v>
      </c>
    </row>
    <row r="652" spans="1:4" x14ac:dyDescent="0.2">
      <c r="A652" s="10">
        <v>42088</v>
      </c>
      <c r="B652" s="9">
        <v>4480603</v>
      </c>
      <c r="C652" s="7">
        <v>3.8510165042299871E-2</v>
      </c>
      <c r="D652" s="7">
        <f>(Table4[[#This Row],[WALCL]]/1000)/19222</f>
        <v>0.23309764852772866</v>
      </c>
    </row>
    <row r="653" spans="1:4" x14ac:dyDescent="0.2">
      <c r="A653" s="10">
        <v>42095</v>
      </c>
      <c r="B653" s="9">
        <v>4481799</v>
      </c>
      <c r="C653" s="7">
        <v>2.7340451814069189E-2</v>
      </c>
      <c r="D653" s="7">
        <f>(Table4[[#This Row],[WALCL]]/1000)/19222</f>
        <v>0.2331598689002185</v>
      </c>
    </row>
    <row r="654" spans="1:4" x14ac:dyDescent="0.2">
      <c r="A654" s="10">
        <v>42102</v>
      </c>
      <c r="B654" s="9">
        <v>4483419</v>
      </c>
      <c r="C654" s="7">
        <v>2.7340451814069189E-2</v>
      </c>
      <c r="D654" s="7">
        <f>(Table4[[#This Row],[WALCL]]/1000)/19222</f>
        <v>0.23324414733118301</v>
      </c>
    </row>
    <row r="655" spans="1:4" x14ac:dyDescent="0.2">
      <c r="A655" s="10">
        <v>42109</v>
      </c>
      <c r="B655" s="9">
        <v>4485366</v>
      </c>
      <c r="C655" s="7">
        <v>2.7340451814069189E-2</v>
      </c>
      <c r="D655" s="7">
        <f>(Table4[[#This Row],[WALCL]]/1000)/19222</f>
        <v>0.2333454375195089</v>
      </c>
    </row>
    <row r="656" spans="1:4" x14ac:dyDescent="0.2">
      <c r="A656" s="10">
        <v>42116</v>
      </c>
      <c r="B656" s="9">
        <v>4489695</v>
      </c>
      <c r="C656" s="7">
        <v>2.7340451814069189E-2</v>
      </c>
      <c r="D656" s="7">
        <f>(Table4[[#This Row],[WALCL]]/1000)/19222</f>
        <v>0.23357064821558629</v>
      </c>
    </row>
    <row r="657" spans="1:4" x14ac:dyDescent="0.2">
      <c r="A657" s="10">
        <v>42123</v>
      </c>
      <c r="B657" s="9">
        <v>4471499</v>
      </c>
      <c r="C657" s="7">
        <v>2.7340451814069189E-2</v>
      </c>
      <c r="D657" s="7">
        <f>(Table4[[#This Row],[WALCL]]/1000)/19222</f>
        <v>0.23262402455519715</v>
      </c>
    </row>
    <row r="658" spans="1:4" x14ac:dyDescent="0.2">
      <c r="A658" s="10">
        <v>42130</v>
      </c>
      <c r="B658" s="9">
        <v>4472703</v>
      </c>
      <c r="C658" s="7">
        <v>2.7340451814069189E-2</v>
      </c>
      <c r="D658" s="7">
        <f>(Table4[[#This Row],[WALCL]]/1000)/19222</f>
        <v>0.23268666111746958</v>
      </c>
    </row>
    <row r="659" spans="1:4" x14ac:dyDescent="0.2">
      <c r="A659" s="10">
        <v>42137</v>
      </c>
      <c r="B659" s="9">
        <v>4501188</v>
      </c>
      <c r="C659" s="7">
        <v>2.7340451814069189E-2</v>
      </c>
      <c r="D659" s="7">
        <f>(Table4[[#This Row],[WALCL]]/1000)/19222</f>
        <v>0.23416855686192906</v>
      </c>
    </row>
    <row r="660" spans="1:4" x14ac:dyDescent="0.2">
      <c r="A660" s="10">
        <v>42144</v>
      </c>
      <c r="B660" s="9">
        <v>4480384</v>
      </c>
      <c r="C660" s="7">
        <v>2.7340451814069189E-2</v>
      </c>
      <c r="D660" s="7">
        <f>(Table4[[#This Row],[WALCL]]/1000)/19222</f>
        <v>0.2330862553324316</v>
      </c>
    </row>
    <row r="661" spans="1:4" x14ac:dyDescent="0.2">
      <c r="A661" s="10">
        <v>42151</v>
      </c>
      <c r="B661" s="9">
        <v>4463981</v>
      </c>
      <c r="C661" s="7">
        <v>2.7340451814069189E-2</v>
      </c>
      <c r="D661" s="7">
        <f>(Table4[[#This Row],[WALCL]]/1000)/19222</f>
        <v>0.23223291020705442</v>
      </c>
    </row>
    <row r="662" spans="1:4" x14ac:dyDescent="0.2">
      <c r="A662" s="10">
        <v>42158</v>
      </c>
      <c r="B662" s="9">
        <v>4465360</v>
      </c>
      <c r="C662" s="7">
        <v>2.7340451814069189E-2</v>
      </c>
      <c r="D662" s="7">
        <f>(Table4[[#This Row],[WALCL]]/1000)/19222</f>
        <v>0.23230465092081987</v>
      </c>
    </row>
    <row r="663" spans="1:4" x14ac:dyDescent="0.2">
      <c r="A663" s="10">
        <v>42165</v>
      </c>
      <c r="B663" s="9">
        <v>4468005</v>
      </c>
      <c r="C663" s="7">
        <v>2.7340451814069189E-2</v>
      </c>
      <c r="D663" s="7">
        <f>(Table4[[#This Row],[WALCL]]/1000)/19222</f>
        <v>0.23244225366767246</v>
      </c>
    </row>
    <row r="664" spans="1:4" x14ac:dyDescent="0.2">
      <c r="A664" s="10">
        <v>42172</v>
      </c>
      <c r="B664" s="9">
        <v>4487817</v>
      </c>
      <c r="C664" s="7">
        <v>2.7340451814069189E-2</v>
      </c>
      <c r="D664" s="7">
        <f>(Table4[[#This Row],[WALCL]]/1000)/19222</f>
        <v>0.23347294766413484</v>
      </c>
    </row>
    <row r="665" spans="1:4" x14ac:dyDescent="0.2">
      <c r="A665" s="10">
        <v>42179</v>
      </c>
      <c r="B665" s="9">
        <v>4495055</v>
      </c>
      <c r="C665" s="7">
        <v>2.7340451814069189E-2</v>
      </c>
      <c r="D665" s="7">
        <f>(Table4[[#This Row],[WALCL]]/1000)/19222</f>
        <v>0.23384949536988869</v>
      </c>
    </row>
    <row r="666" spans="1:4" x14ac:dyDescent="0.2">
      <c r="A666" s="10">
        <v>42186</v>
      </c>
      <c r="B666" s="9">
        <v>4479130</v>
      </c>
      <c r="C666" s="7">
        <v>1.4583255449476029E-2</v>
      </c>
      <c r="D666" s="7">
        <f>(Table4[[#This Row],[WALCL]]/1000)/19222</f>
        <v>0.23302101758401833</v>
      </c>
    </row>
    <row r="667" spans="1:4" x14ac:dyDescent="0.2">
      <c r="A667" s="10">
        <v>42193</v>
      </c>
      <c r="B667" s="9">
        <v>4481289</v>
      </c>
      <c r="C667" s="7">
        <v>1.4583255449476029E-2</v>
      </c>
      <c r="D667" s="7">
        <f>(Table4[[#This Row],[WALCL]]/1000)/19222</f>
        <v>0.23313333680158152</v>
      </c>
    </row>
    <row r="668" spans="1:4" x14ac:dyDescent="0.2">
      <c r="A668" s="10">
        <v>42200</v>
      </c>
      <c r="B668" s="9">
        <v>4493605</v>
      </c>
      <c r="C668" s="7">
        <v>1.4583255449476029E-2</v>
      </c>
      <c r="D668" s="7">
        <f>(Table4[[#This Row],[WALCL]]/1000)/19222</f>
        <v>0.23377406097180312</v>
      </c>
    </row>
    <row r="669" spans="1:4" x14ac:dyDescent="0.2">
      <c r="A669" s="10">
        <v>42207</v>
      </c>
      <c r="B669" s="9">
        <v>4500503</v>
      </c>
      <c r="C669" s="7">
        <v>1.4583255449476029E-2</v>
      </c>
      <c r="D669" s="7">
        <f>(Table4[[#This Row],[WALCL]]/1000)/19222</f>
        <v>0.23413292061179897</v>
      </c>
    </row>
    <row r="670" spans="1:4" x14ac:dyDescent="0.2">
      <c r="A670" s="10">
        <v>42214</v>
      </c>
      <c r="B670" s="9">
        <v>4485480</v>
      </c>
      <c r="C670" s="7">
        <v>1.4583255449476029E-2</v>
      </c>
      <c r="D670" s="7">
        <f>(Table4[[#This Row],[WALCL]]/1000)/19222</f>
        <v>0.23335136822391009</v>
      </c>
    </row>
    <row r="671" spans="1:4" x14ac:dyDescent="0.2">
      <c r="A671" s="10">
        <v>42221</v>
      </c>
      <c r="B671" s="9">
        <v>4486329</v>
      </c>
      <c r="C671" s="7">
        <v>1.4583255449476029E-2</v>
      </c>
      <c r="D671" s="7">
        <f>(Table4[[#This Row],[WALCL]]/1000)/19222</f>
        <v>0.23339553636458224</v>
      </c>
    </row>
    <row r="672" spans="1:4" x14ac:dyDescent="0.2">
      <c r="A672" s="10">
        <v>42228</v>
      </c>
      <c r="B672" s="9">
        <v>4489250</v>
      </c>
      <c r="C672" s="7">
        <v>1.4583255449476029E-2</v>
      </c>
      <c r="D672" s="7">
        <f>(Table4[[#This Row],[WALCL]]/1000)/19222</f>
        <v>0.23354749765893248</v>
      </c>
    </row>
    <row r="673" spans="1:4" x14ac:dyDescent="0.2">
      <c r="A673" s="10">
        <v>42235</v>
      </c>
      <c r="B673" s="9">
        <v>4487208</v>
      </c>
      <c r="C673" s="7">
        <v>1.4583255449476029E-2</v>
      </c>
      <c r="D673" s="7">
        <f>(Table4[[#This Row],[WALCL]]/1000)/19222</f>
        <v>0.23344126521693889</v>
      </c>
    </row>
    <row r="674" spans="1:4" x14ac:dyDescent="0.2">
      <c r="A674" s="10">
        <v>42242</v>
      </c>
      <c r="B674" s="9">
        <v>4475105</v>
      </c>
      <c r="C674" s="7">
        <v>1.4583255449476029E-2</v>
      </c>
      <c r="D674" s="7">
        <f>(Table4[[#This Row],[WALCL]]/1000)/19222</f>
        <v>0.23281162209967743</v>
      </c>
    </row>
    <row r="675" spans="1:4" x14ac:dyDescent="0.2">
      <c r="A675" s="10">
        <v>42249</v>
      </c>
      <c r="B675" s="9">
        <v>4475886</v>
      </c>
      <c r="C675" s="7">
        <v>1.4583255449476029E-2</v>
      </c>
      <c r="D675" s="7">
        <f>(Table4[[#This Row],[WALCL]]/1000)/19222</f>
        <v>0.23285225262719803</v>
      </c>
    </row>
    <row r="676" spans="1:4" x14ac:dyDescent="0.2">
      <c r="A676" s="10">
        <v>42256</v>
      </c>
      <c r="B676" s="9">
        <v>4478213</v>
      </c>
      <c r="C676" s="7">
        <v>1.4583255449476029E-2</v>
      </c>
      <c r="D676" s="7">
        <f>(Table4[[#This Row],[WALCL]]/1000)/19222</f>
        <v>0.23297331183019457</v>
      </c>
    </row>
    <row r="677" spans="1:4" x14ac:dyDescent="0.2">
      <c r="A677" s="10">
        <v>42263</v>
      </c>
      <c r="B677" s="9">
        <v>4487809</v>
      </c>
      <c r="C677" s="7">
        <v>1.4583255449476029E-2</v>
      </c>
      <c r="D677" s="7">
        <f>(Table4[[#This Row],[WALCL]]/1000)/19222</f>
        <v>0.23347253147435232</v>
      </c>
    </row>
    <row r="678" spans="1:4" x14ac:dyDescent="0.2">
      <c r="A678" s="10">
        <v>42270</v>
      </c>
      <c r="B678" s="9">
        <v>4497484</v>
      </c>
      <c r="C678" s="7">
        <v>1.4583255449476029E-2</v>
      </c>
      <c r="D678" s="7">
        <f>(Table4[[#This Row],[WALCL]]/1000)/19222</f>
        <v>0.23397586099261264</v>
      </c>
    </row>
    <row r="679" spans="1:4" x14ac:dyDescent="0.2">
      <c r="A679" s="10">
        <v>42277</v>
      </c>
      <c r="B679" s="9">
        <v>4484111</v>
      </c>
      <c r="C679" s="7">
        <v>1.4583255449476029E-2</v>
      </c>
      <c r="D679" s="7">
        <f>(Table4[[#This Row],[WALCL]]/1000)/19222</f>
        <v>0.2332801477473728</v>
      </c>
    </row>
    <row r="680" spans="1:4" x14ac:dyDescent="0.2">
      <c r="A680" s="10">
        <v>42284</v>
      </c>
      <c r="B680" s="9">
        <v>4486185</v>
      </c>
      <c r="C680" s="7">
        <v>6.4299414859931847E-3</v>
      </c>
      <c r="D680" s="7">
        <f>(Table4[[#This Row],[WALCL]]/1000)/19222</f>
        <v>0.23338804494849655</v>
      </c>
    </row>
    <row r="681" spans="1:4" x14ac:dyDescent="0.2">
      <c r="A681" s="10">
        <v>42291</v>
      </c>
      <c r="B681" s="9">
        <v>4504704</v>
      </c>
      <c r="C681" s="7">
        <v>6.4299414859931847E-3</v>
      </c>
      <c r="D681" s="7">
        <f>(Table4[[#This Row],[WALCL]]/1000)/19222</f>
        <v>0.23435147227135572</v>
      </c>
    </row>
    <row r="682" spans="1:4" x14ac:dyDescent="0.2">
      <c r="A682" s="10">
        <v>42298</v>
      </c>
      <c r="B682" s="9">
        <v>4501372</v>
      </c>
      <c r="C682" s="7">
        <v>6.4299414859931847E-3</v>
      </c>
      <c r="D682" s="7">
        <f>(Table4[[#This Row],[WALCL]]/1000)/19222</f>
        <v>0.23417812922692749</v>
      </c>
    </row>
    <row r="683" spans="1:4" x14ac:dyDescent="0.2">
      <c r="A683" s="10">
        <v>42305</v>
      </c>
      <c r="B683" s="9">
        <v>4489339</v>
      </c>
      <c r="C683" s="7">
        <v>6.4299414859931847E-3</v>
      </c>
      <c r="D683" s="7">
        <f>(Table4[[#This Row],[WALCL]]/1000)/19222</f>
        <v>0.23355212777026324</v>
      </c>
    </row>
    <row r="684" spans="1:4" x14ac:dyDescent="0.2">
      <c r="A684" s="10">
        <v>42312</v>
      </c>
      <c r="B684" s="9">
        <v>4489702</v>
      </c>
      <c r="C684" s="7">
        <v>6.4299414859931847E-3</v>
      </c>
      <c r="D684" s="7">
        <f>(Table4[[#This Row],[WALCL]]/1000)/19222</f>
        <v>0.23357101238164604</v>
      </c>
    </row>
    <row r="685" spans="1:4" x14ac:dyDescent="0.2">
      <c r="A685" s="10">
        <v>42319</v>
      </c>
      <c r="B685" s="9">
        <v>4492012</v>
      </c>
      <c r="C685" s="7">
        <v>6.4299414859931847E-3</v>
      </c>
      <c r="D685" s="7">
        <f>(Table4[[#This Row],[WALCL]]/1000)/19222</f>
        <v>0.23369118718135468</v>
      </c>
    </row>
    <row r="686" spans="1:4" x14ac:dyDescent="0.2">
      <c r="A686" s="10">
        <v>42326</v>
      </c>
      <c r="B686" s="9">
        <v>4486721</v>
      </c>
      <c r="C686" s="7">
        <v>6.4299414859931847E-3</v>
      </c>
      <c r="D686" s="7">
        <f>(Table4[[#This Row],[WALCL]]/1000)/19222</f>
        <v>0.23341592966392671</v>
      </c>
    </row>
    <row r="687" spans="1:4" x14ac:dyDescent="0.2">
      <c r="A687" s="10">
        <v>42333</v>
      </c>
      <c r="B687" s="9">
        <v>4477088</v>
      </c>
      <c r="C687" s="7">
        <v>6.4299414859931847E-3</v>
      </c>
      <c r="D687" s="7">
        <f>(Table4[[#This Row],[WALCL]]/1000)/19222</f>
        <v>0.23291478514202474</v>
      </c>
    </row>
    <row r="688" spans="1:4" x14ac:dyDescent="0.2">
      <c r="A688" s="10">
        <v>42340</v>
      </c>
      <c r="B688" s="9">
        <v>4478069</v>
      </c>
      <c r="C688" s="7">
        <v>6.4299414859931847E-3</v>
      </c>
      <c r="D688" s="7">
        <f>(Table4[[#This Row],[WALCL]]/1000)/19222</f>
        <v>0.23296582041410885</v>
      </c>
    </row>
    <row r="689" spans="1:4" x14ac:dyDescent="0.2">
      <c r="A689" s="10">
        <v>42347</v>
      </c>
      <c r="B689" s="9">
        <v>4480436</v>
      </c>
      <c r="C689" s="7">
        <v>6.4299414859931847E-3</v>
      </c>
      <c r="D689" s="7">
        <f>(Table4[[#This Row],[WALCL]]/1000)/19222</f>
        <v>0.23308896056601808</v>
      </c>
    </row>
    <row r="690" spans="1:4" x14ac:dyDescent="0.2">
      <c r="A690" s="10">
        <v>42354</v>
      </c>
      <c r="B690" s="9">
        <v>4489593</v>
      </c>
      <c r="C690" s="7">
        <v>6.4299414859931847E-3</v>
      </c>
      <c r="D690" s="7">
        <f>(Table4[[#This Row],[WALCL]]/1000)/19222</f>
        <v>0.23356534179585892</v>
      </c>
    </row>
    <row r="691" spans="1:4" x14ac:dyDescent="0.2">
      <c r="A691" s="10">
        <v>42361</v>
      </c>
      <c r="B691" s="9">
        <v>4496523</v>
      </c>
      <c r="C691" s="7">
        <v>6.4299414859931847E-3</v>
      </c>
      <c r="D691" s="7">
        <f>(Table4[[#This Row],[WALCL]]/1000)/19222</f>
        <v>0.23392586619498493</v>
      </c>
    </row>
    <row r="692" spans="1:4" x14ac:dyDescent="0.2">
      <c r="A692" s="10">
        <v>42368</v>
      </c>
      <c r="B692" s="9">
        <v>4486587</v>
      </c>
      <c r="C692" s="7">
        <v>6.4299414859931847E-3</v>
      </c>
      <c r="D692" s="7">
        <f>(Table4[[#This Row],[WALCL]]/1000)/19222</f>
        <v>0.23340895848506921</v>
      </c>
    </row>
    <row r="693" spans="1:4" x14ac:dyDescent="0.2">
      <c r="A693" s="10">
        <v>42375</v>
      </c>
      <c r="B693" s="9">
        <v>4486606</v>
      </c>
      <c r="C693" s="7">
        <v>2.2849759771061739E-2</v>
      </c>
      <c r="D693" s="7">
        <f>(Table4[[#This Row],[WALCL]]/1000)/19222</f>
        <v>0.23340994693580272</v>
      </c>
    </row>
    <row r="694" spans="1:4" x14ac:dyDescent="0.2">
      <c r="A694" s="10">
        <v>42382</v>
      </c>
      <c r="B694" s="9">
        <v>4501695</v>
      </c>
      <c r="C694" s="7">
        <v>2.2849759771061739E-2</v>
      </c>
      <c r="D694" s="7">
        <f>(Table4[[#This Row],[WALCL]]/1000)/19222</f>
        <v>0.23419493288939755</v>
      </c>
    </row>
    <row r="695" spans="1:4" x14ac:dyDescent="0.2">
      <c r="A695" s="10">
        <v>42389</v>
      </c>
      <c r="B695" s="9">
        <v>4488840</v>
      </c>
      <c r="C695" s="7">
        <v>2.2849759771061739E-2</v>
      </c>
      <c r="D695" s="7">
        <f>(Table4[[#This Row],[WALCL]]/1000)/19222</f>
        <v>0.23352616793257727</v>
      </c>
    </row>
    <row r="696" spans="1:4" x14ac:dyDescent="0.2">
      <c r="A696" s="10">
        <v>42396</v>
      </c>
      <c r="B696" s="9">
        <v>4482349</v>
      </c>
      <c r="C696" s="7">
        <v>2.2849759771061739E-2</v>
      </c>
      <c r="D696" s="7">
        <f>(Table4[[#This Row],[WALCL]]/1000)/19222</f>
        <v>0.2331884819477682</v>
      </c>
    </row>
    <row r="697" spans="1:4" x14ac:dyDescent="0.2">
      <c r="A697" s="10">
        <v>42403</v>
      </c>
      <c r="B697" s="9">
        <v>4483495</v>
      </c>
      <c r="C697" s="7">
        <v>2.2849759771061739E-2</v>
      </c>
      <c r="D697" s="7">
        <f>(Table4[[#This Row],[WALCL]]/1000)/19222</f>
        <v>0.23324810113411715</v>
      </c>
    </row>
    <row r="698" spans="1:4" x14ac:dyDescent="0.2">
      <c r="A698" s="10">
        <v>42410</v>
      </c>
      <c r="B698" s="9">
        <v>4486278</v>
      </c>
      <c r="C698" s="7">
        <v>2.2849759771061739E-2</v>
      </c>
      <c r="D698" s="7">
        <f>(Table4[[#This Row],[WALCL]]/1000)/19222</f>
        <v>0.23339288315471857</v>
      </c>
    </row>
    <row r="699" spans="1:4" x14ac:dyDescent="0.2">
      <c r="A699" s="10">
        <v>42417</v>
      </c>
      <c r="B699" s="9">
        <v>4483629</v>
      </c>
      <c r="C699" s="7">
        <v>2.2849759771061739E-2</v>
      </c>
      <c r="D699" s="7">
        <f>(Table4[[#This Row],[WALCL]]/1000)/19222</f>
        <v>0.23325507231297471</v>
      </c>
    </row>
    <row r="700" spans="1:4" x14ac:dyDescent="0.2">
      <c r="A700" s="10">
        <v>42424</v>
      </c>
      <c r="B700" s="9">
        <v>4489796</v>
      </c>
      <c r="C700" s="7">
        <v>2.2849759771061739E-2</v>
      </c>
      <c r="D700" s="7">
        <f>(Table4[[#This Row],[WALCL]]/1000)/19222</f>
        <v>0.23357590261159089</v>
      </c>
    </row>
    <row r="701" spans="1:4" x14ac:dyDescent="0.2">
      <c r="A701" s="10">
        <v>42431</v>
      </c>
      <c r="B701" s="9">
        <v>4478485</v>
      </c>
      <c r="C701" s="7">
        <v>2.2849759771061739E-2</v>
      </c>
      <c r="D701" s="7">
        <f>(Table4[[#This Row],[WALCL]]/1000)/19222</f>
        <v>0.23298746228280093</v>
      </c>
    </row>
    <row r="702" spans="1:4" x14ac:dyDescent="0.2">
      <c r="A702" s="10">
        <v>42438</v>
      </c>
      <c r="B702" s="9">
        <v>4481083</v>
      </c>
      <c r="C702" s="7">
        <v>2.2849759771061739E-2</v>
      </c>
      <c r="D702" s="7">
        <f>(Table4[[#This Row],[WALCL]]/1000)/19222</f>
        <v>0.23312261991468108</v>
      </c>
    </row>
    <row r="703" spans="1:4" x14ac:dyDescent="0.2">
      <c r="A703" s="10">
        <v>42445</v>
      </c>
      <c r="B703" s="9">
        <v>4486333</v>
      </c>
      <c r="C703" s="7">
        <v>2.2849759771061739E-2</v>
      </c>
      <c r="D703" s="7">
        <f>(Table4[[#This Row],[WALCL]]/1000)/19222</f>
        <v>0.2333957444594735</v>
      </c>
    </row>
    <row r="704" spans="1:4" x14ac:dyDescent="0.2">
      <c r="A704" s="10">
        <v>42452</v>
      </c>
      <c r="B704" s="9">
        <v>4492857</v>
      </c>
      <c r="C704" s="7">
        <v>2.2849759771061739E-2</v>
      </c>
      <c r="D704" s="7">
        <f>(Table4[[#This Row],[WALCL]]/1000)/19222</f>
        <v>0.23373514722713556</v>
      </c>
    </row>
    <row r="705" spans="1:4" x14ac:dyDescent="0.2">
      <c r="A705" s="10">
        <v>42459</v>
      </c>
      <c r="B705" s="9">
        <v>4482840</v>
      </c>
      <c r="C705" s="7">
        <v>2.2849759771061739E-2</v>
      </c>
      <c r="D705" s="7">
        <f>(Table4[[#This Row],[WALCL]]/1000)/19222</f>
        <v>0.23321402559567164</v>
      </c>
    </row>
    <row r="706" spans="1:4" x14ac:dyDescent="0.2">
      <c r="A706" s="10">
        <v>42466</v>
      </c>
      <c r="B706" s="9">
        <v>4484069</v>
      </c>
      <c r="C706" s="7">
        <v>1.2535230757250604E-2</v>
      </c>
      <c r="D706" s="7">
        <f>(Table4[[#This Row],[WALCL]]/1000)/19222</f>
        <v>0.23327796275101448</v>
      </c>
    </row>
    <row r="707" spans="1:4" x14ac:dyDescent="0.2">
      <c r="A707" s="10">
        <v>42473</v>
      </c>
      <c r="B707" s="9">
        <v>4499729</v>
      </c>
      <c r="C707" s="7">
        <v>1.2535230757250604E-2</v>
      </c>
      <c r="D707" s="7">
        <f>(Table4[[#This Row],[WALCL]]/1000)/19222</f>
        <v>0.23409265425033818</v>
      </c>
    </row>
    <row r="708" spans="1:4" x14ac:dyDescent="0.2">
      <c r="A708" s="10">
        <v>42480</v>
      </c>
      <c r="B708" s="9">
        <v>4490131</v>
      </c>
      <c r="C708" s="7">
        <v>1.2535230757250604E-2</v>
      </c>
      <c r="D708" s="7">
        <f>(Table4[[#This Row],[WALCL]]/1000)/19222</f>
        <v>0.2335933305587348</v>
      </c>
    </row>
    <row r="709" spans="1:4" x14ac:dyDescent="0.2">
      <c r="A709" s="10">
        <v>42487</v>
      </c>
      <c r="B709" s="9">
        <v>4474665</v>
      </c>
      <c r="C709" s="7">
        <v>1.2535230757250604E-2</v>
      </c>
      <c r="D709" s="7">
        <f>(Table4[[#This Row],[WALCL]]/1000)/19222</f>
        <v>0.23278873166163772</v>
      </c>
    </row>
    <row r="710" spans="1:4" x14ac:dyDescent="0.2">
      <c r="A710" s="10">
        <v>42494</v>
      </c>
      <c r="B710" s="9">
        <v>4477270</v>
      </c>
      <c r="C710" s="7">
        <v>1.2535230757250604E-2</v>
      </c>
      <c r="D710" s="7">
        <f>(Table4[[#This Row],[WALCL]]/1000)/19222</f>
        <v>0.2329242534595776</v>
      </c>
    </row>
    <row r="711" spans="1:4" x14ac:dyDescent="0.2">
      <c r="A711" s="10">
        <v>42501</v>
      </c>
      <c r="B711" s="9">
        <v>4478411</v>
      </c>
      <c r="C711" s="7">
        <v>1.2535230757250604E-2</v>
      </c>
      <c r="D711" s="7">
        <f>(Table4[[#This Row],[WALCL]]/1000)/19222</f>
        <v>0.23298361252731245</v>
      </c>
    </row>
    <row r="712" spans="1:4" x14ac:dyDescent="0.2">
      <c r="A712" s="10">
        <v>42508</v>
      </c>
      <c r="B712" s="9">
        <v>4473741</v>
      </c>
      <c r="C712" s="7">
        <v>1.2535230757250604E-2</v>
      </c>
      <c r="D712" s="7">
        <f>(Table4[[#This Row],[WALCL]]/1000)/19222</f>
        <v>0.23274066174175423</v>
      </c>
    </row>
    <row r="713" spans="1:4" x14ac:dyDescent="0.2">
      <c r="A713" s="10">
        <v>42515</v>
      </c>
      <c r="B713" s="9">
        <v>4461111</v>
      </c>
      <c r="C713" s="7">
        <v>1.2535230757250604E-2</v>
      </c>
      <c r="D713" s="7">
        <f>(Table4[[#This Row],[WALCL]]/1000)/19222</f>
        <v>0.23208360212256787</v>
      </c>
    </row>
    <row r="714" spans="1:4" x14ac:dyDescent="0.2">
      <c r="A714" s="10">
        <v>42522</v>
      </c>
      <c r="B714" s="9">
        <v>4461393</v>
      </c>
      <c r="C714" s="7">
        <v>1.2535230757250604E-2</v>
      </c>
      <c r="D714" s="7">
        <f>(Table4[[#This Row],[WALCL]]/1000)/19222</f>
        <v>0.23209827281240245</v>
      </c>
    </row>
    <row r="715" spans="1:4" x14ac:dyDescent="0.2">
      <c r="A715" s="10">
        <v>42529</v>
      </c>
      <c r="B715" s="9">
        <v>4463542</v>
      </c>
      <c r="C715" s="7">
        <v>1.2535230757250604E-2</v>
      </c>
      <c r="D715" s="7">
        <f>(Table4[[#This Row],[WALCL]]/1000)/19222</f>
        <v>0.2322100717927375</v>
      </c>
    </row>
    <row r="716" spans="1:4" x14ac:dyDescent="0.2">
      <c r="A716" s="10">
        <v>42536</v>
      </c>
      <c r="B716" s="9">
        <v>4472817</v>
      </c>
      <c r="C716" s="7">
        <v>1.2535230757250604E-2</v>
      </c>
      <c r="D716" s="7">
        <f>(Table4[[#This Row],[WALCL]]/1000)/19222</f>
        <v>0.23269259182187077</v>
      </c>
    </row>
    <row r="717" spans="1:4" x14ac:dyDescent="0.2">
      <c r="A717" s="10">
        <v>42543</v>
      </c>
      <c r="B717" s="9">
        <v>4482009</v>
      </c>
      <c r="C717" s="7">
        <v>1.2535230757250604E-2</v>
      </c>
      <c r="D717" s="7">
        <f>(Table4[[#This Row],[WALCL]]/1000)/19222</f>
        <v>0.2331707938820102</v>
      </c>
    </row>
    <row r="718" spans="1:4" x14ac:dyDescent="0.2">
      <c r="A718" s="10">
        <v>42550</v>
      </c>
      <c r="B718" s="9">
        <v>4466482</v>
      </c>
      <c r="C718" s="7">
        <v>1.2535230757250604E-2</v>
      </c>
      <c r="D718" s="7">
        <f>(Table4[[#This Row],[WALCL]]/1000)/19222</f>
        <v>0.23236302153782123</v>
      </c>
    </row>
    <row r="719" spans="1:4" x14ac:dyDescent="0.2">
      <c r="A719" s="10">
        <v>42557</v>
      </c>
      <c r="B719" s="9">
        <v>4470605</v>
      </c>
      <c r="C719" s="7">
        <v>2.1954308653463706E-2</v>
      </c>
      <c r="D719" s="7">
        <f>(Table4[[#This Row],[WALCL]]/1000)/19222</f>
        <v>0.23257751534699822</v>
      </c>
    </row>
    <row r="720" spans="1:4" x14ac:dyDescent="0.2">
      <c r="A720" s="10">
        <v>42564</v>
      </c>
      <c r="B720" s="9">
        <v>4472202</v>
      </c>
      <c r="C720" s="7">
        <v>2.1954308653463706E-2</v>
      </c>
      <c r="D720" s="7">
        <f>(Table4[[#This Row],[WALCL]]/1000)/19222</f>
        <v>0.23266059723233795</v>
      </c>
    </row>
    <row r="721" spans="1:4" x14ac:dyDescent="0.2">
      <c r="A721" s="10">
        <v>42571</v>
      </c>
      <c r="B721" s="9">
        <v>4480973</v>
      </c>
      <c r="C721" s="7">
        <v>2.1954308653463706E-2</v>
      </c>
      <c r="D721" s="7">
        <f>(Table4[[#This Row],[WALCL]]/1000)/19222</f>
        <v>0.23311689730517116</v>
      </c>
    </row>
    <row r="722" spans="1:4" x14ac:dyDescent="0.2">
      <c r="A722" s="10">
        <v>42578</v>
      </c>
      <c r="B722" s="9">
        <v>4464498</v>
      </c>
      <c r="C722" s="7">
        <v>2.1954308653463706E-2</v>
      </c>
      <c r="D722" s="7">
        <f>(Table4[[#This Row],[WALCL]]/1000)/19222</f>
        <v>0.2322598064717511</v>
      </c>
    </row>
    <row r="723" spans="1:4" x14ac:dyDescent="0.2">
      <c r="A723" s="10">
        <v>42585</v>
      </c>
      <c r="B723" s="9">
        <v>4466793</v>
      </c>
      <c r="C723" s="7">
        <v>2.1954308653463706E-2</v>
      </c>
      <c r="D723" s="7">
        <f>(Table4[[#This Row],[WALCL]]/1000)/19222</f>
        <v>0.23237920091561751</v>
      </c>
    </row>
    <row r="724" spans="1:4" x14ac:dyDescent="0.2">
      <c r="A724" s="10">
        <v>42592</v>
      </c>
      <c r="B724" s="9">
        <v>4468929</v>
      </c>
      <c r="C724" s="7">
        <v>2.1954308653463706E-2</v>
      </c>
      <c r="D724" s="7">
        <f>(Table4[[#This Row],[WALCL]]/1000)/19222</f>
        <v>0.23249032358755592</v>
      </c>
    </row>
    <row r="725" spans="1:4" x14ac:dyDescent="0.2">
      <c r="A725" s="10">
        <v>42599</v>
      </c>
      <c r="B725" s="9">
        <v>4466476</v>
      </c>
      <c r="C725" s="7">
        <v>2.1954308653463706E-2</v>
      </c>
      <c r="D725" s="7">
        <f>(Table4[[#This Row],[WALCL]]/1000)/19222</f>
        <v>0.23236270939548431</v>
      </c>
    </row>
    <row r="726" spans="1:4" x14ac:dyDescent="0.2">
      <c r="A726" s="10">
        <v>42606</v>
      </c>
      <c r="B726" s="9">
        <v>4473840</v>
      </c>
      <c r="C726" s="7">
        <v>2.1954308653463706E-2</v>
      </c>
      <c r="D726" s="7">
        <f>(Table4[[#This Row],[WALCL]]/1000)/19222</f>
        <v>0.2327458120903132</v>
      </c>
    </row>
    <row r="727" spans="1:4" x14ac:dyDescent="0.2">
      <c r="A727" s="10">
        <v>42613</v>
      </c>
      <c r="B727" s="9">
        <v>4457907</v>
      </c>
      <c r="C727" s="7">
        <v>2.1954308653463706E-2</v>
      </c>
      <c r="D727" s="7">
        <f>(Table4[[#This Row],[WALCL]]/1000)/19222</f>
        <v>0.23191691811466028</v>
      </c>
    </row>
    <row r="728" spans="1:4" x14ac:dyDescent="0.2">
      <c r="A728" s="10">
        <v>42620</v>
      </c>
      <c r="B728" s="9">
        <v>4459394</v>
      </c>
      <c r="C728" s="7">
        <v>2.1954308653463706E-2</v>
      </c>
      <c r="D728" s="7">
        <f>(Table4[[#This Row],[WALCL]]/1000)/19222</f>
        <v>0.23199427739049008</v>
      </c>
    </row>
    <row r="729" spans="1:4" x14ac:dyDescent="0.2">
      <c r="A729" s="10">
        <v>42627</v>
      </c>
      <c r="B729" s="9">
        <v>4481635</v>
      </c>
      <c r="C729" s="7">
        <v>2.1954308653463706E-2</v>
      </c>
      <c r="D729" s="7">
        <f>(Table4[[#This Row],[WALCL]]/1000)/19222</f>
        <v>0.23315133700967641</v>
      </c>
    </row>
    <row r="730" spans="1:4" x14ac:dyDescent="0.2">
      <c r="A730" s="10">
        <v>42634</v>
      </c>
      <c r="B730" s="9">
        <v>4473032</v>
      </c>
      <c r="C730" s="7">
        <v>2.1954308653463706E-2</v>
      </c>
      <c r="D730" s="7">
        <f>(Table4[[#This Row],[WALCL]]/1000)/19222</f>
        <v>0.23270377692227656</v>
      </c>
    </row>
    <row r="731" spans="1:4" x14ac:dyDescent="0.2">
      <c r="A731" s="10">
        <v>42641</v>
      </c>
      <c r="B731" s="9">
        <v>4452002</v>
      </c>
      <c r="C731" s="7">
        <v>2.1954308653463706E-2</v>
      </c>
      <c r="D731" s="7">
        <f>(Table4[[#This Row],[WALCL]]/1000)/19222</f>
        <v>0.23160971803142236</v>
      </c>
    </row>
    <row r="732" spans="1:4" x14ac:dyDescent="0.2">
      <c r="A732" s="10">
        <v>42648</v>
      </c>
      <c r="B732" s="9">
        <v>4459407</v>
      </c>
      <c r="C732" s="7">
        <v>2.5410542135027914E-2</v>
      </c>
      <c r="D732" s="7">
        <f>(Table4[[#This Row],[WALCL]]/1000)/19222</f>
        <v>0.2319949536988867</v>
      </c>
    </row>
    <row r="733" spans="1:4" x14ac:dyDescent="0.2">
      <c r="A733" s="10">
        <v>42655</v>
      </c>
      <c r="B733" s="9">
        <v>4457698</v>
      </c>
      <c r="C733" s="7">
        <v>2.5410542135027914E-2</v>
      </c>
      <c r="D733" s="7">
        <f>(Table4[[#This Row],[WALCL]]/1000)/19222</f>
        <v>0.23190604515659141</v>
      </c>
    </row>
    <row r="734" spans="1:4" x14ac:dyDescent="0.2">
      <c r="A734" s="10">
        <v>42662</v>
      </c>
      <c r="B734" s="9">
        <v>4467382</v>
      </c>
      <c r="C734" s="7">
        <v>2.5410542135027914E-2</v>
      </c>
      <c r="D734" s="7">
        <f>(Table4[[#This Row],[WALCL]]/1000)/19222</f>
        <v>0.23240984288835706</v>
      </c>
    </row>
    <row r="735" spans="1:4" x14ac:dyDescent="0.2">
      <c r="A735" s="10">
        <v>42669</v>
      </c>
      <c r="B735" s="9">
        <v>4454326</v>
      </c>
      <c r="C735" s="7">
        <v>2.5410542135027914E-2</v>
      </c>
      <c r="D735" s="7">
        <f>(Table4[[#This Row],[WALCL]]/1000)/19222</f>
        <v>0.23173062116325044</v>
      </c>
    </row>
    <row r="736" spans="1:4" x14ac:dyDescent="0.2">
      <c r="A736" s="10">
        <v>42676</v>
      </c>
      <c r="B736" s="9">
        <v>4453087</v>
      </c>
      <c r="C736" s="7">
        <v>2.5410542135027914E-2</v>
      </c>
      <c r="D736" s="7">
        <f>(Table4[[#This Row],[WALCL]]/1000)/19222</f>
        <v>0.23166616377067945</v>
      </c>
    </row>
    <row r="737" spans="1:4" x14ac:dyDescent="0.2">
      <c r="A737" s="10">
        <v>42683</v>
      </c>
      <c r="B737" s="9">
        <v>4455087</v>
      </c>
      <c r="C737" s="7">
        <v>2.5410542135027914E-2</v>
      </c>
      <c r="D737" s="7">
        <f>(Table4[[#This Row],[WALCL]]/1000)/19222</f>
        <v>0.23177021121631466</v>
      </c>
    </row>
    <row r="738" spans="1:4" x14ac:dyDescent="0.2">
      <c r="A738" s="10">
        <v>42690</v>
      </c>
      <c r="B738" s="9">
        <v>4453633</v>
      </c>
      <c r="C738" s="7">
        <v>2.5410542135027914E-2</v>
      </c>
      <c r="D738" s="7">
        <f>(Table4[[#This Row],[WALCL]]/1000)/19222</f>
        <v>0.23169456872333782</v>
      </c>
    </row>
    <row r="739" spans="1:4" x14ac:dyDescent="0.2">
      <c r="A739" s="10">
        <v>42697</v>
      </c>
      <c r="B739" s="9">
        <v>4465782</v>
      </c>
      <c r="C739" s="7">
        <v>2.5410542135027914E-2</v>
      </c>
      <c r="D739" s="7">
        <f>(Table4[[#This Row],[WALCL]]/1000)/19222</f>
        <v>0.23232660493184892</v>
      </c>
    </row>
    <row r="740" spans="1:4" x14ac:dyDescent="0.2">
      <c r="A740" s="10">
        <v>42704</v>
      </c>
      <c r="B740" s="9">
        <v>4446307</v>
      </c>
      <c r="C740" s="7">
        <v>2.5410542135027914E-2</v>
      </c>
      <c r="D740" s="7">
        <f>(Table4[[#This Row],[WALCL]]/1000)/19222</f>
        <v>0.23131344292997605</v>
      </c>
    </row>
    <row r="741" spans="1:4" x14ac:dyDescent="0.2">
      <c r="A741" s="10">
        <v>42711</v>
      </c>
      <c r="B741" s="9">
        <v>4448618</v>
      </c>
      <c r="C741" s="7">
        <v>2.5410542135027914E-2</v>
      </c>
      <c r="D741" s="7">
        <f>(Table4[[#This Row],[WALCL]]/1000)/19222</f>
        <v>0.23143366975340757</v>
      </c>
    </row>
    <row r="742" spans="1:4" x14ac:dyDescent="0.2">
      <c r="A742" s="10">
        <v>42718</v>
      </c>
      <c r="B742" s="9">
        <v>4470973</v>
      </c>
      <c r="C742" s="7">
        <v>2.5410542135027914E-2</v>
      </c>
      <c r="D742" s="7">
        <f>(Table4[[#This Row],[WALCL]]/1000)/19222</f>
        <v>0.23259666007699512</v>
      </c>
    </row>
    <row r="743" spans="1:4" x14ac:dyDescent="0.2">
      <c r="A743" s="10">
        <v>42725</v>
      </c>
      <c r="B743" s="9">
        <v>4469089</v>
      </c>
      <c r="C743" s="7">
        <v>2.5410542135027914E-2</v>
      </c>
      <c r="D743" s="7">
        <f>(Table4[[#This Row],[WALCL]]/1000)/19222</f>
        <v>0.23249864738320675</v>
      </c>
    </row>
    <row r="744" spans="1:4" x14ac:dyDescent="0.2">
      <c r="A744" s="10">
        <v>42732</v>
      </c>
      <c r="B744" s="9">
        <v>4451451</v>
      </c>
      <c r="C744" s="7">
        <v>2.5410542135027914E-2</v>
      </c>
      <c r="D744" s="7">
        <f>(Table4[[#This Row],[WALCL]]/1000)/19222</f>
        <v>0.23158105296014983</v>
      </c>
    </row>
    <row r="745" spans="1:4" x14ac:dyDescent="0.2">
      <c r="A745" s="10">
        <v>42739</v>
      </c>
      <c r="B745" s="9">
        <v>4453101</v>
      </c>
      <c r="C745" s="7">
        <v>2.2819473208793184E-2</v>
      </c>
      <c r="D745" s="7">
        <f>(Table4[[#This Row],[WALCL]]/1000)/19222</f>
        <v>0.23166689210279887</v>
      </c>
    </row>
    <row r="746" spans="1:4" x14ac:dyDescent="0.2">
      <c r="A746" s="10">
        <v>42746</v>
      </c>
      <c r="B746" s="9">
        <v>4452509</v>
      </c>
      <c r="C746" s="7">
        <v>2.2819473208793184E-2</v>
      </c>
      <c r="D746" s="7">
        <f>(Table4[[#This Row],[WALCL]]/1000)/19222</f>
        <v>0.23163609405889085</v>
      </c>
    </row>
    <row r="747" spans="1:4" x14ac:dyDescent="0.2">
      <c r="A747" s="10">
        <v>42753</v>
      </c>
      <c r="B747" s="9">
        <v>4460758</v>
      </c>
      <c r="C747" s="7">
        <v>2.2819473208793184E-2</v>
      </c>
      <c r="D747" s="7">
        <f>(Table4[[#This Row],[WALCL]]/1000)/19222</f>
        <v>0.23206523774841326</v>
      </c>
    </row>
    <row r="748" spans="1:4" x14ac:dyDescent="0.2">
      <c r="A748" s="10">
        <v>42760</v>
      </c>
      <c r="B748" s="9">
        <v>4452838</v>
      </c>
      <c r="C748" s="7">
        <v>2.2819473208793184E-2</v>
      </c>
      <c r="D748" s="7">
        <f>(Table4[[#This Row],[WALCL]]/1000)/19222</f>
        <v>0.23165320986369783</v>
      </c>
    </row>
    <row r="749" spans="1:4" x14ac:dyDescent="0.2">
      <c r="A749" s="10">
        <v>42767</v>
      </c>
      <c r="B749" s="9">
        <v>4453881</v>
      </c>
      <c r="C749" s="7">
        <v>2.2819473208793184E-2</v>
      </c>
      <c r="D749" s="7">
        <f>(Table4[[#This Row],[WALCL]]/1000)/19222</f>
        <v>0.23170747060659663</v>
      </c>
    </row>
    <row r="750" spans="1:4" x14ac:dyDescent="0.2">
      <c r="A750" s="10">
        <v>42774</v>
      </c>
      <c r="B750" s="9">
        <v>4456236</v>
      </c>
      <c r="C750" s="7">
        <v>2.2819473208793184E-2</v>
      </c>
      <c r="D750" s="7">
        <f>(Table4[[#This Row],[WALCL]]/1000)/19222</f>
        <v>0.23182998647383207</v>
      </c>
    </row>
    <row r="751" spans="1:4" x14ac:dyDescent="0.2">
      <c r="A751" s="10">
        <v>42781</v>
      </c>
      <c r="B751" s="9">
        <v>4454676</v>
      </c>
      <c r="C751" s="7">
        <v>2.2819473208793184E-2</v>
      </c>
      <c r="D751" s="7">
        <f>(Table4[[#This Row],[WALCL]]/1000)/19222</f>
        <v>0.23174882946623662</v>
      </c>
    </row>
    <row r="752" spans="1:4" x14ac:dyDescent="0.2">
      <c r="A752" s="10">
        <v>42788</v>
      </c>
      <c r="B752" s="9">
        <v>4468702</v>
      </c>
      <c r="C752" s="7">
        <v>2.2819473208793184E-2</v>
      </c>
      <c r="D752" s="7">
        <f>(Table4[[#This Row],[WALCL]]/1000)/19222</f>
        <v>0.23247851420247634</v>
      </c>
    </row>
    <row r="753" spans="1:4" x14ac:dyDescent="0.2">
      <c r="A753" s="10">
        <v>42795</v>
      </c>
      <c r="B753" s="9">
        <v>4458018</v>
      </c>
      <c r="C753" s="7">
        <v>2.2819473208793184E-2</v>
      </c>
      <c r="D753" s="7">
        <f>(Table4[[#This Row],[WALCL]]/1000)/19222</f>
        <v>0.23192269274789304</v>
      </c>
    </row>
    <row r="754" spans="1:4" x14ac:dyDescent="0.2">
      <c r="A754" s="10">
        <v>42802</v>
      </c>
      <c r="B754" s="9">
        <v>4459840</v>
      </c>
      <c r="C754" s="7">
        <v>2.2819473208793184E-2</v>
      </c>
      <c r="D754" s="7">
        <f>(Table4[[#This Row],[WALCL]]/1000)/19222</f>
        <v>0.23201747997086672</v>
      </c>
    </row>
    <row r="755" spans="1:4" x14ac:dyDescent="0.2">
      <c r="A755" s="10">
        <v>42809</v>
      </c>
      <c r="B755" s="9">
        <v>4469577</v>
      </c>
      <c r="C755" s="7">
        <v>2.2819473208793184E-2</v>
      </c>
      <c r="D755" s="7">
        <f>(Table4[[#This Row],[WALCL]]/1000)/19222</f>
        <v>0.23252403495994176</v>
      </c>
    </row>
    <row r="756" spans="1:4" x14ac:dyDescent="0.2">
      <c r="A756" s="10">
        <v>42816</v>
      </c>
      <c r="B756" s="9">
        <v>4478236</v>
      </c>
      <c r="C756" s="7">
        <v>2.2819473208793184E-2</v>
      </c>
      <c r="D756" s="7">
        <f>(Table4[[#This Row],[WALCL]]/1000)/19222</f>
        <v>0.23297450837581937</v>
      </c>
    </row>
    <row r="757" spans="1:4" x14ac:dyDescent="0.2">
      <c r="A757" s="10">
        <v>42823</v>
      </c>
      <c r="B757" s="9">
        <v>4469618</v>
      </c>
      <c r="C757" s="7">
        <v>2.2819473208793184E-2</v>
      </c>
      <c r="D757" s="7">
        <f>(Table4[[#This Row],[WALCL]]/1000)/19222</f>
        <v>0.23252616793257727</v>
      </c>
    </row>
    <row r="758" spans="1:4" x14ac:dyDescent="0.2">
      <c r="A758" s="10">
        <v>42830</v>
      </c>
      <c r="B758" s="9">
        <v>4474634</v>
      </c>
      <c r="C758" s="7">
        <v>1.7187440460796122E-2</v>
      </c>
      <c r="D758" s="7">
        <f>(Table4[[#This Row],[WALCL]]/1000)/19222</f>
        <v>0.23278711892623036</v>
      </c>
    </row>
    <row r="759" spans="1:4" x14ac:dyDescent="0.2">
      <c r="A759" s="10">
        <v>42837</v>
      </c>
      <c r="B759" s="9">
        <v>4484492</v>
      </c>
      <c r="C759" s="7">
        <v>1.7187440460796122E-2</v>
      </c>
      <c r="D759" s="7">
        <f>(Table4[[#This Row],[WALCL]]/1000)/19222</f>
        <v>0.23329996878576631</v>
      </c>
    </row>
    <row r="760" spans="1:4" x14ac:dyDescent="0.2">
      <c r="A760" s="10">
        <v>42844</v>
      </c>
      <c r="B760" s="9">
        <v>4479270</v>
      </c>
      <c r="C760" s="7">
        <v>1.7187440460796122E-2</v>
      </c>
      <c r="D760" s="7">
        <f>(Table4[[#This Row],[WALCL]]/1000)/19222</f>
        <v>0.23302830090521279</v>
      </c>
    </row>
    <row r="761" spans="1:4" x14ac:dyDescent="0.2">
      <c r="A761" s="10">
        <v>42851</v>
      </c>
      <c r="B761" s="9">
        <v>4470142</v>
      </c>
      <c r="C761" s="7">
        <v>1.7187440460796122E-2</v>
      </c>
      <c r="D761" s="7">
        <f>(Table4[[#This Row],[WALCL]]/1000)/19222</f>
        <v>0.23255342836333368</v>
      </c>
    </row>
    <row r="762" spans="1:4" x14ac:dyDescent="0.2">
      <c r="A762" s="10">
        <v>42858</v>
      </c>
      <c r="B762" s="9">
        <v>4471246</v>
      </c>
      <c r="C762" s="7">
        <v>1.7187440460796122E-2</v>
      </c>
      <c r="D762" s="7">
        <f>(Table4[[#This Row],[WALCL]]/1000)/19222</f>
        <v>0.23261086255332433</v>
      </c>
    </row>
    <row r="763" spans="1:4" x14ac:dyDescent="0.2">
      <c r="A763" s="10">
        <v>42865</v>
      </c>
      <c r="B763" s="9">
        <v>4473459</v>
      </c>
      <c r="C763" s="7">
        <v>1.7187440460796122E-2</v>
      </c>
      <c r="D763" s="7">
        <f>(Table4[[#This Row],[WALCL]]/1000)/19222</f>
        <v>0.23272599105191966</v>
      </c>
    </row>
    <row r="764" spans="1:4" x14ac:dyDescent="0.2">
      <c r="A764" s="10">
        <v>42872</v>
      </c>
      <c r="B764" s="9">
        <v>4467108</v>
      </c>
      <c r="C764" s="7">
        <v>1.7187440460796122E-2</v>
      </c>
      <c r="D764" s="7">
        <f>(Table4[[#This Row],[WALCL]]/1000)/19222</f>
        <v>0.23239558838830507</v>
      </c>
    </row>
    <row r="765" spans="1:4" x14ac:dyDescent="0.2">
      <c r="A765" s="10">
        <v>42879</v>
      </c>
      <c r="B765" s="9">
        <v>4470852</v>
      </c>
      <c r="C765" s="7">
        <v>1.7187440460796122E-2</v>
      </c>
      <c r="D765" s="7">
        <f>(Table4[[#This Row],[WALCL]]/1000)/19222</f>
        <v>0.23259036520653417</v>
      </c>
    </row>
    <row r="766" spans="1:4" x14ac:dyDescent="0.2">
      <c r="A766" s="10">
        <v>42886</v>
      </c>
      <c r="B766" s="9">
        <v>4459914</v>
      </c>
      <c r="C766" s="7">
        <v>1.7187440460796122E-2</v>
      </c>
      <c r="D766" s="7">
        <f>(Table4[[#This Row],[WALCL]]/1000)/19222</f>
        <v>0.2320213297263552</v>
      </c>
    </row>
    <row r="767" spans="1:4" x14ac:dyDescent="0.2">
      <c r="A767" s="10">
        <v>42893</v>
      </c>
      <c r="B767" s="9">
        <v>4462443</v>
      </c>
      <c r="C767" s="7">
        <v>1.7187440460796122E-2</v>
      </c>
      <c r="D767" s="7">
        <f>(Table4[[#This Row],[WALCL]]/1000)/19222</f>
        <v>0.23215289772136094</v>
      </c>
    </row>
    <row r="768" spans="1:4" x14ac:dyDescent="0.2">
      <c r="A768" s="10">
        <v>42900</v>
      </c>
      <c r="B768" s="9">
        <v>4476269</v>
      </c>
      <c r="C768" s="7">
        <v>1.7187440460796122E-2</v>
      </c>
      <c r="D768" s="7">
        <f>(Table4[[#This Row],[WALCL]]/1000)/19222</f>
        <v>0.23287217771303717</v>
      </c>
    </row>
    <row r="769" spans="1:4" x14ac:dyDescent="0.2">
      <c r="A769" s="10">
        <v>42907</v>
      </c>
      <c r="B769" s="9">
        <v>4474257</v>
      </c>
      <c r="C769" s="7">
        <v>1.7187440460796122E-2</v>
      </c>
      <c r="D769" s="7">
        <f>(Table4[[#This Row],[WALCL]]/1000)/19222</f>
        <v>0.23276750598272811</v>
      </c>
    </row>
    <row r="770" spans="1:4" x14ac:dyDescent="0.2">
      <c r="A770" s="10">
        <v>42914</v>
      </c>
      <c r="B770" s="9">
        <v>4463347</v>
      </c>
      <c r="C770" s="7">
        <v>1.7187440460796122E-2</v>
      </c>
      <c r="D770" s="7">
        <f>(Table4[[#This Row],[WALCL]]/1000)/19222</f>
        <v>0.23219992716678806</v>
      </c>
    </row>
    <row r="771" spans="1:4" x14ac:dyDescent="0.2">
      <c r="A771" s="10">
        <v>42921</v>
      </c>
      <c r="B771" s="9">
        <v>4467272</v>
      </c>
      <c r="C771" s="7">
        <v>2.947361514080904E-2</v>
      </c>
      <c r="D771" s="7">
        <f>(Table4[[#This Row],[WALCL]]/1000)/19222</f>
        <v>0.23240412027884716</v>
      </c>
    </row>
    <row r="772" spans="1:4" x14ac:dyDescent="0.2">
      <c r="A772" s="10">
        <v>42928</v>
      </c>
      <c r="B772" s="9">
        <v>4466702</v>
      </c>
      <c r="C772" s="7">
        <v>2.947361514080904E-2</v>
      </c>
      <c r="D772" s="7">
        <f>(Table4[[#This Row],[WALCL]]/1000)/19222</f>
        <v>0.23237446675684112</v>
      </c>
    </row>
    <row r="773" spans="1:4" x14ac:dyDescent="0.2">
      <c r="A773" s="10">
        <v>42935</v>
      </c>
      <c r="B773" s="9">
        <v>4476903</v>
      </c>
      <c r="C773" s="7">
        <v>2.947361514080904E-2</v>
      </c>
      <c r="D773" s="7">
        <f>(Table4[[#This Row],[WALCL]]/1000)/19222</f>
        <v>0.23290516075330353</v>
      </c>
    </row>
    <row r="774" spans="1:4" x14ac:dyDescent="0.2">
      <c r="A774" s="10">
        <v>42942</v>
      </c>
      <c r="B774" s="9">
        <v>4465284</v>
      </c>
      <c r="C774" s="7">
        <v>2.947361514080904E-2</v>
      </c>
      <c r="D774" s="7">
        <f>(Table4[[#This Row],[WALCL]]/1000)/19222</f>
        <v>0.23230069711788573</v>
      </c>
    </row>
    <row r="775" spans="1:4" x14ac:dyDescent="0.2">
      <c r="A775" s="10">
        <v>42949</v>
      </c>
      <c r="B775" s="9">
        <v>4466846</v>
      </c>
      <c r="C775" s="7">
        <v>2.947361514080904E-2</v>
      </c>
      <c r="D775" s="7">
        <f>(Table4[[#This Row],[WALCL]]/1000)/19222</f>
        <v>0.23238195817292684</v>
      </c>
    </row>
    <row r="776" spans="1:4" x14ac:dyDescent="0.2">
      <c r="A776" s="10">
        <v>42956</v>
      </c>
      <c r="B776" s="9">
        <v>4469083</v>
      </c>
      <c r="C776" s="7">
        <v>2.947361514080904E-2</v>
      </c>
      <c r="D776" s="7">
        <f>(Table4[[#This Row],[WALCL]]/1000)/19222</f>
        <v>0.23249833524086982</v>
      </c>
    </row>
    <row r="777" spans="1:4" x14ac:dyDescent="0.2">
      <c r="A777" s="10">
        <v>42963</v>
      </c>
      <c r="B777" s="9">
        <v>4462871</v>
      </c>
      <c r="C777" s="7">
        <v>2.947361514080904E-2</v>
      </c>
      <c r="D777" s="7">
        <f>(Table4[[#This Row],[WALCL]]/1000)/19222</f>
        <v>0.23217516387472689</v>
      </c>
    </row>
    <row r="778" spans="1:4" x14ac:dyDescent="0.2">
      <c r="A778" s="10">
        <v>42970</v>
      </c>
      <c r="B778" s="9">
        <v>4463837</v>
      </c>
      <c r="C778" s="7">
        <v>2.947361514080904E-2</v>
      </c>
      <c r="D778" s="7">
        <f>(Table4[[#This Row],[WALCL]]/1000)/19222</f>
        <v>0.2322254187909687</v>
      </c>
    </row>
    <row r="779" spans="1:4" x14ac:dyDescent="0.2">
      <c r="A779" s="10">
        <v>42977</v>
      </c>
      <c r="B779" s="9">
        <v>4452360</v>
      </c>
      <c r="C779" s="7">
        <v>2.947361514080904E-2</v>
      </c>
      <c r="D779" s="7">
        <f>(Table4[[#This Row],[WALCL]]/1000)/19222</f>
        <v>0.23162834252419101</v>
      </c>
    </row>
    <row r="780" spans="1:4" x14ac:dyDescent="0.2">
      <c r="A780" s="10">
        <v>42984</v>
      </c>
      <c r="B780" s="9">
        <v>4453474</v>
      </c>
      <c r="C780" s="7">
        <v>2.947361514080904E-2</v>
      </c>
      <c r="D780" s="7">
        <f>(Table4[[#This Row],[WALCL]]/1000)/19222</f>
        <v>0.23168629695140985</v>
      </c>
    </row>
    <row r="781" spans="1:4" x14ac:dyDescent="0.2">
      <c r="A781" s="10">
        <v>42991</v>
      </c>
      <c r="B781" s="9">
        <v>4471174</v>
      </c>
      <c r="C781" s="7">
        <v>2.947361514080904E-2</v>
      </c>
      <c r="D781" s="7">
        <f>(Table4[[#This Row],[WALCL]]/1000)/19222</f>
        <v>0.23260711684528146</v>
      </c>
    </row>
    <row r="782" spans="1:4" x14ac:dyDescent="0.2">
      <c r="A782" s="10">
        <v>42998</v>
      </c>
      <c r="B782" s="9">
        <v>4458576</v>
      </c>
      <c r="C782" s="7">
        <v>2.947361514080904E-2</v>
      </c>
      <c r="D782" s="7">
        <f>(Table4[[#This Row],[WALCL]]/1000)/19222</f>
        <v>0.23195172198522526</v>
      </c>
    </row>
    <row r="783" spans="1:4" x14ac:dyDescent="0.2">
      <c r="A783" s="10">
        <v>43005</v>
      </c>
      <c r="B783" s="9">
        <v>4455661</v>
      </c>
      <c r="C783" s="7">
        <v>2.947361514080904E-2</v>
      </c>
      <c r="D783" s="7">
        <f>(Table4[[#This Row],[WALCL]]/1000)/19222</f>
        <v>0.23180007283321194</v>
      </c>
    </row>
    <row r="784" spans="1:4" x14ac:dyDescent="0.2">
      <c r="A784" s="10">
        <v>43012</v>
      </c>
      <c r="B784" s="9">
        <v>4460422</v>
      </c>
      <c r="C784" s="7">
        <v>3.877858426200409E-2</v>
      </c>
      <c r="D784" s="7">
        <f>(Table4[[#This Row],[WALCL]]/1000)/19222</f>
        <v>0.23204775777754655</v>
      </c>
    </row>
    <row r="785" spans="1:4" x14ac:dyDescent="0.2">
      <c r="A785" s="10">
        <v>43019</v>
      </c>
      <c r="B785" s="9">
        <v>4459415</v>
      </c>
      <c r="C785" s="7">
        <v>3.877858426200409E-2</v>
      </c>
      <c r="D785" s="7">
        <f>(Table4[[#This Row],[WALCL]]/1000)/19222</f>
        <v>0.23199536988866923</v>
      </c>
    </row>
    <row r="786" spans="1:4" x14ac:dyDescent="0.2">
      <c r="A786" s="10">
        <v>43026</v>
      </c>
      <c r="B786" s="9">
        <v>4469723</v>
      </c>
      <c r="C786" s="7">
        <v>3.877858426200409E-2</v>
      </c>
      <c r="D786" s="7">
        <f>(Table4[[#This Row],[WALCL]]/1000)/19222</f>
        <v>0.23253163042347311</v>
      </c>
    </row>
    <row r="787" spans="1:4" x14ac:dyDescent="0.2">
      <c r="A787" s="10">
        <v>43033</v>
      </c>
      <c r="B787" s="9">
        <v>4461117</v>
      </c>
      <c r="C787" s="7">
        <v>3.877858426200409E-2</v>
      </c>
      <c r="D787" s="7">
        <f>(Table4[[#This Row],[WALCL]]/1000)/19222</f>
        <v>0.23208391426490479</v>
      </c>
    </row>
    <row r="788" spans="1:4" x14ac:dyDescent="0.2">
      <c r="A788" s="10">
        <v>43040</v>
      </c>
      <c r="B788" s="9">
        <v>4455887</v>
      </c>
      <c r="C788" s="7">
        <v>3.877858426200409E-2</v>
      </c>
      <c r="D788" s="7">
        <f>(Table4[[#This Row],[WALCL]]/1000)/19222</f>
        <v>0.23181183019456872</v>
      </c>
    </row>
    <row r="789" spans="1:4" x14ac:dyDescent="0.2">
      <c r="A789" s="10">
        <v>43047</v>
      </c>
      <c r="B789" s="9">
        <v>4458552</v>
      </c>
      <c r="C789" s="7">
        <v>3.877858426200409E-2</v>
      </c>
      <c r="D789" s="7">
        <f>(Table4[[#This Row],[WALCL]]/1000)/19222</f>
        <v>0.23195047341587763</v>
      </c>
    </row>
    <row r="790" spans="1:4" x14ac:dyDescent="0.2">
      <c r="A790" s="10">
        <v>43054</v>
      </c>
      <c r="B790" s="9">
        <v>4448289</v>
      </c>
      <c r="C790" s="7">
        <v>3.877858426200409E-2</v>
      </c>
      <c r="D790" s="7">
        <f>(Table4[[#This Row],[WALCL]]/1000)/19222</f>
        <v>0.23141655394860056</v>
      </c>
    </row>
    <row r="791" spans="1:4" x14ac:dyDescent="0.2">
      <c r="A791" s="10">
        <v>43061</v>
      </c>
      <c r="B791" s="9">
        <v>4450615</v>
      </c>
      <c r="C791" s="7">
        <v>3.877858426200409E-2</v>
      </c>
      <c r="D791" s="7">
        <f>(Table4[[#This Row],[WALCL]]/1000)/19222</f>
        <v>0.2315375611278743</v>
      </c>
    </row>
    <row r="792" spans="1:4" x14ac:dyDescent="0.2">
      <c r="A792" s="10">
        <v>43068</v>
      </c>
      <c r="B792" s="9">
        <v>4438592</v>
      </c>
      <c r="C792" s="7">
        <v>3.877858426200409E-2</v>
      </c>
      <c r="D792" s="7">
        <f>(Table4[[#This Row],[WALCL]]/1000)/19222</f>
        <v>0.23091207990843823</v>
      </c>
    </row>
    <row r="793" spans="1:4" x14ac:dyDescent="0.2">
      <c r="A793" s="10">
        <v>43075</v>
      </c>
      <c r="B793" s="9">
        <v>4437148</v>
      </c>
      <c r="C793" s="7">
        <v>3.877858426200409E-2</v>
      </c>
      <c r="D793" s="7">
        <f>(Table4[[#This Row],[WALCL]]/1000)/19222</f>
        <v>0.23083695765268963</v>
      </c>
    </row>
    <row r="794" spans="1:4" x14ac:dyDescent="0.2">
      <c r="A794" s="10">
        <v>43082</v>
      </c>
      <c r="B794" s="9">
        <v>4452726</v>
      </c>
      <c r="C794" s="7">
        <v>3.877858426200409E-2</v>
      </c>
      <c r="D794" s="7">
        <f>(Table4[[#This Row],[WALCL]]/1000)/19222</f>
        <v>0.23164738320674225</v>
      </c>
    </row>
    <row r="795" spans="1:4" x14ac:dyDescent="0.2">
      <c r="A795" s="10">
        <v>43089</v>
      </c>
      <c r="B795" s="9">
        <v>4447470</v>
      </c>
      <c r="C795" s="7">
        <v>3.877858426200409E-2</v>
      </c>
      <c r="D795" s="7">
        <f>(Table4[[#This Row],[WALCL]]/1000)/19222</f>
        <v>0.23137394651961296</v>
      </c>
    </row>
    <row r="796" spans="1:4" x14ac:dyDescent="0.2">
      <c r="A796" s="10">
        <v>43096</v>
      </c>
      <c r="B796" s="9">
        <v>4448680</v>
      </c>
      <c r="C796" s="7">
        <v>3.877858426200409E-2</v>
      </c>
      <c r="D796" s="7">
        <f>(Table4[[#This Row],[WALCL]]/1000)/19222</f>
        <v>0.23143689522422226</v>
      </c>
    </row>
    <row r="797" spans="1:4" x14ac:dyDescent="0.2">
      <c r="A797" s="10">
        <v>43103</v>
      </c>
      <c r="B797" s="9">
        <v>4443718</v>
      </c>
      <c r="C797" s="7">
        <v>3.7791224044322114E-2</v>
      </c>
      <c r="D797" s="7">
        <f>(Table4[[#This Row],[WALCL]]/1000)/19222</f>
        <v>0.23117875351160128</v>
      </c>
    </row>
    <row r="798" spans="1:4" x14ac:dyDescent="0.2">
      <c r="A798" s="10">
        <v>43110</v>
      </c>
      <c r="B798" s="9">
        <v>4446062</v>
      </c>
      <c r="C798" s="7">
        <v>3.7791224044322114E-2</v>
      </c>
      <c r="D798" s="7">
        <f>(Table4[[#This Row],[WALCL]]/1000)/19222</f>
        <v>0.23130069711788576</v>
      </c>
    </row>
    <row r="799" spans="1:4" x14ac:dyDescent="0.2">
      <c r="A799" s="10">
        <v>43117</v>
      </c>
      <c r="B799" s="9">
        <v>4439145</v>
      </c>
      <c r="C799" s="7">
        <v>3.7791224044322114E-2</v>
      </c>
      <c r="D799" s="7">
        <f>(Table4[[#This Row],[WALCL]]/1000)/19222</f>
        <v>0.23094084902715642</v>
      </c>
    </row>
    <row r="800" spans="1:4" x14ac:dyDescent="0.2">
      <c r="A800" s="10">
        <v>43124</v>
      </c>
      <c r="B800" s="9">
        <v>4441317</v>
      </c>
      <c r="C800" s="7">
        <v>3.7791224044322114E-2</v>
      </c>
      <c r="D800" s="7">
        <f>(Table4[[#This Row],[WALCL]]/1000)/19222</f>
        <v>0.23105384455311623</v>
      </c>
    </row>
    <row r="801" spans="1:4" x14ac:dyDescent="0.2">
      <c r="A801" s="10">
        <v>43131</v>
      </c>
      <c r="B801" s="9">
        <v>4419225</v>
      </c>
      <c r="C801" s="7">
        <v>3.7791224044322114E-2</v>
      </c>
      <c r="D801" s="7">
        <f>(Table4[[#This Row],[WALCL]]/1000)/19222</f>
        <v>0.22990453646862971</v>
      </c>
    </row>
    <row r="802" spans="1:4" x14ac:dyDescent="0.2">
      <c r="A802" s="10">
        <v>43138</v>
      </c>
      <c r="B802" s="9">
        <v>4420745</v>
      </c>
      <c r="C802" s="7">
        <v>3.7791224044322114E-2</v>
      </c>
      <c r="D802" s="7">
        <f>(Table4[[#This Row],[WALCL]]/1000)/19222</f>
        <v>0.22998361252731245</v>
      </c>
    </row>
    <row r="803" spans="1:4" x14ac:dyDescent="0.2">
      <c r="A803" s="10">
        <v>43145</v>
      </c>
      <c r="B803" s="9">
        <v>4434863</v>
      </c>
      <c r="C803" s="7">
        <v>3.7791224044322114E-2</v>
      </c>
      <c r="D803" s="7">
        <f>(Table4[[#This Row],[WALCL]]/1000)/19222</f>
        <v>0.23071808344605141</v>
      </c>
    </row>
    <row r="804" spans="1:4" x14ac:dyDescent="0.2">
      <c r="A804" s="10">
        <v>43152</v>
      </c>
      <c r="B804" s="9">
        <v>4411660</v>
      </c>
      <c r="C804" s="7">
        <v>3.7791224044322114E-2</v>
      </c>
      <c r="D804" s="7">
        <f>(Table4[[#This Row],[WALCL]]/1000)/19222</f>
        <v>0.22951097700551451</v>
      </c>
    </row>
    <row r="805" spans="1:4" x14ac:dyDescent="0.2">
      <c r="A805" s="10">
        <v>43159</v>
      </c>
      <c r="B805" s="9">
        <v>4393401</v>
      </c>
      <c r="C805" s="7">
        <v>3.7791224044322114E-2</v>
      </c>
      <c r="D805" s="7">
        <f>(Table4[[#This Row],[WALCL]]/1000)/19222</f>
        <v>0.22856107585058785</v>
      </c>
    </row>
    <row r="806" spans="1:4" x14ac:dyDescent="0.2">
      <c r="A806" s="10">
        <v>43166</v>
      </c>
      <c r="B806" s="9">
        <v>4396097</v>
      </c>
      <c r="C806" s="7">
        <v>3.7791224044322114E-2</v>
      </c>
      <c r="D806" s="7">
        <f>(Table4[[#This Row],[WALCL]]/1000)/19222</f>
        <v>0.22870133180730412</v>
      </c>
    </row>
    <row r="807" spans="1:4" x14ac:dyDescent="0.2">
      <c r="A807" s="10">
        <v>43173</v>
      </c>
      <c r="B807" s="9">
        <v>4407258</v>
      </c>
      <c r="C807" s="7">
        <v>3.7791224044322114E-2</v>
      </c>
      <c r="D807" s="7">
        <f>(Table4[[#This Row],[WALCL]]/1000)/19222</f>
        <v>0.22928196857767141</v>
      </c>
    </row>
    <row r="808" spans="1:4" x14ac:dyDescent="0.2">
      <c r="A808" s="10">
        <v>43180</v>
      </c>
      <c r="B808" s="9">
        <v>4401222</v>
      </c>
      <c r="C808" s="7">
        <v>3.7791224044322114E-2</v>
      </c>
      <c r="D808" s="7">
        <f>(Table4[[#This Row],[WALCL]]/1000)/19222</f>
        <v>0.22896795338674433</v>
      </c>
    </row>
    <row r="809" spans="1:4" x14ac:dyDescent="0.2">
      <c r="A809" s="10">
        <v>43187</v>
      </c>
      <c r="B809" s="9">
        <v>4392198</v>
      </c>
      <c r="C809" s="7">
        <v>3.7791224044322114E-2</v>
      </c>
      <c r="D809" s="7">
        <f>(Table4[[#This Row],[WALCL]]/1000)/19222</f>
        <v>0.22849849131203831</v>
      </c>
    </row>
    <row r="810" spans="1:4" x14ac:dyDescent="0.2">
      <c r="A810" s="10">
        <v>43194</v>
      </c>
      <c r="B810" s="9">
        <v>4386104</v>
      </c>
      <c r="C810" s="7">
        <v>2.7014556184875804E-2</v>
      </c>
      <c r="D810" s="7">
        <f>(Table4[[#This Row],[WALCL]]/1000)/19222</f>
        <v>0.22818145874518783</v>
      </c>
    </row>
    <row r="811" spans="1:4" x14ac:dyDescent="0.2">
      <c r="A811" s="10">
        <v>43201</v>
      </c>
      <c r="B811" s="9">
        <v>4383684</v>
      </c>
      <c r="C811" s="7">
        <v>2.7014556184875804E-2</v>
      </c>
      <c r="D811" s="7">
        <f>(Table4[[#This Row],[WALCL]]/1000)/19222</f>
        <v>0.22805556133596921</v>
      </c>
    </row>
    <row r="812" spans="1:4" x14ac:dyDescent="0.2">
      <c r="A812" s="10">
        <v>43208</v>
      </c>
      <c r="B812" s="9">
        <v>4385903</v>
      </c>
      <c r="C812" s="7">
        <v>2.7014556184875804E-2</v>
      </c>
      <c r="D812" s="7">
        <f>(Table4[[#This Row],[WALCL]]/1000)/19222</f>
        <v>0.22817100197690149</v>
      </c>
    </row>
    <row r="813" spans="1:4" x14ac:dyDescent="0.2">
      <c r="A813" s="10">
        <v>43215</v>
      </c>
      <c r="B813" s="9">
        <v>4372886</v>
      </c>
      <c r="C813" s="7">
        <v>2.7014556184875804E-2</v>
      </c>
      <c r="D813" s="7">
        <f>(Table4[[#This Row],[WALCL]]/1000)/19222</f>
        <v>0.22749380917698472</v>
      </c>
    </row>
    <row r="814" spans="1:4" x14ac:dyDescent="0.2">
      <c r="A814" s="10">
        <v>43222</v>
      </c>
      <c r="B814" s="9">
        <v>4356129</v>
      </c>
      <c r="C814" s="7">
        <v>2.7014556184875804E-2</v>
      </c>
      <c r="D814" s="7">
        <f>(Table4[[#This Row],[WALCL]]/1000)/19222</f>
        <v>0.22662204765373009</v>
      </c>
    </row>
    <row r="815" spans="1:4" x14ac:dyDescent="0.2">
      <c r="A815" s="10">
        <v>43229</v>
      </c>
      <c r="B815" s="9">
        <v>4358207</v>
      </c>
      <c r="C815" s="7">
        <v>2.7014556184875804E-2</v>
      </c>
      <c r="D815" s="7">
        <f>(Table4[[#This Row],[WALCL]]/1000)/19222</f>
        <v>0.22673015294974511</v>
      </c>
    </row>
    <row r="816" spans="1:4" x14ac:dyDescent="0.2">
      <c r="A816" s="10">
        <v>43236</v>
      </c>
      <c r="B816" s="9">
        <v>4337609</v>
      </c>
      <c r="C816" s="7">
        <v>2.7014556184875804E-2</v>
      </c>
      <c r="D816" s="7">
        <f>(Table4[[#This Row],[WALCL]]/1000)/19222</f>
        <v>0.22565856830714809</v>
      </c>
    </row>
    <row r="817" spans="1:4" x14ac:dyDescent="0.2">
      <c r="A817" s="10">
        <v>43243</v>
      </c>
      <c r="B817" s="9">
        <v>4337301</v>
      </c>
      <c r="C817" s="7">
        <v>2.7014556184875804E-2</v>
      </c>
      <c r="D817" s="7">
        <f>(Table4[[#This Row],[WALCL]]/1000)/19222</f>
        <v>0.22564254500052025</v>
      </c>
    </row>
    <row r="818" spans="1:4" x14ac:dyDescent="0.2">
      <c r="A818" s="10">
        <v>43250</v>
      </c>
      <c r="B818" s="9">
        <v>4327519</v>
      </c>
      <c r="C818" s="7">
        <v>2.7014556184875804E-2</v>
      </c>
      <c r="D818" s="7">
        <f>(Table4[[#This Row],[WALCL]]/1000)/19222</f>
        <v>0.22513364894391844</v>
      </c>
    </row>
    <row r="819" spans="1:4" x14ac:dyDescent="0.2">
      <c r="A819" s="10">
        <v>43257</v>
      </c>
      <c r="B819" s="9">
        <v>4319191</v>
      </c>
      <c r="C819" s="7">
        <v>2.7014556184875804E-2</v>
      </c>
      <c r="D819" s="7">
        <f>(Table4[[#This Row],[WALCL]]/1000)/19222</f>
        <v>0.22470039538029341</v>
      </c>
    </row>
    <row r="820" spans="1:4" x14ac:dyDescent="0.2">
      <c r="A820" s="10">
        <v>43264</v>
      </c>
      <c r="B820" s="9">
        <v>4324906</v>
      </c>
      <c r="C820" s="7">
        <v>2.7014556184875804E-2</v>
      </c>
      <c r="D820" s="7">
        <f>(Table4[[#This Row],[WALCL]]/1000)/19222</f>
        <v>0.22499771095619603</v>
      </c>
    </row>
    <row r="821" spans="1:4" x14ac:dyDescent="0.2">
      <c r="A821" s="10">
        <v>43271</v>
      </c>
      <c r="B821" s="9">
        <v>4315896</v>
      </c>
      <c r="C821" s="7">
        <v>2.7014556184875804E-2</v>
      </c>
      <c r="D821" s="7">
        <f>(Table4[[#This Row],[WALCL]]/1000)/19222</f>
        <v>0.2245289772136094</v>
      </c>
    </row>
    <row r="822" spans="1:4" x14ac:dyDescent="0.2">
      <c r="A822" s="10">
        <v>43278</v>
      </c>
      <c r="B822" s="9">
        <v>4305491</v>
      </c>
      <c r="C822" s="7">
        <v>2.7014556184875804E-2</v>
      </c>
      <c r="D822" s="7">
        <f>(Table4[[#This Row],[WALCL]]/1000)/19222</f>
        <v>0.22398767037769224</v>
      </c>
    </row>
    <row r="823" spans="1:4" x14ac:dyDescent="0.2">
      <c r="A823" s="10">
        <v>43285</v>
      </c>
      <c r="B823" s="9">
        <v>4289764</v>
      </c>
      <c r="C823" s="7">
        <v>2.1173902749594964E-2</v>
      </c>
      <c r="D823" s="7">
        <f>(Table4[[#This Row],[WALCL]]/1000)/19222</f>
        <v>0.22316949328893976</v>
      </c>
    </row>
    <row r="824" spans="1:4" x14ac:dyDescent="0.2">
      <c r="A824" s="10">
        <v>43292</v>
      </c>
      <c r="B824" s="9">
        <v>4291201</v>
      </c>
      <c r="C824" s="7">
        <v>2.1173902749594964E-2</v>
      </c>
      <c r="D824" s="7">
        <f>(Table4[[#This Row],[WALCL]]/1000)/19222</f>
        <v>0.22324425137862866</v>
      </c>
    </row>
    <row r="825" spans="1:4" x14ac:dyDescent="0.2">
      <c r="A825" s="10">
        <v>43299</v>
      </c>
      <c r="B825" s="9">
        <v>4291615</v>
      </c>
      <c r="C825" s="7">
        <v>2.1173902749594964E-2</v>
      </c>
      <c r="D825" s="7">
        <f>(Table4[[#This Row],[WALCL]]/1000)/19222</f>
        <v>0.22326578919987514</v>
      </c>
    </row>
    <row r="826" spans="1:4" x14ac:dyDescent="0.2">
      <c r="A826" s="10">
        <v>43306</v>
      </c>
      <c r="B826" s="9">
        <v>4277681</v>
      </c>
      <c r="C826" s="7">
        <v>2.1173902749594964E-2</v>
      </c>
      <c r="D826" s="7">
        <f>(Table4[[#This Row],[WALCL]]/1000)/19222</f>
        <v>0.22254089064613461</v>
      </c>
    </row>
    <row r="827" spans="1:4" x14ac:dyDescent="0.2">
      <c r="A827" s="10">
        <v>43313</v>
      </c>
      <c r="B827" s="9">
        <v>4255653</v>
      </c>
      <c r="C827" s="7">
        <v>2.1173902749594964E-2</v>
      </c>
      <c r="D827" s="7">
        <f>(Table4[[#This Row],[WALCL]]/1000)/19222</f>
        <v>0.22139491207990844</v>
      </c>
    </row>
    <row r="828" spans="1:4" x14ac:dyDescent="0.2">
      <c r="A828" s="10">
        <v>43320</v>
      </c>
      <c r="B828" s="9">
        <v>4258030</v>
      </c>
      <c r="C828" s="7">
        <v>2.1173902749594964E-2</v>
      </c>
      <c r="D828" s="7">
        <f>(Table4[[#This Row],[WALCL]]/1000)/19222</f>
        <v>0.22151857246904588</v>
      </c>
    </row>
    <row r="829" spans="1:4" x14ac:dyDescent="0.2">
      <c r="A829" s="10">
        <v>43327</v>
      </c>
      <c r="B829" s="9">
        <v>4228924</v>
      </c>
      <c r="C829" s="7">
        <v>2.1173902749594964E-2</v>
      </c>
      <c r="D829" s="7">
        <f>(Table4[[#This Row],[WALCL]]/1000)/19222</f>
        <v>0.22000436999271666</v>
      </c>
    </row>
    <row r="830" spans="1:4" x14ac:dyDescent="0.2">
      <c r="A830" s="10">
        <v>43334</v>
      </c>
      <c r="B830" s="9">
        <v>4228818</v>
      </c>
      <c r="C830" s="7">
        <v>2.1173902749594964E-2</v>
      </c>
      <c r="D830" s="7">
        <f>(Table4[[#This Row],[WALCL]]/1000)/19222</f>
        <v>0.21999885547809803</v>
      </c>
    </row>
    <row r="831" spans="1:4" x14ac:dyDescent="0.2">
      <c r="A831" s="10">
        <v>43341</v>
      </c>
      <c r="B831" s="9">
        <v>4218914</v>
      </c>
      <c r="C831" s="7">
        <v>2.1173902749594964E-2</v>
      </c>
      <c r="D831" s="7">
        <f>(Table4[[#This Row],[WALCL]]/1000)/19222</f>
        <v>0.21948361252731244</v>
      </c>
    </row>
    <row r="832" spans="1:4" x14ac:dyDescent="0.2">
      <c r="A832" s="10">
        <v>43348</v>
      </c>
      <c r="B832" s="9">
        <v>4208496</v>
      </c>
      <c r="C832" s="7">
        <v>2.1173902749594964E-2</v>
      </c>
      <c r="D832" s="7">
        <f>(Table4[[#This Row],[WALCL]]/1000)/19222</f>
        <v>0.21894162938299866</v>
      </c>
    </row>
    <row r="833" spans="1:4" x14ac:dyDescent="0.2">
      <c r="A833" s="10">
        <v>43355</v>
      </c>
      <c r="B833" s="9">
        <v>4210812</v>
      </c>
      <c r="C833" s="7">
        <v>2.1173902749594964E-2</v>
      </c>
      <c r="D833" s="7">
        <f>(Table4[[#This Row],[WALCL]]/1000)/19222</f>
        <v>0.21906211632504421</v>
      </c>
    </row>
    <row r="834" spans="1:4" x14ac:dyDescent="0.2">
      <c r="A834" s="10">
        <v>43362</v>
      </c>
      <c r="B834" s="9">
        <v>4208059</v>
      </c>
      <c r="C834" s="7">
        <v>2.1173902749594964E-2</v>
      </c>
      <c r="D834" s="7">
        <f>(Table4[[#This Row],[WALCL]]/1000)/19222</f>
        <v>0.21891889501612735</v>
      </c>
    </row>
    <row r="835" spans="1:4" x14ac:dyDescent="0.2">
      <c r="A835" s="10">
        <v>43369</v>
      </c>
      <c r="B835" s="9">
        <v>4192909</v>
      </c>
      <c r="C835" s="7">
        <v>2.1173902749594964E-2</v>
      </c>
      <c r="D835" s="7">
        <f>(Table4[[#This Row],[WALCL]]/1000)/19222</f>
        <v>0.21813073561544064</v>
      </c>
    </row>
    <row r="836" spans="1:4" x14ac:dyDescent="0.2">
      <c r="A836" s="10">
        <v>43376</v>
      </c>
      <c r="B836" s="9">
        <v>4174704</v>
      </c>
      <c r="C836" s="7">
        <v>1.3197675838225065E-2</v>
      </c>
      <c r="D836" s="7">
        <f>(Table4[[#This Row],[WALCL]]/1000)/19222</f>
        <v>0.21718364374154614</v>
      </c>
    </row>
    <row r="837" spans="1:4" x14ac:dyDescent="0.2">
      <c r="A837" s="10">
        <v>43383</v>
      </c>
      <c r="B837" s="9">
        <v>4176906</v>
      </c>
      <c r="C837" s="7">
        <v>1.3197675838225065E-2</v>
      </c>
      <c r="D837" s="7">
        <f>(Table4[[#This Row],[WALCL]]/1000)/19222</f>
        <v>0.2172981999791905</v>
      </c>
    </row>
    <row r="838" spans="1:4" x14ac:dyDescent="0.2">
      <c r="A838" s="10">
        <v>43390</v>
      </c>
      <c r="B838" s="9">
        <v>4175446</v>
      </c>
      <c r="C838" s="7">
        <v>1.3197675838225065E-2</v>
      </c>
      <c r="D838" s="7">
        <f>(Table4[[#This Row],[WALCL]]/1000)/19222</f>
        <v>0.2172222453438768</v>
      </c>
    </row>
    <row r="839" spans="1:4" x14ac:dyDescent="0.2">
      <c r="A839" s="10">
        <v>43397</v>
      </c>
      <c r="B839" s="9">
        <v>4173070</v>
      </c>
      <c r="C839" s="7">
        <v>1.3197675838225065E-2</v>
      </c>
      <c r="D839" s="7">
        <f>(Table4[[#This Row],[WALCL]]/1000)/19222</f>
        <v>0.21709863697846216</v>
      </c>
    </row>
    <row r="840" spans="1:4" x14ac:dyDescent="0.2">
      <c r="A840" s="10">
        <v>43404</v>
      </c>
      <c r="B840" s="9">
        <v>4139731</v>
      </c>
      <c r="C840" s="7">
        <v>1.3197675838225065E-2</v>
      </c>
      <c r="D840" s="7">
        <f>(Table4[[#This Row],[WALCL]]/1000)/19222</f>
        <v>0.21536421808344605</v>
      </c>
    </row>
    <row r="841" spans="1:4" x14ac:dyDescent="0.2">
      <c r="A841" s="10">
        <v>43411</v>
      </c>
      <c r="B841" s="9">
        <v>4141936</v>
      </c>
      <c r="C841" s="7">
        <v>1.3197675838225065E-2</v>
      </c>
      <c r="D841" s="7">
        <f>(Table4[[#This Row],[WALCL]]/1000)/19222</f>
        <v>0.21547893039225885</v>
      </c>
    </row>
    <row r="842" spans="1:4" x14ac:dyDescent="0.2">
      <c r="A842" s="10">
        <v>43418</v>
      </c>
      <c r="B842" s="9">
        <v>4145892</v>
      </c>
      <c r="C842" s="7">
        <v>1.3197675838225065E-2</v>
      </c>
      <c r="D842" s="7">
        <f>(Table4[[#This Row],[WALCL]]/1000)/19222</f>
        <v>0.21568473623972531</v>
      </c>
    </row>
    <row r="843" spans="1:4" x14ac:dyDescent="0.2">
      <c r="A843" s="10">
        <v>43425</v>
      </c>
      <c r="B843" s="9">
        <v>4106198</v>
      </c>
      <c r="C843" s="7">
        <v>1.3197675838225065E-2</v>
      </c>
      <c r="D843" s="7">
        <f>(Table4[[#This Row],[WALCL]]/1000)/19222</f>
        <v>0.21361970658620333</v>
      </c>
    </row>
    <row r="844" spans="1:4" x14ac:dyDescent="0.2">
      <c r="A844" s="10">
        <v>43432</v>
      </c>
      <c r="B844" s="9">
        <v>4097170</v>
      </c>
      <c r="C844" s="7">
        <v>1.3197675838225065E-2</v>
      </c>
      <c r="D844" s="7">
        <f>(Table4[[#This Row],[WALCL]]/1000)/19222</f>
        <v>0.21315003641660599</v>
      </c>
    </row>
    <row r="845" spans="1:4" x14ac:dyDescent="0.2">
      <c r="A845" s="10">
        <v>43439</v>
      </c>
      <c r="B845" s="9">
        <v>4086044</v>
      </c>
      <c r="C845" s="7">
        <v>1.3197675838225065E-2</v>
      </c>
      <c r="D845" s="7">
        <f>(Table4[[#This Row],[WALCL]]/1000)/19222</f>
        <v>0.21257122047653729</v>
      </c>
    </row>
    <row r="846" spans="1:4" x14ac:dyDescent="0.2">
      <c r="A846" s="10">
        <v>43446</v>
      </c>
      <c r="B846" s="9">
        <v>4088314</v>
      </c>
      <c r="C846" s="7">
        <v>1.3197675838225065E-2</v>
      </c>
      <c r="D846" s="7">
        <f>(Table4[[#This Row],[WALCL]]/1000)/19222</f>
        <v>0.21268931432733326</v>
      </c>
    </row>
    <row r="847" spans="1:4" x14ac:dyDescent="0.2">
      <c r="A847" s="10">
        <v>43453</v>
      </c>
      <c r="B847" s="9">
        <v>4084274</v>
      </c>
      <c r="C847" s="7">
        <v>1.3197675838225065E-2</v>
      </c>
      <c r="D847" s="7">
        <f>(Table4[[#This Row],[WALCL]]/1000)/19222</f>
        <v>0.21247913848715014</v>
      </c>
    </row>
    <row r="848" spans="1:4" x14ac:dyDescent="0.2">
      <c r="A848" s="10">
        <v>43460</v>
      </c>
      <c r="B848" s="9">
        <v>4075636</v>
      </c>
      <c r="C848" s="7">
        <v>1.3197675838225065E-2</v>
      </c>
      <c r="D848" s="7">
        <f>(Table4[[#This Row],[WALCL]]/1000)/19222</f>
        <v>0.21202975756945167</v>
      </c>
    </row>
    <row r="849" spans="1:5" x14ac:dyDescent="0.2">
      <c r="A849" s="10">
        <v>43467</v>
      </c>
      <c r="B849" s="9">
        <v>4058378</v>
      </c>
      <c r="C849" s="7">
        <v>2.9321911866146966E-2</v>
      </c>
      <c r="D849" s="7">
        <f>(Table4[[#This Row],[WALCL]]/1000)/19222</f>
        <v>0.21113193216106546</v>
      </c>
      <c r="E849" s="13"/>
    </row>
    <row r="850" spans="1:5" x14ac:dyDescent="0.2">
      <c r="A850" s="10">
        <v>43474</v>
      </c>
      <c r="B850" s="9">
        <v>4056563</v>
      </c>
      <c r="C850" s="7">
        <v>2.9321911866146966E-2</v>
      </c>
      <c r="D850" s="7">
        <f>(Table4[[#This Row],[WALCL]]/1000)/19222</f>
        <v>0.2110375091041515</v>
      </c>
    </row>
    <row r="851" spans="1:5" x14ac:dyDescent="0.2">
      <c r="A851" s="10">
        <v>43481</v>
      </c>
      <c r="B851" s="9">
        <v>4050044</v>
      </c>
      <c r="C851" s="7">
        <v>2.9321911866146966E-2</v>
      </c>
      <c r="D851" s="7">
        <f>(Table4[[#This Row],[WALCL]]/1000)/19222</f>
        <v>0.21069836645510351</v>
      </c>
    </row>
    <row r="852" spans="1:5" x14ac:dyDescent="0.2">
      <c r="A852" s="10">
        <v>43488</v>
      </c>
      <c r="B852" s="9">
        <v>4047052</v>
      </c>
      <c r="C852" s="7">
        <v>2.9321911866146966E-2</v>
      </c>
      <c r="D852" s="7">
        <f>(Table4[[#This Row],[WALCL]]/1000)/19222</f>
        <v>0.21054271147643325</v>
      </c>
    </row>
    <row r="853" spans="1:5" x14ac:dyDescent="0.2">
      <c r="A853" s="10">
        <v>43495</v>
      </c>
      <c r="B853" s="9">
        <v>4039678</v>
      </c>
      <c r="C853" s="7">
        <v>2.9321911866146966E-2</v>
      </c>
      <c r="D853" s="7">
        <f>(Table4[[#This Row],[WALCL]]/1000)/19222</f>
        <v>0.21015908854437623</v>
      </c>
    </row>
    <row r="854" spans="1:5" x14ac:dyDescent="0.2">
      <c r="A854" s="10">
        <v>43502</v>
      </c>
      <c r="B854" s="9">
        <v>4026350</v>
      </c>
      <c r="C854" s="7">
        <v>2.9321911866146966E-2</v>
      </c>
      <c r="D854" s="7">
        <f>(Table4[[#This Row],[WALCL]]/1000)/19222</f>
        <v>0.2094657163666632</v>
      </c>
    </row>
    <row r="855" spans="1:5" x14ac:dyDescent="0.2">
      <c r="A855" s="10">
        <v>43509</v>
      </c>
      <c r="B855" s="9">
        <v>4028431</v>
      </c>
      <c r="C855" s="7">
        <v>2.9321911866146966E-2</v>
      </c>
      <c r="D855" s="7">
        <f>(Table4[[#This Row],[WALCL]]/1000)/19222</f>
        <v>0.20957397773384664</v>
      </c>
    </row>
    <row r="856" spans="1:5" x14ac:dyDescent="0.2">
      <c r="A856" s="10">
        <v>43516</v>
      </c>
      <c r="B856" s="9">
        <v>3981420</v>
      </c>
      <c r="C856" s="7">
        <v>2.9321911866146966E-2</v>
      </c>
      <c r="D856" s="7">
        <f>(Table4[[#This Row],[WALCL]]/1000)/19222</f>
        <v>0.20712829050046822</v>
      </c>
    </row>
    <row r="857" spans="1:5" x14ac:dyDescent="0.2">
      <c r="A857" s="10">
        <v>43523</v>
      </c>
      <c r="B857" s="9">
        <v>3974590</v>
      </c>
      <c r="C857" s="7">
        <v>2.9321911866146966E-2</v>
      </c>
      <c r="D857" s="7">
        <f>(Table4[[#This Row],[WALCL]]/1000)/19222</f>
        <v>0.20677296847362397</v>
      </c>
    </row>
    <row r="858" spans="1:5" x14ac:dyDescent="0.2">
      <c r="A858" s="10">
        <v>43530</v>
      </c>
      <c r="B858" s="9">
        <v>3969134</v>
      </c>
      <c r="C858" s="7">
        <v>2.9321911866146966E-2</v>
      </c>
      <c r="D858" s="7">
        <f>(Table4[[#This Row],[WALCL]]/1000)/19222</f>
        <v>0.20648912704193112</v>
      </c>
    </row>
    <row r="859" spans="1:5" x14ac:dyDescent="0.2">
      <c r="A859" s="10">
        <v>43537</v>
      </c>
      <c r="B859" s="9">
        <v>3971559</v>
      </c>
      <c r="C859" s="7">
        <v>2.9321911866146966E-2</v>
      </c>
      <c r="D859" s="7">
        <f>(Table4[[#This Row],[WALCL]]/1000)/19222</f>
        <v>0.20661528456976383</v>
      </c>
    </row>
    <row r="860" spans="1:5" x14ac:dyDescent="0.2">
      <c r="A860" s="10">
        <v>43544</v>
      </c>
      <c r="B860" s="9">
        <v>3962748</v>
      </c>
      <c r="C860" s="7">
        <v>2.9321911866146966E-2</v>
      </c>
      <c r="D860" s="7">
        <f>(Table4[[#This Row],[WALCL]]/1000)/19222</f>
        <v>0.20615690354801791</v>
      </c>
    </row>
    <row r="861" spans="1:5" x14ac:dyDescent="0.2">
      <c r="A861" s="10">
        <v>43551</v>
      </c>
      <c r="B861" s="9">
        <v>3955617</v>
      </c>
      <c r="C861" s="7">
        <v>2.9321911866146966E-2</v>
      </c>
      <c r="D861" s="7">
        <f>(Table4[[#This Row],[WALCL]]/1000)/19222</f>
        <v>0.20578592238060556</v>
      </c>
    </row>
    <row r="862" spans="1:5" x14ac:dyDescent="0.2">
      <c r="A862" s="10">
        <v>43558</v>
      </c>
      <c r="B862" s="9">
        <v>3935509</v>
      </c>
      <c r="C862" s="7">
        <v>1.4911308938809764E-2</v>
      </c>
      <c r="D862" s="7">
        <f>(Table4[[#This Row],[WALCL]]/1000)/19222</f>
        <v>0.20473982936218915</v>
      </c>
    </row>
    <row r="863" spans="1:5" x14ac:dyDescent="0.2">
      <c r="A863" s="10">
        <v>43565</v>
      </c>
      <c r="B863" s="9">
        <v>3936784</v>
      </c>
      <c r="C863" s="7">
        <v>1.4911308938809764E-2</v>
      </c>
      <c r="D863" s="7">
        <f>(Table4[[#This Row],[WALCL]]/1000)/19222</f>
        <v>0.2048061596087816</v>
      </c>
    </row>
    <row r="864" spans="1:5" x14ac:dyDescent="0.2">
      <c r="A864" s="10">
        <v>43572</v>
      </c>
      <c r="B864" s="9">
        <v>3931827</v>
      </c>
      <c r="C864" s="7">
        <v>1.4911308938809764E-2</v>
      </c>
      <c r="D864" s="7">
        <f>(Table4[[#This Row],[WALCL]]/1000)/19222</f>
        <v>0.20454827801477474</v>
      </c>
    </row>
    <row r="865" spans="1:5" x14ac:dyDescent="0.2">
      <c r="A865" s="10">
        <v>43579</v>
      </c>
      <c r="B865" s="9">
        <v>3928273</v>
      </c>
      <c r="C865" s="7">
        <v>1.4911308938809764E-2</v>
      </c>
      <c r="D865" s="7">
        <f>(Table4[[#This Row],[WALCL]]/1000)/19222</f>
        <v>0.20436338570388099</v>
      </c>
    </row>
    <row r="866" spans="1:5" x14ac:dyDescent="0.2">
      <c r="A866" s="10">
        <v>43586</v>
      </c>
      <c r="B866" s="9">
        <v>3889691</v>
      </c>
      <c r="C866" s="7">
        <v>1.4911308938809764E-2</v>
      </c>
      <c r="D866" s="7">
        <f>(Table4[[#This Row],[WALCL]]/1000)/19222</f>
        <v>0.20235620643013214</v>
      </c>
    </row>
    <row r="867" spans="1:5" x14ac:dyDescent="0.2">
      <c r="A867" s="10">
        <v>43593</v>
      </c>
      <c r="B867" s="9">
        <v>3892216</v>
      </c>
      <c r="C867" s="7">
        <v>1.4911308938809764E-2</v>
      </c>
      <c r="D867" s="7">
        <f>(Table4[[#This Row],[WALCL]]/1000)/19222</f>
        <v>0.20248756633024659</v>
      </c>
    </row>
    <row r="868" spans="1:5" x14ac:dyDescent="0.2">
      <c r="A868" s="10">
        <v>43600</v>
      </c>
      <c r="B868" s="9">
        <v>3864749</v>
      </c>
      <c r="C868" s="7">
        <v>1.4911308938809764E-2</v>
      </c>
      <c r="D868" s="7">
        <f>(Table4[[#This Row],[WALCL]]/1000)/19222</f>
        <v>0.20105863073561542</v>
      </c>
    </row>
    <row r="869" spans="1:5" x14ac:dyDescent="0.2">
      <c r="A869" s="10">
        <v>43607</v>
      </c>
      <c r="B869" s="9">
        <v>3860435</v>
      </c>
      <c r="C869" s="7">
        <v>1.4911308938809764E-2</v>
      </c>
      <c r="D869" s="7">
        <f>(Table4[[#This Row],[WALCL]]/1000)/19222</f>
        <v>0.2008342003953803</v>
      </c>
    </row>
    <row r="870" spans="1:5" x14ac:dyDescent="0.2">
      <c r="A870" s="10">
        <v>43614</v>
      </c>
      <c r="B870" s="9">
        <v>3851444</v>
      </c>
      <c r="C870" s="7">
        <v>1.4911308938809764E-2</v>
      </c>
      <c r="D870" s="7">
        <f>(Table4[[#This Row],[WALCL]]/1000)/19222</f>
        <v>0.20036645510352721</v>
      </c>
    </row>
    <row r="871" spans="1:5" x14ac:dyDescent="0.2">
      <c r="A871" s="10">
        <v>43621</v>
      </c>
      <c r="B871" s="9">
        <v>3847645</v>
      </c>
      <c r="C871" s="7">
        <v>1.4911308938809764E-2</v>
      </c>
      <c r="D871" s="7">
        <f>(Table4[[#This Row],[WALCL]]/1000)/19222</f>
        <v>0.20016881698054312</v>
      </c>
    </row>
    <row r="872" spans="1:5" x14ac:dyDescent="0.2">
      <c r="A872" s="10">
        <v>43628</v>
      </c>
      <c r="B872" s="9">
        <v>3849955</v>
      </c>
      <c r="C872" s="7">
        <v>1.4911308938809764E-2</v>
      </c>
      <c r="D872" s="7">
        <f>(Table4[[#This Row],[WALCL]]/1000)/19222</f>
        <v>0.20028899178025178</v>
      </c>
    </row>
    <row r="873" spans="1:5" x14ac:dyDescent="0.2">
      <c r="A873" s="10">
        <v>43635</v>
      </c>
      <c r="B873" s="9">
        <v>3844016</v>
      </c>
      <c r="C873" s="7">
        <v>1.4911308938809764E-2</v>
      </c>
      <c r="D873" s="7">
        <f>(Table4[[#This Row],[WALCL]]/1000)/19222</f>
        <v>0.19998002289043804</v>
      </c>
    </row>
    <row r="874" spans="1:5" x14ac:dyDescent="0.2">
      <c r="A874" s="10">
        <v>43642</v>
      </c>
      <c r="B874" s="9">
        <v>3826817</v>
      </c>
      <c r="C874" s="7">
        <v>1.4911308938809764E-2</v>
      </c>
      <c r="D874" s="7">
        <f>(Table4[[#This Row],[WALCL]]/1000)/19222</f>
        <v>0.19908526688169806</v>
      </c>
    </row>
    <row r="875" spans="1:5" x14ac:dyDescent="0.2">
      <c r="A875" s="10">
        <v>43649</v>
      </c>
      <c r="B875" s="9">
        <v>3813198</v>
      </c>
      <c r="C875" s="7">
        <v>2.5721021247193443E-2</v>
      </c>
      <c r="D875" s="7">
        <f>(Table4[[#This Row],[WALCL]]/1000)/19222</f>
        <v>0.19837675580064509</v>
      </c>
    </row>
    <row r="876" spans="1:5" x14ac:dyDescent="0.2">
      <c r="A876" s="10">
        <v>43656</v>
      </c>
      <c r="B876" s="9">
        <v>3815038</v>
      </c>
      <c r="C876" s="7">
        <v>2.5721021247193443E-2</v>
      </c>
      <c r="D876" s="7">
        <f>(Table4[[#This Row],[WALCL]]/1000)/19222</f>
        <v>0.19847247945062949</v>
      </c>
    </row>
    <row r="877" spans="1:5" x14ac:dyDescent="0.2">
      <c r="A877" s="10">
        <v>43663</v>
      </c>
      <c r="B877" s="9">
        <v>3808110</v>
      </c>
      <c r="C877" s="7">
        <v>2.5721021247193443E-2</v>
      </c>
      <c r="D877" s="7">
        <f>(Table4[[#This Row],[WALCL]]/1000)/19222</f>
        <v>0.19811205909894913</v>
      </c>
    </row>
    <row r="878" spans="1:5" x14ac:dyDescent="0.2">
      <c r="A878" s="10">
        <v>43670</v>
      </c>
      <c r="B878" s="9">
        <v>3803436</v>
      </c>
      <c r="C878" s="7">
        <v>2.5721021247193443E-2</v>
      </c>
      <c r="D878" s="7">
        <f>(Table4[[#This Row],[WALCL]]/1000)/19222</f>
        <v>0.19786890021849965</v>
      </c>
    </row>
    <row r="879" spans="1:5" x14ac:dyDescent="0.2">
      <c r="A879" s="10">
        <v>43677</v>
      </c>
      <c r="B879" s="9">
        <v>3779102</v>
      </c>
      <c r="C879" s="7">
        <v>2.5721021247193443E-2</v>
      </c>
      <c r="D879" s="7">
        <f>(Table4[[#This Row],[WALCL]]/1000)/19222</f>
        <v>0.19660295494745603</v>
      </c>
      <c r="E879" s="13"/>
    </row>
    <row r="880" spans="1:5" x14ac:dyDescent="0.2">
      <c r="A880" s="10">
        <v>43684</v>
      </c>
      <c r="B880" s="9">
        <v>3781543</v>
      </c>
      <c r="C880" s="7">
        <v>2.5721021247193443E-2</v>
      </c>
      <c r="D880" s="7">
        <f>(Table4[[#This Row],[WALCL]]/1000)/19222</f>
        <v>0.19672994485485382</v>
      </c>
    </row>
    <row r="881" spans="1:4" x14ac:dyDescent="0.2">
      <c r="A881" s="10">
        <v>43691</v>
      </c>
      <c r="B881" s="9">
        <v>3786018</v>
      </c>
      <c r="C881" s="7">
        <v>2.5721021247193443E-2</v>
      </c>
      <c r="D881" s="7">
        <f>(Table4[[#This Row],[WALCL]]/1000)/19222</f>
        <v>0.19696275101446259</v>
      </c>
    </row>
    <row r="882" spans="1:4" x14ac:dyDescent="0.2">
      <c r="A882" s="10">
        <v>43698</v>
      </c>
      <c r="B882" s="9">
        <v>3764866</v>
      </c>
      <c r="C882" s="7">
        <v>2.5721021247193443E-2</v>
      </c>
      <c r="D882" s="7">
        <f>(Table4[[#This Row],[WALCL]]/1000)/19222</f>
        <v>0.19586234522942461</v>
      </c>
    </row>
    <row r="883" spans="1:4" x14ac:dyDescent="0.2">
      <c r="A883" s="10">
        <v>43705</v>
      </c>
      <c r="B883" s="9">
        <v>3759946</v>
      </c>
      <c r="C883" s="7">
        <v>2.5721021247193443E-2</v>
      </c>
      <c r="D883" s="7">
        <f>(Table4[[#This Row],[WALCL]]/1000)/19222</f>
        <v>0.19560638851316201</v>
      </c>
    </row>
    <row r="884" spans="1:4" x14ac:dyDescent="0.2">
      <c r="A884" s="10">
        <v>43712</v>
      </c>
      <c r="B884" s="9">
        <v>3761508</v>
      </c>
      <c r="C884" s="7">
        <v>2.5721021247193443E-2</v>
      </c>
      <c r="D884" s="7">
        <f>(Table4[[#This Row],[WALCL]]/1000)/19222</f>
        <v>0.19568764956820309</v>
      </c>
    </row>
    <row r="885" spans="1:4" x14ac:dyDescent="0.2">
      <c r="A885" s="10">
        <v>43719</v>
      </c>
      <c r="B885" s="9">
        <v>3769673</v>
      </c>
      <c r="C885" s="7">
        <v>2.5721021247193443E-2</v>
      </c>
      <c r="D885" s="7">
        <f>(Table4[[#This Row],[WALCL]]/1000)/19222</f>
        <v>0.19611242326500883</v>
      </c>
    </row>
    <row r="886" spans="1:4" x14ac:dyDescent="0.2">
      <c r="A886" s="10">
        <v>43726</v>
      </c>
      <c r="B886" s="9">
        <v>3844695</v>
      </c>
      <c r="C886" s="7">
        <v>2.5721021247193443E-2</v>
      </c>
      <c r="D886" s="7">
        <f>(Table4[[#This Row],[WALCL]]/1000)/19222</f>
        <v>0.2000153469982312</v>
      </c>
    </row>
    <row r="887" spans="1:4" x14ac:dyDescent="0.2">
      <c r="A887" s="10">
        <v>43733</v>
      </c>
      <c r="B887" s="9">
        <v>3857715</v>
      </c>
      <c r="C887" s="7">
        <v>2.5721021247193443E-2</v>
      </c>
      <c r="D887" s="7">
        <f>(Table4[[#This Row],[WALCL]]/1000)/19222</f>
        <v>0.20069269586931643</v>
      </c>
    </row>
    <row r="888" spans="1:4" x14ac:dyDescent="0.2">
      <c r="A888" s="10">
        <v>43740</v>
      </c>
      <c r="B888" s="9">
        <v>3945831</v>
      </c>
      <c r="C888" s="7">
        <v>2.3656281731889273E-2</v>
      </c>
      <c r="D888" s="7">
        <f>(Table4[[#This Row],[WALCL]]/1000)/19222</f>
        <v>0.20527681822911248</v>
      </c>
    </row>
    <row r="889" spans="1:4" x14ac:dyDescent="0.2">
      <c r="A889" s="10">
        <v>43747</v>
      </c>
      <c r="B889" s="9">
        <v>3949955</v>
      </c>
      <c r="C889" s="7">
        <v>2.3656281731889273E-2</v>
      </c>
      <c r="D889" s="7">
        <f>(Table4[[#This Row],[WALCL]]/1000)/19222</f>
        <v>0.20549136406201227</v>
      </c>
    </row>
    <row r="890" spans="1:4" x14ac:dyDescent="0.2">
      <c r="A890" s="10">
        <v>43754</v>
      </c>
      <c r="B890" s="9">
        <v>3966471</v>
      </c>
      <c r="C890" s="7">
        <v>2.3656281731889273E-2</v>
      </c>
      <c r="D890" s="7">
        <f>(Table4[[#This Row],[WALCL]]/1000)/19222</f>
        <v>0.20635058786806784</v>
      </c>
    </row>
    <row r="891" spans="1:4" x14ac:dyDescent="0.2">
      <c r="A891" s="10">
        <v>43761</v>
      </c>
      <c r="B891" s="9">
        <v>3968700</v>
      </c>
      <c r="C891" s="7">
        <v>2.3656281731889273E-2</v>
      </c>
      <c r="D891" s="7">
        <f>(Table4[[#This Row],[WALCL]]/1000)/19222</f>
        <v>0.20646654874622827</v>
      </c>
    </row>
    <row r="892" spans="1:4" x14ac:dyDescent="0.2">
      <c r="A892" s="10">
        <v>43768</v>
      </c>
      <c r="B892" s="9">
        <v>4019823</v>
      </c>
      <c r="C892" s="7">
        <v>2.3656281731889273E-2</v>
      </c>
      <c r="D892" s="7">
        <f>(Table4[[#This Row],[WALCL]]/1000)/19222</f>
        <v>0.20912615752783267</v>
      </c>
    </row>
    <row r="893" spans="1:4" x14ac:dyDescent="0.2">
      <c r="A893" s="10">
        <v>43775</v>
      </c>
      <c r="B893" s="9">
        <v>4039443</v>
      </c>
      <c r="C893" s="7">
        <v>2.3656281731889273E-2</v>
      </c>
      <c r="D893" s="7">
        <f>(Table4[[#This Row],[WALCL]]/1000)/19222</f>
        <v>0.2101468629695141</v>
      </c>
    </row>
    <row r="894" spans="1:4" x14ac:dyDescent="0.2">
      <c r="A894" s="10">
        <v>43782</v>
      </c>
      <c r="B894" s="9">
        <v>4047882</v>
      </c>
      <c r="C894" s="7">
        <v>2.3656281731889273E-2</v>
      </c>
      <c r="D894" s="7">
        <f>(Table4[[#This Row],[WALCL]]/1000)/19222</f>
        <v>0.21058589116637186</v>
      </c>
    </row>
    <row r="895" spans="1:4" x14ac:dyDescent="0.2">
      <c r="A895" s="10">
        <v>43789</v>
      </c>
      <c r="B895" s="9">
        <v>4030249</v>
      </c>
      <c r="C895" s="7">
        <v>2.3656281731889273E-2</v>
      </c>
      <c r="D895" s="7">
        <f>(Table4[[#This Row],[WALCL]]/1000)/19222</f>
        <v>0.20966855686192903</v>
      </c>
    </row>
    <row r="896" spans="1:4" x14ac:dyDescent="0.2">
      <c r="A896" s="10">
        <v>43796</v>
      </c>
      <c r="B896" s="9">
        <v>4052875</v>
      </c>
      <c r="C896" s="7">
        <v>2.3656281731889273E-2</v>
      </c>
      <c r="D896" s="7">
        <f>(Table4[[#This Row],[WALCL]]/1000)/19222</f>
        <v>0.21084564561440017</v>
      </c>
    </row>
    <row r="897" spans="1:4" x14ac:dyDescent="0.2">
      <c r="A897" s="10">
        <v>43803</v>
      </c>
      <c r="B897" s="9">
        <v>4065696</v>
      </c>
      <c r="C897" s="7">
        <v>2.3656281731889273E-2</v>
      </c>
      <c r="D897" s="7">
        <f>(Table4[[#This Row],[WALCL]]/1000)/19222</f>
        <v>0.21151264176464468</v>
      </c>
    </row>
    <row r="898" spans="1:4" x14ac:dyDescent="0.2">
      <c r="A898" s="10">
        <v>43810</v>
      </c>
      <c r="B898" s="9">
        <v>4095491</v>
      </c>
      <c r="C898" s="7">
        <v>2.3656281731889273E-2</v>
      </c>
      <c r="D898" s="7">
        <f>(Table4[[#This Row],[WALCL]]/1000)/19222</f>
        <v>0.21306268858599522</v>
      </c>
    </row>
    <row r="899" spans="1:4" x14ac:dyDescent="0.2">
      <c r="A899" s="10">
        <v>43817</v>
      </c>
      <c r="B899" s="9">
        <v>4137052</v>
      </c>
      <c r="C899" s="7">
        <v>2.3656281731889273E-2</v>
      </c>
      <c r="D899" s="7">
        <f>(Table4[[#This Row],[WALCL]]/1000)/19222</f>
        <v>0.21522484653001767</v>
      </c>
    </row>
    <row r="900" spans="1:4" x14ac:dyDescent="0.2">
      <c r="A900" s="10">
        <v>43824</v>
      </c>
      <c r="B900" s="9">
        <v>4165591</v>
      </c>
      <c r="C900" s="7">
        <v>2.3656281731889273E-2</v>
      </c>
      <c r="D900" s="7">
        <f>(Table4[[#This Row],[WALCL]]/1000)/19222</f>
        <v>0.21670955155550933</v>
      </c>
    </row>
    <row r="901" spans="1:4" x14ac:dyDescent="0.2">
      <c r="A901" s="10">
        <v>43831</v>
      </c>
      <c r="B901" s="9">
        <v>4173626</v>
      </c>
      <c r="C901" s="7">
        <v>-4.9557632983636801E-2</v>
      </c>
      <c r="D901" s="7">
        <f>(Table4[[#This Row],[WALCL]]/1000)/19222</f>
        <v>0.21712756216834878</v>
      </c>
    </row>
    <row r="902" spans="1:4" x14ac:dyDescent="0.2">
      <c r="A902" s="10">
        <v>43838</v>
      </c>
      <c r="B902" s="9">
        <v>4149544</v>
      </c>
      <c r="C902" s="7">
        <v>-4.9557632983636801E-2</v>
      </c>
      <c r="D902" s="7">
        <f>(Table4[[#This Row],[WALCL]]/1000)/19222</f>
        <v>0.2158747268754552</v>
      </c>
    </row>
    <row r="903" spans="1:4" x14ac:dyDescent="0.2">
      <c r="A903" s="10">
        <v>43845</v>
      </c>
      <c r="B903" s="9">
        <v>4175850</v>
      </c>
      <c r="C903" s="7">
        <v>-4.9557632983636801E-2</v>
      </c>
      <c r="D903" s="7">
        <f>(Table4[[#This Row],[WALCL]]/1000)/19222</f>
        <v>0.21724326292789514</v>
      </c>
    </row>
    <row r="904" spans="1:4" x14ac:dyDescent="0.2">
      <c r="A904" s="10">
        <v>43852</v>
      </c>
      <c r="B904" s="9">
        <v>4145912</v>
      </c>
      <c r="C904" s="7">
        <v>-4.9557632983636801E-2</v>
      </c>
      <c r="D904" s="7">
        <f>(Table4[[#This Row],[WALCL]]/1000)/19222</f>
        <v>0.21568577671418168</v>
      </c>
    </row>
    <row r="905" spans="1:4" x14ac:dyDescent="0.2">
      <c r="A905" s="10">
        <v>43859</v>
      </c>
      <c r="B905" s="9">
        <v>4151630</v>
      </c>
      <c r="C905" s="7">
        <v>-4.9557632983636801E-2</v>
      </c>
      <c r="D905" s="7">
        <f>(Table4[[#This Row],[WALCL]]/1000)/19222</f>
        <v>0.21598324836125274</v>
      </c>
    </row>
    <row r="906" spans="1:4" x14ac:dyDescent="0.2">
      <c r="A906" s="10">
        <v>43866</v>
      </c>
      <c r="B906" s="9">
        <v>4166707</v>
      </c>
      <c r="C906" s="7">
        <v>-4.9557632983636801E-2</v>
      </c>
      <c r="D906" s="7">
        <f>(Table4[[#This Row],[WALCL]]/1000)/19222</f>
        <v>0.21676761003017378</v>
      </c>
    </row>
    <row r="907" spans="1:4" x14ac:dyDescent="0.2">
      <c r="A907" s="10">
        <v>43873</v>
      </c>
      <c r="B907" s="9">
        <v>4182689</v>
      </c>
      <c r="C907" s="7">
        <v>-4.9557632983636801E-2</v>
      </c>
      <c r="D907" s="7">
        <f>(Table4[[#This Row],[WALCL]]/1000)/19222</f>
        <v>0.21759905316824474</v>
      </c>
    </row>
    <row r="908" spans="1:4" x14ac:dyDescent="0.2">
      <c r="A908" s="10">
        <v>43880</v>
      </c>
      <c r="B908" s="9">
        <v>4171570</v>
      </c>
      <c r="C908" s="7">
        <v>-4.9557632983636801E-2</v>
      </c>
      <c r="D908" s="7">
        <f>(Table4[[#This Row],[WALCL]]/1000)/19222</f>
        <v>0.21702060139423576</v>
      </c>
    </row>
    <row r="909" spans="1:4" x14ac:dyDescent="0.2">
      <c r="A909" s="10">
        <v>43887</v>
      </c>
      <c r="B909" s="9">
        <v>4158637</v>
      </c>
      <c r="C909" s="7">
        <v>-4.9557632983636801E-2</v>
      </c>
      <c r="D909" s="7">
        <f>(Table4[[#This Row],[WALCL]]/1000)/19222</f>
        <v>0.21634777858703566</v>
      </c>
    </row>
    <row r="910" spans="1:4" x14ac:dyDescent="0.2">
      <c r="A910" s="10">
        <v>43894</v>
      </c>
      <c r="B910" s="9">
        <v>4241507</v>
      </c>
      <c r="C910" s="7">
        <v>-4.9557632983636801E-2</v>
      </c>
      <c r="D910" s="7">
        <f>(Table4[[#This Row],[WALCL]]/1000)/19222</f>
        <v>0.22065898449693058</v>
      </c>
    </row>
    <row r="911" spans="1:4" x14ac:dyDescent="0.2">
      <c r="A911" s="10">
        <v>43901</v>
      </c>
      <c r="B911" s="9">
        <v>4311911</v>
      </c>
      <c r="C911" s="7">
        <v>-4.9557632983636801E-2</v>
      </c>
      <c r="D911" s="7">
        <f>(Table4[[#This Row],[WALCL]]/1000)/19222</f>
        <v>0.22432166267818127</v>
      </c>
    </row>
    <row r="912" spans="1:4" x14ac:dyDescent="0.2">
      <c r="A912" s="10">
        <v>43908</v>
      </c>
      <c r="B912" s="9">
        <v>4668212</v>
      </c>
      <c r="C912" s="7">
        <v>-4.9557632983636801E-2</v>
      </c>
      <c r="D912" s="7">
        <f>(Table4[[#This Row],[WALCL]]/1000)/19222</f>
        <v>0.2428577671418167</v>
      </c>
    </row>
    <row r="913" spans="1:4" x14ac:dyDescent="0.2">
      <c r="A913" s="10">
        <v>43915</v>
      </c>
      <c r="B913" s="9">
        <v>5254278</v>
      </c>
      <c r="C913" s="7">
        <v>-4.9557632983636801E-2</v>
      </c>
      <c r="D913" s="7">
        <f>(Table4[[#This Row],[WALCL]]/1000)/19222</f>
        <v>0.27334710227863906</v>
      </c>
    </row>
    <row r="914" spans="1:4" x14ac:dyDescent="0.2">
      <c r="A914" s="10">
        <v>43922</v>
      </c>
      <c r="B914" s="9">
        <v>5811607</v>
      </c>
      <c r="C914" s="7">
        <v>-0.31704994739241188</v>
      </c>
      <c r="D914" s="7">
        <f>(Table4[[#This Row],[WALCL]]/1000)/19222</f>
        <v>0.30234143169285194</v>
      </c>
    </row>
    <row r="915" spans="1:4" x14ac:dyDescent="0.2">
      <c r="A915" s="10">
        <v>43929</v>
      </c>
      <c r="B915" s="9">
        <v>6083141</v>
      </c>
      <c r="C915" s="7">
        <v>-0.31704994739241188</v>
      </c>
      <c r="D915" s="7">
        <f>(Table4[[#This Row],[WALCL]]/1000)/19222</f>
        <v>0.3164676412444074</v>
      </c>
    </row>
    <row r="916" spans="1:4" x14ac:dyDescent="0.2">
      <c r="A916" s="10">
        <v>43936</v>
      </c>
      <c r="B916" s="18">
        <v>6367887</v>
      </c>
      <c r="C916" s="7">
        <v>-0.31704994739241188</v>
      </c>
      <c r="D916" s="7">
        <f>(Table4[[#This Row],[WALCL]]/1000)/19222</f>
        <v>0.33128118822182911</v>
      </c>
    </row>
    <row r="917" spans="1:4" x14ac:dyDescent="0.2">
      <c r="A917" s="10">
        <v>43943</v>
      </c>
      <c r="B917" s="9">
        <v>6573136</v>
      </c>
      <c r="C917" s="7">
        <v>-0.31704994739241188</v>
      </c>
      <c r="D917" s="7">
        <f>(Table4[[#This Row],[WALCL]]/1000)/19222</f>
        <v>0.34195900530641976</v>
      </c>
    </row>
    <row r="918" spans="1:4" x14ac:dyDescent="0.2">
      <c r="A918" s="10">
        <v>43950</v>
      </c>
      <c r="B918" s="9">
        <v>6655929</v>
      </c>
      <c r="C918" s="7">
        <v>-0.31704994739241188</v>
      </c>
      <c r="D918" s="7">
        <f>(Table4[[#This Row],[WALCL]]/1000)/19222</f>
        <v>0.34626620538965769</v>
      </c>
    </row>
    <row r="919" spans="1:4" x14ac:dyDescent="0.2">
      <c r="A919" s="10">
        <v>43957</v>
      </c>
      <c r="B919" s="9">
        <v>6721420</v>
      </c>
      <c r="C919" s="7">
        <v>-0.31704994739241188</v>
      </c>
      <c r="D919" s="7">
        <f>(Table4[[#This Row],[WALCL]]/1000)/19222</f>
        <v>0.34967329102070543</v>
      </c>
    </row>
    <row r="920" spans="1:4" x14ac:dyDescent="0.2">
      <c r="A920" s="10">
        <v>43964</v>
      </c>
      <c r="B920" s="9">
        <v>6934227</v>
      </c>
      <c r="C920" s="7">
        <v>-0.31704994739241188</v>
      </c>
      <c r="D920" s="7">
        <f>(Table4[[#This Row],[WALCL]]/1000)/19222</f>
        <v>0.36074430340235147</v>
      </c>
    </row>
    <row r="921" spans="1:4" x14ac:dyDescent="0.2">
      <c r="A921" s="10">
        <v>43971</v>
      </c>
      <c r="B921" s="9">
        <v>7037258</v>
      </c>
      <c r="C921" s="7">
        <v>-0.31704994739241188</v>
      </c>
      <c r="D921" s="7">
        <f>(Table4[[#This Row],[WALCL]]/1000)/19222</f>
        <v>0.36610435958797211</v>
      </c>
    </row>
    <row r="922" spans="1:4" x14ac:dyDescent="0.2">
      <c r="A922" s="10">
        <v>43978</v>
      </c>
      <c r="B922" s="9">
        <v>7097316</v>
      </c>
      <c r="C922" s="7">
        <v>-0.31704994739241188</v>
      </c>
      <c r="D922" s="7">
        <f>(Table4[[#This Row],[WALCL]]/1000)/19222</f>
        <v>0.3692288003329518</v>
      </c>
    </row>
    <row r="923" spans="1:4" x14ac:dyDescent="0.2">
      <c r="A923" s="10">
        <v>43985</v>
      </c>
      <c r="B923" s="9">
        <v>7165217</v>
      </c>
      <c r="C923" s="7">
        <v>-0.31704994739241188</v>
      </c>
      <c r="D923" s="7">
        <f>(Table4[[#This Row],[WALCL]]/1000)/19222</f>
        <v>0.37276126313599001</v>
      </c>
    </row>
    <row r="924" spans="1:4" x14ac:dyDescent="0.2">
      <c r="A924" s="10">
        <v>43992</v>
      </c>
      <c r="B924" s="9">
        <v>7168936</v>
      </c>
      <c r="C924" s="7">
        <v>-0.31704994739241188</v>
      </c>
      <c r="D924" s="7">
        <f>(Table4[[#This Row],[WALCL]]/1000)/19222</f>
        <v>0.37295473936114865</v>
      </c>
    </row>
    <row r="925" spans="1:4" x14ac:dyDescent="0.2">
      <c r="A925" s="10">
        <v>43999</v>
      </c>
      <c r="B925" s="9">
        <v>7094690</v>
      </c>
      <c r="C925" s="7">
        <v>-0.31704994739241188</v>
      </c>
      <c r="D925" s="7">
        <f>(Table4[[#This Row],[WALCL]]/1000)/19222</f>
        <v>0.36909218603683275</v>
      </c>
    </row>
    <row r="926" spans="1:4" x14ac:dyDescent="0.2">
      <c r="A926" s="10">
        <v>44006</v>
      </c>
      <c r="B926" s="9">
        <v>7082302</v>
      </c>
      <c r="C926" s="7"/>
      <c r="D926" s="7">
        <f>(Table4[[#This Row],[WALCL]]/1000)/19222</f>
        <v>0.36844771615856831</v>
      </c>
    </row>
    <row r="927" spans="1:4" x14ac:dyDescent="0.2">
      <c r="A927" s="10">
        <v>44013</v>
      </c>
      <c r="B927" s="9">
        <v>7009040</v>
      </c>
      <c r="C927" s="17"/>
      <c r="D927" s="7">
        <f>(Table4[[#This Row],[WALCL]]/1000)/19222</f>
        <v>0.36463635417750495</v>
      </c>
    </row>
    <row r="928" spans="1:4" x14ac:dyDescent="0.2">
      <c r="A928" s="10">
        <v>44020</v>
      </c>
      <c r="B928" s="9">
        <v>6920716</v>
      </c>
      <c r="C928" s="17"/>
      <c r="D928" s="7">
        <f>(Table4[[#This Row],[WALCL]]/1000)/19222</f>
        <v>0.36004141088336283</v>
      </c>
    </row>
    <row r="929" spans="1:4" x14ac:dyDescent="0.2">
      <c r="A929" s="10">
        <v>44027</v>
      </c>
      <c r="B929" s="9">
        <v>6958604</v>
      </c>
      <c r="C929" s="17"/>
      <c r="D929" s="7">
        <f>(Table4[[#This Row],[WALCL]]/1000)/19222</f>
        <v>0.36201248569347622</v>
      </c>
    </row>
    <row r="930" spans="1:4" x14ac:dyDescent="0.2">
      <c r="A930" s="10">
        <v>44034</v>
      </c>
      <c r="B930" s="9">
        <v>6964755</v>
      </c>
      <c r="C930" s="17"/>
      <c r="D930" s="7">
        <f>(Table4[[#This Row],[WALCL]]/1000)/19222</f>
        <v>0.36233248361252735</v>
      </c>
    </row>
    <row r="931" spans="1:4" x14ac:dyDescent="0.2">
      <c r="A931" s="10">
        <v>44041</v>
      </c>
      <c r="B931" s="9">
        <v>6949032</v>
      </c>
      <c r="C931" s="17"/>
      <c r="D931" s="7">
        <f>(Table4[[#This Row],[WALCL]]/1000)/19222</f>
        <v>0.36151451461866613</v>
      </c>
    </row>
    <row r="932" spans="1:4" x14ac:dyDescent="0.2">
      <c r="A932" s="10">
        <v>44048</v>
      </c>
      <c r="B932" s="9">
        <v>6945237</v>
      </c>
      <c r="C932" s="17"/>
      <c r="D932" s="7">
        <f>(Table4[[#This Row],[WALCL]]/1000)/19222</f>
        <v>0.36131708459057332</v>
      </c>
    </row>
    <row r="933" spans="1:4" x14ac:dyDescent="0.2">
      <c r="A933" s="10">
        <v>44055</v>
      </c>
      <c r="B933" s="9">
        <v>6957277</v>
      </c>
      <c r="C933" s="17"/>
      <c r="D933" s="7">
        <f>(Table4[[#This Row],[WALCL]]/1000)/19222</f>
        <v>0.36194345021329727</v>
      </c>
    </row>
    <row r="934" spans="1:4" x14ac:dyDescent="0.2">
      <c r="A934" s="10">
        <v>44062</v>
      </c>
      <c r="B934" s="9">
        <v>7010637</v>
      </c>
      <c r="C934" s="17"/>
      <c r="D934" s="7">
        <f>(Table4[[#This Row],[WALCL]]/1000)/19222</f>
        <v>0.36471943606284463</v>
      </c>
    </row>
    <row r="935" spans="1:4" x14ac:dyDescent="0.2">
      <c r="A935" s="10">
        <v>44069</v>
      </c>
      <c r="B935" s="9">
        <v>6990418</v>
      </c>
      <c r="C935" s="17"/>
      <c r="D935" s="7">
        <f>(Table4[[#This Row],[WALCL]]/1000)/19222</f>
        <v>0.36366756841119546</v>
      </c>
    </row>
    <row r="936" spans="1:4" x14ac:dyDescent="0.2">
      <c r="A936" s="10">
        <v>44076</v>
      </c>
      <c r="B936" s="9">
        <v>7017492</v>
      </c>
      <c r="C936" s="17"/>
      <c r="D936" s="7">
        <f>(Table4[[#This Row],[WALCL]]/1000)/19222</f>
        <v>0.36507605868275933</v>
      </c>
    </row>
    <row r="937" spans="1:4" x14ac:dyDescent="0.2">
      <c r="A937" s="10">
        <v>44083</v>
      </c>
      <c r="B937" s="9">
        <v>7010614</v>
      </c>
      <c r="C937" s="17"/>
      <c r="D937" s="7">
        <f>(Table4[[#This Row],[WALCL]]/1000)/19222</f>
        <v>0.36471823951721982</v>
      </c>
    </row>
    <row r="938" spans="1:4" x14ac:dyDescent="0.2">
      <c r="A938" s="10">
        <v>44090</v>
      </c>
      <c r="B938" s="9">
        <v>7064475</v>
      </c>
      <c r="C938" s="17"/>
      <c r="D938" s="7">
        <f>(Table4[[#This Row],[WALCL]]/1000)/19222</f>
        <v>0.36752028925189889</v>
      </c>
    </row>
    <row r="939" spans="1:4" x14ac:dyDescent="0.2">
      <c r="A939" s="10">
        <v>44097</v>
      </c>
      <c r="B939" s="9">
        <v>7093161</v>
      </c>
      <c r="C939" s="17"/>
      <c r="D939" s="7">
        <f>(Table4[[#This Row],[WALCL]]/1000)/19222</f>
        <v>0.36901264176464466</v>
      </c>
    </row>
    <row r="940" spans="1:4" x14ac:dyDescent="0.2">
      <c r="A940" s="10">
        <v>44104</v>
      </c>
      <c r="B940" s="9">
        <v>7056129</v>
      </c>
      <c r="C940" s="17"/>
      <c r="D940" s="7">
        <f>(Table4[[#This Row],[WALCL]]/1000)/19222</f>
        <v>0.36708609926126312</v>
      </c>
    </row>
    <row r="941" spans="1:4" x14ac:dyDescent="0.2">
      <c r="A941" s="10">
        <v>44111</v>
      </c>
      <c r="B941" s="9">
        <v>7074649</v>
      </c>
      <c r="C941" s="17"/>
      <c r="D941" s="7">
        <f>(Table4[[#This Row],[WALCL]]/1000)/19222</f>
        <v>0.36804957860784521</v>
      </c>
    </row>
    <row r="942" spans="1:4" x14ac:dyDescent="0.2">
      <c r="A942" s="10">
        <v>44118</v>
      </c>
      <c r="B942" s="9">
        <v>7151426</v>
      </c>
      <c r="C942" s="17"/>
      <c r="D942" s="7">
        <f>(Table4[[#This Row],[WALCL]]/1000)/19222</f>
        <v>0.37204380397461245</v>
      </c>
    </row>
    <row r="943" spans="1:4" x14ac:dyDescent="0.2">
      <c r="A943" s="10">
        <v>44125</v>
      </c>
      <c r="B943" s="9">
        <v>7177265</v>
      </c>
      <c r="C943" s="17"/>
      <c r="D943" s="7">
        <f>(Table4[[#This Row],[WALCL]]/1000)/19222</f>
        <v>0.37338804494849653</v>
      </c>
    </row>
    <row r="944" spans="1:4" x14ac:dyDescent="0.2">
      <c r="A944" s="10">
        <v>44132</v>
      </c>
      <c r="B944" s="9">
        <v>7146306</v>
      </c>
      <c r="C944" s="17"/>
      <c r="D944" s="7">
        <f>(Table4[[#This Row],[WALCL]]/1000)/19222</f>
        <v>0.37177744251378625</v>
      </c>
    </row>
    <row r="945" spans="1:4" x14ac:dyDescent="0.2">
      <c r="A945" s="10">
        <v>44139</v>
      </c>
      <c r="B945" s="9">
        <v>7157479</v>
      </c>
      <c r="C945" s="17"/>
      <c r="D945" s="7">
        <f>(Table4[[#This Row],[WALCL]]/1000)/19222</f>
        <v>0.37235870356882739</v>
      </c>
    </row>
    <row r="946" spans="1:4" x14ac:dyDescent="0.2">
      <c r="A946" s="10">
        <v>44146</v>
      </c>
      <c r="B946" s="9">
        <v>7175417</v>
      </c>
      <c r="C946" s="17"/>
      <c r="D946" s="7">
        <f>(Table4[[#This Row],[WALCL]]/1000)/19222</f>
        <v>0.37329190510872962</v>
      </c>
    </row>
    <row r="947" spans="1:4" x14ac:dyDescent="0.2">
      <c r="A947" s="10">
        <v>44153</v>
      </c>
      <c r="B947" s="9">
        <v>7243080</v>
      </c>
      <c r="C947" s="17"/>
      <c r="D947" s="7">
        <f>(Table4[[#This Row],[WALCL]]/1000)/19222</f>
        <v>0.3768119862657372</v>
      </c>
    </row>
    <row r="948" spans="1:4" x14ac:dyDescent="0.2">
      <c r="A948" s="10">
        <v>44160</v>
      </c>
      <c r="B948" s="9">
        <v>7216480</v>
      </c>
      <c r="C948" s="17"/>
      <c r="D948" s="7">
        <f>(Table4[[#This Row],[WALCL]]/1000)/19222</f>
        <v>0.37542815523878886</v>
      </c>
    </row>
    <row r="949" spans="1:4" x14ac:dyDescent="0.2">
      <c r="A949" s="10">
        <v>44167</v>
      </c>
      <c r="B949" s="9">
        <v>7222414</v>
      </c>
      <c r="C949" s="17"/>
      <c r="D949" s="7">
        <f>(Table4[[#This Row],[WALCL]]/1000)/19222</f>
        <v>0.37573686400998857</v>
      </c>
    </row>
    <row r="950" spans="1:4" x14ac:dyDescent="0.2">
      <c r="A950" s="10">
        <v>44174</v>
      </c>
      <c r="B950" s="9">
        <v>7242658</v>
      </c>
      <c r="C950" s="17"/>
      <c r="D950" s="7">
        <f>(Table4[[#This Row],[WALCL]]/1000)/19222</f>
        <v>0.37679003225470814</v>
      </c>
    </row>
    <row r="951" spans="1:4" x14ac:dyDescent="0.2">
      <c r="A951" s="10">
        <v>44181</v>
      </c>
      <c r="B951" s="9">
        <v>7362592</v>
      </c>
      <c r="C951" s="17"/>
      <c r="D951" s="7">
        <f>(Table4[[#This Row],[WALCL]]/1000)/19222</f>
        <v>0.38302944542711476</v>
      </c>
    </row>
    <row r="952" spans="1:4" x14ac:dyDescent="0.2">
      <c r="A952" s="10">
        <v>44188</v>
      </c>
      <c r="B952" s="9">
        <v>7404039</v>
      </c>
      <c r="C952" s="17"/>
      <c r="D952" s="7">
        <f>(Table4[[#This Row],[WALCL]]/1000)/19222</f>
        <v>0.38518567266673603</v>
      </c>
    </row>
    <row r="953" spans="1:4" x14ac:dyDescent="0.2">
      <c r="A953" s="10">
        <v>44195</v>
      </c>
      <c r="B953" s="9">
        <v>7363351</v>
      </c>
      <c r="C953" s="17"/>
      <c r="D953" s="7">
        <f>(Table4[[#This Row],[WALCL]]/1000)/19222</f>
        <v>0.3830689314327333</v>
      </c>
    </row>
    <row r="954" spans="1:4" x14ac:dyDescent="0.2">
      <c r="A954" s="10">
        <v>44202</v>
      </c>
      <c r="B954" s="71">
        <v>7334809</v>
      </c>
      <c r="C954" s="17"/>
      <c r="D954" s="7">
        <f>(Table4[[#This Row],[WALCL]]/1000)/19222</f>
        <v>0.38158407033607328</v>
      </c>
    </row>
    <row r="955" spans="1:4" x14ac:dyDescent="0.2">
      <c r="A955" s="10">
        <v>44209</v>
      </c>
      <c r="B955" s="71">
        <v>7333968</v>
      </c>
      <c r="C955" s="17"/>
      <c r="D955" s="7">
        <f>(Table4[[#This Row],[WALCL]]/1000)/19222</f>
        <v>0.38154031838518365</v>
      </c>
    </row>
    <row r="956" spans="1:4" x14ac:dyDescent="0.2">
      <c r="A956" s="10">
        <v>44216</v>
      </c>
      <c r="B956" s="71">
        <v>7414942</v>
      </c>
      <c r="C956" s="17"/>
      <c r="D956" s="7">
        <f>(Table4[[#This Row],[WALCL]]/1000)/19222</f>
        <v>0.38575288731661639</v>
      </c>
    </row>
    <row r="957" spans="1:4" x14ac:dyDescent="0.2">
      <c r="A957" s="10">
        <v>44223</v>
      </c>
      <c r="B957" s="71">
        <v>7404926</v>
      </c>
      <c r="C957" s="17"/>
      <c r="D957" s="7">
        <f>(Table4[[#This Row],[WALCL]]/1000)/19222</f>
        <v>0.38523181770887527</v>
      </c>
    </row>
    <row r="958" spans="1:4" x14ac:dyDescent="0.2">
      <c r="A958" s="10">
        <v>44230</v>
      </c>
      <c r="B958" s="71">
        <v>7410598</v>
      </c>
      <c r="C958" s="17"/>
      <c r="D958" s="7">
        <f>(Table4[[#This Row],[WALCL]]/1000)/19222</f>
        <v>0.38552689626469672</v>
      </c>
    </row>
    <row r="959" spans="1:4" x14ac:dyDescent="0.2">
      <c r="A959" s="10">
        <v>44237</v>
      </c>
      <c r="B959" s="71">
        <v>7442225</v>
      </c>
      <c r="C959" s="17"/>
      <c r="D959" s="7">
        <f>(Table4[[#This Row],[WALCL]]/1000)/19222</f>
        <v>0.3871722505462491</v>
      </c>
    </row>
    <row r="960" spans="1:4" x14ac:dyDescent="0.2">
      <c r="A960" s="10">
        <v>44244</v>
      </c>
      <c r="B960" s="71">
        <v>7557402</v>
      </c>
      <c r="C960" s="17"/>
      <c r="D960" s="7">
        <f>(Table4[[#This Row],[WALCL]]/1000)/19222</f>
        <v>0.39316418686921234</v>
      </c>
    </row>
    <row r="961" spans="1:4" x14ac:dyDescent="0.2">
      <c r="A961" s="10">
        <v>44251</v>
      </c>
      <c r="B961" s="71">
        <v>7590111</v>
      </c>
      <c r="C961" s="17"/>
      <c r="D961" s="7">
        <f>(Table4[[#This Row],[WALCL]]/1000)/19222</f>
        <v>0.3948658308188534</v>
      </c>
    </row>
    <row r="962" spans="1:4" x14ac:dyDescent="0.2">
      <c r="A962" s="10">
        <v>44258</v>
      </c>
      <c r="B962" s="71">
        <v>7557524</v>
      </c>
      <c r="C962" s="17"/>
      <c r="D962" s="7">
        <f>(Table4[[#This Row],[WALCL]]/1000)/19222</f>
        <v>0.39317053376339611</v>
      </c>
    </row>
    <row r="963" spans="1:4" x14ac:dyDescent="0.2">
      <c r="A963" s="10">
        <v>44265</v>
      </c>
      <c r="B963" s="71">
        <v>7579901</v>
      </c>
      <c r="C963" s="17"/>
      <c r="D963" s="7">
        <f>(Table4[[#This Row],[WALCL]]/1000)/19222</f>
        <v>0.39433466860888566</v>
      </c>
    </row>
    <row r="964" spans="1:4" x14ac:dyDescent="0.2">
      <c r="A964" s="10">
        <v>44272</v>
      </c>
      <c r="B964" s="71">
        <v>7693506</v>
      </c>
      <c r="C964" s="17"/>
      <c r="D964" s="7">
        <f>(Table4[[#This Row],[WALCL]]/1000)/19222</f>
        <v>0.40024482363957964</v>
      </c>
    </row>
    <row r="965" spans="1:4" x14ac:dyDescent="0.2">
      <c r="A965" s="10">
        <v>44279</v>
      </c>
      <c r="B965" s="71">
        <v>7719622</v>
      </c>
      <c r="C965" s="17"/>
      <c r="D965" s="7">
        <f>(Table4[[#This Row],[WALCL]]/1000)/19222</f>
        <v>0.40160347518468426</v>
      </c>
    </row>
    <row r="966" spans="1:4" x14ac:dyDescent="0.2">
      <c r="A966" s="10">
        <v>44286</v>
      </c>
      <c r="B966" s="71">
        <v>7688988</v>
      </c>
      <c r="C966" s="17"/>
      <c r="D966" s="7">
        <f>(Table4[[#This Row],[WALCL]]/1000)/19222</f>
        <v>0.40000978045988972</v>
      </c>
    </row>
    <row r="967" spans="1:4" x14ac:dyDescent="0.2">
      <c r="A967" s="10">
        <v>44293</v>
      </c>
      <c r="B967" s="71">
        <v>7708882</v>
      </c>
      <c r="C967" s="17"/>
      <c r="D967" s="7">
        <f>(Table4[[#This Row],[WALCL]]/1000)/19222</f>
        <v>0.40104474040162313</v>
      </c>
    </row>
    <row r="968" spans="1:4" x14ac:dyDescent="0.2">
      <c r="A968" s="10">
        <v>44300</v>
      </c>
      <c r="B968" s="71">
        <v>7793104</v>
      </c>
      <c r="C968" s="17"/>
      <c r="D968" s="7">
        <f>(Table4[[#This Row],[WALCL]]/1000)/19222</f>
        <v>0.40542628238476747</v>
      </c>
    </row>
    <row r="969" spans="1:4" x14ac:dyDescent="0.2">
      <c r="A969" s="10">
        <v>44307</v>
      </c>
      <c r="B969" s="71">
        <v>7820948</v>
      </c>
      <c r="C969" s="17"/>
      <c r="D969" s="7">
        <f>(Table4[[#This Row],[WALCL]]/1000)/19222</f>
        <v>0.40687483092290083</v>
      </c>
    </row>
    <row r="970" spans="1:4" x14ac:dyDescent="0.2">
      <c r="A970" s="10">
        <v>44314</v>
      </c>
      <c r="B970" s="71">
        <v>7780962</v>
      </c>
      <c r="C970" s="17"/>
      <c r="D970" s="7">
        <f>(Table4[[#This Row],[WALCL]]/1000)/19222</f>
        <v>0.40479461034231612</v>
      </c>
    </row>
    <row r="971" spans="1:4" x14ac:dyDescent="0.2">
      <c r="A971" s="10">
        <v>44321</v>
      </c>
      <c r="B971" s="71">
        <v>7810486</v>
      </c>
      <c r="C971" s="17"/>
      <c r="D971" s="7">
        <f>(Table4[[#This Row],[WALCL]]/1000)/19222</f>
        <v>0.40633055873478308</v>
      </c>
    </row>
    <row r="972" spans="1:4" x14ac:dyDescent="0.2">
      <c r="A972" s="10">
        <v>44328</v>
      </c>
      <c r="B972" s="71">
        <v>7830663</v>
      </c>
      <c r="C972" s="17"/>
      <c r="D972" s="7">
        <f>(Table4[[#This Row],[WALCL]]/1000)/19222</f>
        <v>0.40738024139007384</v>
      </c>
    </row>
    <row r="973" spans="1:4" x14ac:dyDescent="0.2">
      <c r="A973" s="10">
        <v>44335</v>
      </c>
      <c r="B973" s="71">
        <v>7922883</v>
      </c>
      <c r="C973" s="17"/>
      <c r="D973" s="7">
        <f>(Table4[[#This Row],[WALCL]]/1000)/19222</f>
        <v>0.41217786910831339</v>
      </c>
    </row>
    <row r="974" spans="1:4" x14ac:dyDescent="0.2">
      <c r="A974" s="10">
        <v>44342</v>
      </c>
      <c r="B974" s="71">
        <v>7903541</v>
      </c>
      <c r="C974" s="17"/>
      <c r="D974" s="7">
        <f>(Table4[[#This Row],[WALCL]]/1000)/19222</f>
        <v>0.41117162626157527</v>
      </c>
    </row>
    <row r="975" spans="1:4" x14ac:dyDescent="0.2">
      <c r="A975" s="10">
        <v>44349</v>
      </c>
      <c r="B975" s="71">
        <v>7935703</v>
      </c>
      <c r="C975" s="17"/>
      <c r="D975" s="7">
        <f>(Table4[[#This Row],[WALCL]]/1000)/19222</f>
        <v>0.41284481323483513</v>
      </c>
    </row>
    <row r="976" spans="1:4" x14ac:dyDescent="0.2">
      <c r="A976" s="10">
        <v>44356</v>
      </c>
      <c r="B976" s="71">
        <v>7952327</v>
      </c>
      <c r="C976" s="17"/>
      <c r="D976" s="7">
        <f>(Table4[[#This Row],[WALCL]]/1000)/19222</f>
        <v>0.41370965560295497</v>
      </c>
    </row>
    <row r="977" spans="1:4" x14ac:dyDescent="0.2">
      <c r="A977" s="10">
        <v>44363</v>
      </c>
      <c r="B977" s="71">
        <v>8064257</v>
      </c>
      <c r="C977" s="17"/>
      <c r="D977" s="7">
        <f>(Table4[[#This Row],[WALCL]]/1000)/19222</f>
        <v>0.41953267089792945</v>
      </c>
    </row>
    <row r="978" spans="1:4" x14ac:dyDescent="0.2">
      <c r="A978" s="10">
        <v>44370</v>
      </c>
      <c r="B978" s="71">
        <v>8101945</v>
      </c>
      <c r="C978" s="17"/>
      <c r="D978" s="7">
        <f>(Table4[[#This Row],[WALCL]]/1000)/19222</f>
        <v>0.42149334096347935</v>
      </c>
    </row>
    <row r="979" spans="1:4" x14ac:dyDescent="0.2">
      <c r="A979" s="10">
        <v>44377</v>
      </c>
      <c r="B979" s="71">
        <v>8078544</v>
      </c>
      <c r="C979" s="17"/>
      <c r="D979" s="7">
        <f>(Table4[[#This Row],[WALCL]]/1000)/19222</f>
        <v>0.42027593382582457</v>
      </c>
    </row>
    <row r="980" spans="1:4" x14ac:dyDescent="0.2">
      <c r="A980" s="10">
        <v>44384</v>
      </c>
      <c r="B980" s="71">
        <v>8097773</v>
      </c>
      <c r="C980" s="17"/>
      <c r="D980" s="7">
        <f>(Table4[[#This Row],[WALCL]]/1000)/19222</f>
        <v>0.42127629799188432</v>
      </c>
    </row>
    <row r="981" spans="1:4" x14ac:dyDescent="0.2">
      <c r="A981" s="10">
        <v>44391</v>
      </c>
      <c r="B981" s="71">
        <v>8201651</v>
      </c>
      <c r="C981" s="17"/>
      <c r="D981" s="7">
        <f>(Table4[[#This Row],[WALCL]]/1000)/19222</f>
        <v>0.42668041827073144</v>
      </c>
    </row>
    <row r="982" spans="1:4" x14ac:dyDescent="0.2">
      <c r="A982" s="10">
        <v>44398</v>
      </c>
      <c r="B982" s="71">
        <v>8240530</v>
      </c>
      <c r="C982" s="17"/>
      <c r="D982" s="7">
        <f>(Table4[[#This Row],[WALCL]]/1000)/19222</f>
        <v>0.42870304859015712</v>
      </c>
    </row>
    <row r="983" spans="1:4" x14ac:dyDescent="0.2">
      <c r="A983" s="10">
        <v>44405</v>
      </c>
      <c r="B983" s="71">
        <v>8221473</v>
      </c>
      <c r="C983" s="17"/>
      <c r="D983" s="7">
        <f>(Table4[[#This Row],[WALCL]]/1000)/19222</f>
        <v>0.42771163250442201</v>
      </c>
    </row>
    <row r="984" spans="1:4" x14ac:dyDescent="0.2">
      <c r="A984" s="10">
        <v>44412</v>
      </c>
      <c r="B984" s="71">
        <v>8235073</v>
      </c>
      <c r="C984" s="17"/>
      <c r="D984" s="7">
        <f>(Table4[[#This Row],[WALCL]]/1000)/19222</f>
        <v>0.42841915513474144</v>
      </c>
    </row>
    <row r="985" spans="1:4" x14ac:dyDescent="0.2">
      <c r="A985" s="10">
        <v>44419</v>
      </c>
      <c r="B985" s="71">
        <v>8257159</v>
      </c>
      <c r="C985" s="17"/>
      <c r="D985" s="7">
        <f>(Table4[[#This Row],[WALCL]]/1000)/19222</f>
        <v>0.42956815107689106</v>
      </c>
    </row>
    <row r="986" spans="1:4" x14ac:dyDescent="0.2">
      <c r="A986" s="10">
        <v>44426</v>
      </c>
      <c r="B986" s="71">
        <v>8342598</v>
      </c>
      <c r="C986" s="17"/>
      <c r="D986" s="7">
        <f>(Table4[[#This Row],[WALCL]]/1000)/19222</f>
        <v>0.43401300593070441</v>
      </c>
    </row>
    <row r="987" spans="1:4" x14ac:dyDescent="0.2">
      <c r="A987" s="10">
        <v>44433</v>
      </c>
      <c r="B987" s="71">
        <v>8332743</v>
      </c>
      <c r="C987" s="17"/>
      <c r="D987" s="7">
        <f>(Table4[[#This Row],[WALCL]]/1000)/19222</f>
        <v>0.43350031214233692</v>
      </c>
    </row>
    <row r="988" spans="1:4" x14ac:dyDescent="0.2">
      <c r="A988" s="10">
        <v>44440</v>
      </c>
      <c r="B988" s="71">
        <v>8349173</v>
      </c>
      <c r="C988" s="17"/>
      <c r="D988" s="7">
        <f>(Table4[[#This Row],[WALCL]]/1000)/19222</f>
        <v>0.4343550619082302</v>
      </c>
    </row>
    <row r="989" spans="1:4" x14ac:dyDescent="0.2">
      <c r="A989" s="10">
        <v>44447</v>
      </c>
      <c r="B989" s="71">
        <v>8357314</v>
      </c>
      <c r="C989" s="17"/>
      <c r="D989" s="7">
        <f>(Table4[[#This Row],[WALCL]]/1000)/19222</f>
        <v>0.43477858703568828</v>
      </c>
    </row>
    <row r="990" spans="1:4" x14ac:dyDescent="0.2">
      <c r="A990" s="10">
        <v>44454</v>
      </c>
      <c r="B990" s="71">
        <v>8448770</v>
      </c>
      <c r="C990" s="17"/>
      <c r="D990" s="7">
        <f>(Table4[[#This Row],[WALCL]]/1000)/19222</f>
        <v>0.43953646862969514</v>
      </c>
    </row>
  </sheetData>
  <hyperlinks>
    <hyperlink ref="A1" r:id="rId1" xr:uid="{093A4884-0A37-41CA-8FB1-0EF74393238B}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908D9-E6F6-4CCC-B985-637CB95CBC31}">
  <dimension ref="A1:D286"/>
  <sheetViews>
    <sheetView zoomScale="160" zoomScaleNormal="160" workbookViewId="0">
      <selection activeCell="I5" sqref="I5"/>
    </sheetView>
  </sheetViews>
  <sheetFormatPr baseColWidth="10" defaultColWidth="9.1640625" defaultRowHeight="15" x14ac:dyDescent="0.2"/>
  <cols>
    <col min="1" max="1" width="20.1640625" style="1" customWidth="1"/>
    <col min="2" max="2" width="14.1640625" style="1" customWidth="1"/>
    <col min="3" max="3" width="9.1640625" style="1"/>
    <col min="4" max="4" width="10.1640625" style="1" bestFit="1" customWidth="1"/>
    <col min="5" max="16384" width="9.1640625" style="1"/>
  </cols>
  <sheetData>
    <row r="1" spans="1:4" x14ac:dyDescent="0.2">
      <c r="A1" s="20" t="s">
        <v>40</v>
      </c>
      <c r="B1" s="20"/>
    </row>
    <row r="2" spans="1:4" x14ac:dyDescent="0.2">
      <c r="A2" s="20" t="s">
        <v>44</v>
      </c>
      <c r="B2" s="20" t="s">
        <v>45</v>
      </c>
    </row>
    <row r="3" spans="1:4" x14ac:dyDescent="0.2">
      <c r="B3" s="13"/>
    </row>
    <row r="4" spans="1:4" ht="16" thickBot="1" x14ac:dyDescent="0.25">
      <c r="A4" s="20" t="s">
        <v>46</v>
      </c>
      <c r="B4" s="20"/>
    </row>
    <row r="5" spans="1:4" ht="86" thickBot="1" x14ac:dyDescent="0.25">
      <c r="A5" s="40" t="s">
        <v>20</v>
      </c>
      <c r="B5" s="41" t="s">
        <v>51</v>
      </c>
      <c r="C5" s="41" t="s">
        <v>47</v>
      </c>
      <c r="D5" s="42" t="s">
        <v>50</v>
      </c>
    </row>
    <row r="6" spans="1:4" x14ac:dyDescent="0.2">
      <c r="A6" s="37">
        <v>35886</v>
      </c>
      <c r="B6" s="38">
        <v>800652</v>
      </c>
      <c r="C6" s="29">
        <v>15641.259765999999</v>
      </c>
      <c r="D6" s="39">
        <v>0.17845648951229443</v>
      </c>
    </row>
    <row r="7" spans="1:4" x14ac:dyDescent="0.2">
      <c r="A7" s="23">
        <v>35916</v>
      </c>
      <c r="B7" s="30">
        <v>771888</v>
      </c>
      <c r="C7" s="31">
        <v>15670.780273</v>
      </c>
      <c r="D7" s="32">
        <v>0.17204531154192573</v>
      </c>
    </row>
    <row r="8" spans="1:4" x14ac:dyDescent="0.2">
      <c r="A8" s="23">
        <v>35947</v>
      </c>
      <c r="B8" s="30">
        <v>753964</v>
      </c>
      <c r="C8" s="31">
        <v>15830.269531</v>
      </c>
      <c r="D8" s="32">
        <v>0.16805024986966566</v>
      </c>
    </row>
    <row r="9" spans="1:4" x14ac:dyDescent="0.2">
      <c r="A9" s="23">
        <v>35977</v>
      </c>
      <c r="B9" s="30">
        <v>724375</v>
      </c>
      <c r="C9" s="31">
        <v>16378.969727</v>
      </c>
      <c r="D9" s="32">
        <v>0.16116920680832128</v>
      </c>
    </row>
    <row r="10" spans="1:4" x14ac:dyDescent="0.2">
      <c r="A10" s="23">
        <v>36008</v>
      </c>
      <c r="B10" s="30">
        <v>763742</v>
      </c>
      <c r="C10" s="31">
        <v>14107.889648</v>
      </c>
      <c r="D10" s="32">
        <v>0.16992813438647233</v>
      </c>
    </row>
    <row r="11" spans="1:4" x14ac:dyDescent="0.2">
      <c r="A11" s="23">
        <v>36039</v>
      </c>
      <c r="B11" s="30">
        <v>783667</v>
      </c>
      <c r="C11" s="31">
        <v>13406.389648</v>
      </c>
      <c r="D11" s="32">
        <v>0.17436133051507396</v>
      </c>
    </row>
    <row r="12" spans="1:4" x14ac:dyDescent="0.2">
      <c r="A12" s="23">
        <v>36069</v>
      </c>
      <c r="B12" s="30">
        <v>775368</v>
      </c>
      <c r="C12" s="31">
        <v>13564.509765999999</v>
      </c>
      <c r="D12" s="32">
        <v>0.1711849071999979</v>
      </c>
    </row>
    <row r="13" spans="1:4" x14ac:dyDescent="0.2">
      <c r="A13" s="23">
        <v>36100</v>
      </c>
      <c r="B13" s="30">
        <v>883012</v>
      </c>
      <c r="C13" s="31">
        <v>14883.700194999999</v>
      </c>
      <c r="D13" s="32">
        <v>0.19495043292537806</v>
      </c>
    </row>
    <row r="14" spans="1:4" x14ac:dyDescent="0.2">
      <c r="A14" s="23">
        <v>36130</v>
      </c>
      <c r="B14" s="30">
        <v>912382</v>
      </c>
      <c r="C14" s="31">
        <v>13842.169921999999</v>
      </c>
      <c r="D14" s="32">
        <v>0.20143470971325675</v>
      </c>
    </row>
    <row r="15" spans="1:4" x14ac:dyDescent="0.2">
      <c r="A15" s="23">
        <v>36161</v>
      </c>
      <c r="B15" s="30">
        <v>797188</v>
      </c>
      <c r="C15" s="31">
        <v>14499.25</v>
      </c>
      <c r="D15" s="32">
        <v>0.17825928485019243</v>
      </c>
    </row>
    <row r="16" spans="1:4" x14ac:dyDescent="0.2">
      <c r="A16" s="23">
        <v>36192</v>
      </c>
      <c r="B16" s="30">
        <v>755897</v>
      </c>
      <c r="C16" s="31">
        <v>14367.540039</v>
      </c>
      <c r="D16" s="32">
        <v>0.16902620039489541</v>
      </c>
    </row>
    <row r="17" spans="1:4" x14ac:dyDescent="0.2">
      <c r="A17" s="23">
        <v>36220</v>
      </c>
      <c r="B17" s="30">
        <v>797450</v>
      </c>
      <c r="C17" s="31">
        <v>15836.589844</v>
      </c>
      <c r="D17" s="32">
        <v>0.17831787069522614</v>
      </c>
    </row>
    <row r="18" spans="1:4" x14ac:dyDescent="0.2">
      <c r="A18" s="23">
        <v>36251</v>
      </c>
      <c r="B18" s="30">
        <v>791152</v>
      </c>
      <c r="C18" s="31">
        <v>16701.529297000001</v>
      </c>
      <c r="D18" s="32">
        <v>0.1763065852677462</v>
      </c>
    </row>
    <row r="19" spans="1:4" x14ac:dyDescent="0.2">
      <c r="A19" s="23">
        <v>36281</v>
      </c>
      <c r="B19" s="30">
        <v>744742</v>
      </c>
      <c r="C19" s="31">
        <v>16111.650390999999</v>
      </c>
      <c r="D19" s="32">
        <v>0.16596421285097154</v>
      </c>
    </row>
    <row r="20" spans="1:4" x14ac:dyDescent="0.2">
      <c r="A20" s="23">
        <v>36312</v>
      </c>
      <c r="B20" s="30">
        <v>734211</v>
      </c>
      <c r="C20" s="31">
        <v>17529.740234000001</v>
      </c>
      <c r="D20" s="32">
        <v>0.16361740130343755</v>
      </c>
    </row>
    <row r="21" spans="1:4" x14ac:dyDescent="0.2">
      <c r="A21" s="23">
        <v>36342</v>
      </c>
      <c r="B21" s="30">
        <v>686329</v>
      </c>
      <c r="C21" s="31">
        <v>17861.859375</v>
      </c>
      <c r="D21" s="32">
        <v>0.15208873292370312</v>
      </c>
    </row>
    <row r="22" spans="1:4" x14ac:dyDescent="0.2">
      <c r="A22" s="23">
        <v>36373</v>
      </c>
      <c r="B22" s="30">
        <v>680224</v>
      </c>
      <c r="C22" s="31">
        <v>17436.560547000001</v>
      </c>
      <c r="D22" s="32">
        <v>0.15073588069904234</v>
      </c>
    </row>
    <row r="23" spans="1:4" x14ac:dyDescent="0.2">
      <c r="A23" s="23">
        <v>36404</v>
      </c>
      <c r="B23" s="30">
        <v>688207</v>
      </c>
      <c r="C23" s="31">
        <v>17605.460938</v>
      </c>
      <c r="D23" s="32">
        <v>0.15250489287094521</v>
      </c>
    </row>
    <row r="24" spans="1:4" x14ac:dyDescent="0.2">
      <c r="A24" s="23">
        <v>36434</v>
      </c>
      <c r="B24" s="30">
        <v>680064</v>
      </c>
      <c r="C24" s="31">
        <v>17942.080077999999</v>
      </c>
      <c r="D24" s="32">
        <v>0.15061558325932453</v>
      </c>
    </row>
    <row r="25" spans="1:4" x14ac:dyDescent="0.2">
      <c r="A25" s="23">
        <v>36465</v>
      </c>
      <c r="B25" s="30">
        <v>841508</v>
      </c>
      <c r="C25" s="31">
        <v>18558.230468999998</v>
      </c>
      <c r="D25" s="32">
        <v>0.18637101543000026</v>
      </c>
    </row>
    <row r="26" spans="1:4" x14ac:dyDescent="0.2">
      <c r="A26" s="23">
        <v>36495</v>
      </c>
      <c r="B26" s="30">
        <v>1113478</v>
      </c>
      <c r="C26" s="31">
        <v>18934.339843999998</v>
      </c>
      <c r="D26" s="32">
        <v>0.24660493485381699</v>
      </c>
    </row>
    <row r="27" spans="1:4" x14ac:dyDescent="0.2">
      <c r="A27" s="23">
        <v>36526</v>
      </c>
      <c r="B27" s="30">
        <v>905251</v>
      </c>
      <c r="C27" s="31">
        <v>19539.699218999998</v>
      </c>
      <c r="D27" s="32">
        <v>0.19692619273184894</v>
      </c>
    </row>
    <row r="28" spans="1:4" x14ac:dyDescent="0.2">
      <c r="A28" s="23">
        <v>36557</v>
      </c>
      <c r="B28" s="30">
        <v>941085</v>
      </c>
      <c r="C28" s="31">
        <v>19959.519531000002</v>
      </c>
      <c r="D28" s="32">
        <v>0.20472143757593425</v>
      </c>
    </row>
    <row r="29" spans="1:4" x14ac:dyDescent="0.2">
      <c r="A29" s="23">
        <v>36586</v>
      </c>
      <c r="B29" s="30">
        <v>1062017</v>
      </c>
      <c r="C29" s="31">
        <v>20337.320313</v>
      </c>
      <c r="D29" s="32">
        <v>0.23102870300778458</v>
      </c>
    </row>
    <row r="30" spans="1:4" x14ac:dyDescent="0.2">
      <c r="A30" s="23">
        <v>36617</v>
      </c>
      <c r="B30" s="30">
        <v>797289</v>
      </c>
      <c r="C30" s="31">
        <v>17973.699218999998</v>
      </c>
      <c r="D30" s="32">
        <v>0.17296006591359772</v>
      </c>
    </row>
    <row r="31" spans="1:4" x14ac:dyDescent="0.2">
      <c r="A31" s="23">
        <v>36647</v>
      </c>
      <c r="B31" s="30">
        <v>838507</v>
      </c>
      <c r="C31" s="31">
        <v>16332.450194999999</v>
      </c>
      <c r="D31" s="32">
        <v>0.18190170187850715</v>
      </c>
    </row>
    <row r="32" spans="1:4" x14ac:dyDescent="0.2">
      <c r="A32" s="23">
        <v>36678</v>
      </c>
      <c r="B32" s="30">
        <v>837194</v>
      </c>
      <c r="C32" s="31">
        <v>17411.050781000002</v>
      </c>
      <c r="D32" s="32">
        <v>0.1816168659325145</v>
      </c>
    </row>
    <row r="33" spans="1:4" x14ac:dyDescent="0.2">
      <c r="A33" s="23">
        <v>36708</v>
      </c>
      <c r="B33" s="30">
        <v>807840</v>
      </c>
      <c r="C33" s="31">
        <v>15727.490234000001</v>
      </c>
      <c r="D33" s="32">
        <v>0.17511196487876188</v>
      </c>
    </row>
    <row r="34" spans="1:4" x14ac:dyDescent="0.2">
      <c r="A34" s="23">
        <v>36739</v>
      </c>
      <c r="B34" s="30">
        <v>885391</v>
      </c>
      <c r="C34" s="31">
        <v>16861.259765999999</v>
      </c>
      <c r="D34" s="32">
        <v>0.1919223580114526</v>
      </c>
    </row>
    <row r="35" spans="1:4" x14ac:dyDescent="0.2">
      <c r="A35" s="23">
        <v>36770</v>
      </c>
      <c r="B35" s="30">
        <v>853390</v>
      </c>
      <c r="C35" s="31">
        <v>15747.259765999999</v>
      </c>
      <c r="D35" s="32">
        <v>0.18498564035933676</v>
      </c>
    </row>
    <row r="36" spans="1:4" x14ac:dyDescent="0.2">
      <c r="A36" s="23">
        <v>36800</v>
      </c>
      <c r="B36" s="30">
        <v>920988</v>
      </c>
      <c r="C36" s="31">
        <v>14539.599609000001</v>
      </c>
      <c r="D36" s="32">
        <v>0.1977137466942625</v>
      </c>
    </row>
    <row r="37" spans="1:4" x14ac:dyDescent="0.2">
      <c r="A37" s="23">
        <v>36831</v>
      </c>
      <c r="B37" s="30">
        <v>1054097</v>
      </c>
      <c r="C37" s="31">
        <v>14648.509765999999</v>
      </c>
      <c r="D37" s="32">
        <v>0.22628901489398562</v>
      </c>
    </row>
    <row r="38" spans="1:4" x14ac:dyDescent="0.2">
      <c r="A38" s="23">
        <v>36861</v>
      </c>
      <c r="B38" s="30">
        <v>1067962</v>
      </c>
      <c r="C38" s="31">
        <v>13785.690430000001</v>
      </c>
      <c r="D38" s="32">
        <v>0.2292654935211946</v>
      </c>
    </row>
    <row r="39" spans="1:4" x14ac:dyDescent="0.2">
      <c r="A39" s="23">
        <v>36892</v>
      </c>
      <c r="B39" s="30">
        <v>1078487</v>
      </c>
      <c r="C39" s="31">
        <v>13843.549805000001</v>
      </c>
      <c r="D39" s="32">
        <v>0.23027235024537057</v>
      </c>
    </row>
    <row r="40" spans="1:4" x14ac:dyDescent="0.2">
      <c r="A40" s="23">
        <v>36923</v>
      </c>
      <c r="B40" s="30">
        <v>1102160</v>
      </c>
      <c r="C40" s="31">
        <v>12883.540039</v>
      </c>
      <c r="D40" s="32">
        <v>0.23532687324598039</v>
      </c>
    </row>
    <row r="41" spans="1:4" x14ac:dyDescent="0.2">
      <c r="A41" s="23">
        <v>36951</v>
      </c>
      <c r="B41" s="30">
        <v>1150959</v>
      </c>
      <c r="C41" s="31">
        <v>12999.700194999999</v>
      </c>
      <c r="D41" s="32">
        <v>0.24574615546229253</v>
      </c>
    </row>
    <row r="42" spans="1:4" x14ac:dyDescent="0.2">
      <c r="A42" s="23">
        <v>36982</v>
      </c>
      <c r="B42" s="30">
        <v>1123259</v>
      </c>
      <c r="C42" s="31">
        <v>13934.320313</v>
      </c>
      <c r="D42" s="32">
        <v>0.24101741255048556</v>
      </c>
    </row>
    <row r="43" spans="1:4" x14ac:dyDescent="0.2">
      <c r="A43" s="23">
        <v>37012</v>
      </c>
      <c r="B43" s="30">
        <v>1138146</v>
      </c>
      <c r="C43" s="31">
        <v>13262.139648</v>
      </c>
      <c r="D43" s="32">
        <v>0.24421171254776056</v>
      </c>
    </row>
    <row r="44" spans="1:4" x14ac:dyDescent="0.2">
      <c r="A44" s="23">
        <v>37043</v>
      </c>
      <c r="B44" s="30">
        <v>1169329</v>
      </c>
      <c r="C44" s="31">
        <v>12969.049805000001</v>
      </c>
      <c r="D44" s="32">
        <v>0.25090264133227219</v>
      </c>
    </row>
    <row r="45" spans="1:4" x14ac:dyDescent="0.2">
      <c r="A45" s="23">
        <v>37073</v>
      </c>
      <c r="B45" s="30">
        <v>1163779</v>
      </c>
      <c r="C45" s="31">
        <v>11860.769531</v>
      </c>
      <c r="D45" s="32">
        <v>0.25228284543245566</v>
      </c>
    </row>
    <row r="46" spans="1:4" x14ac:dyDescent="0.2">
      <c r="A46" s="23">
        <v>37104</v>
      </c>
      <c r="B46" s="30">
        <v>1133882</v>
      </c>
      <c r="C46" s="31">
        <v>10713.509765999999</v>
      </c>
      <c r="D46" s="32">
        <v>0.24580180373133018</v>
      </c>
    </row>
    <row r="47" spans="1:4" x14ac:dyDescent="0.2">
      <c r="A47" s="23">
        <v>37135</v>
      </c>
      <c r="B47" s="30">
        <v>1156156</v>
      </c>
      <c r="C47" s="31">
        <v>9774.6796880000002</v>
      </c>
      <c r="D47" s="32">
        <v>0.25063033913123217</v>
      </c>
    </row>
    <row r="48" spans="1:4" x14ac:dyDescent="0.2">
      <c r="A48" s="23">
        <v>37165</v>
      </c>
      <c r="B48" s="30">
        <v>1107271</v>
      </c>
      <c r="C48" s="31">
        <v>10366.339844</v>
      </c>
      <c r="D48" s="32">
        <v>0.24077107035796308</v>
      </c>
    </row>
    <row r="49" spans="1:4" x14ac:dyDescent="0.2">
      <c r="A49" s="23">
        <v>37196</v>
      </c>
      <c r="B49" s="30">
        <v>1133942</v>
      </c>
      <c r="C49" s="31">
        <v>10697.440430000001</v>
      </c>
      <c r="D49" s="32">
        <v>0.24657055866526745</v>
      </c>
    </row>
    <row r="50" spans="1:4" x14ac:dyDescent="0.2">
      <c r="A50" s="23">
        <v>37226</v>
      </c>
      <c r="B50" s="30">
        <v>1175079</v>
      </c>
      <c r="C50" s="31">
        <v>10542.620117</v>
      </c>
      <c r="D50" s="32">
        <v>0.25551561323755873</v>
      </c>
    </row>
    <row r="51" spans="1:4" x14ac:dyDescent="0.2">
      <c r="A51" s="23">
        <v>37257</v>
      </c>
      <c r="B51" s="30">
        <v>1224388</v>
      </c>
      <c r="C51" s="31">
        <v>9997.7998050000006</v>
      </c>
      <c r="D51" s="32">
        <v>0.26576491512760703</v>
      </c>
    </row>
    <row r="52" spans="1:4" x14ac:dyDescent="0.2">
      <c r="A52" s="23">
        <v>37288</v>
      </c>
      <c r="B52" s="30">
        <v>1313520</v>
      </c>
      <c r="C52" s="31">
        <v>10587.830078000001</v>
      </c>
      <c r="D52" s="32">
        <v>0.28511185287540747</v>
      </c>
    </row>
    <row r="53" spans="1:4" x14ac:dyDescent="0.2">
      <c r="A53" s="23">
        <v>37316</v>
      </c>
      <c r="B53" s="30">
        <v>1385648</v>
      </c>
      <c r="C53" s="31">
        <v>11024.940430000001</v>
      </c>
      <c r="D53" s="32">
        <v>0.30076791271781361</v>
      </c>
    </row>
    <row r="54" spans="1:4" x14ac:dyDescent="0.2">
      <c r="A54" s="23">
        <v>37347</v>
      </c>
      <c r="B54" s="30">
        <v>1328094</v>
      </c>
      <c r="C54" s="31">
        <v>11492.540039</v>
      </c>
      <c r="D54" s="32">
        <v>0.28616979786379021</v>
      </c>
    </row>
    <row r="55" spans="1:4" x14ac:dyDescent="0.2">
      <c r="A55" s="23">
        <v>37377</v>
      </c>
      <c r="B55" s="30">
        <v>1279453</v>
      </c>
      <c r="C55" s="31">
        <v>11763.700194999999</v>
      </c>
      <c r="D55" s="32">
        <v>0.27568892441816617</v>
      </c>
    </row>
    <row r="56" spans="1:4" x14ac:dyDescent="0.2">
      <c r="A56" s="23">
        <v>37408</v>
      </c>
      <c r="B56" s="30">
        <v>1241193</v>
      </c>
      <c r="C56" s="31">
        <v>10621.839844</v>
      </c>
      <c r="D56" s="32">
        <v>0.26744488712391695</v>
      </c>
    </row>
    <row r="57" spans="1:4" x14ac:dyDescent="0.2">
      <c r="A57" s="23">
        <v>37438</v>
      </c>
      <c r="B57" s="30">
        <v>1265421</v>
      </c>
      <c r="C57" s="31">
        <v>9877.9404300000006</v>
      </c>
      <c r="D57" s="32">
        <v>0.27180189162729179</v>
      </c>
    </row>
    <row r="58" spans="1:4" x14ac:dyDescent="0.2">
      <c r="A58" s="23">
        <v>37469</v>
      </c>
      <c r="B58" s="30">
        <v>1284793</v>
      </c>
      <c r="C58" s="31">
        <v>9619.2998050000006</v>
      </c>
      <c r="D58" s="32">
        <v>0.27596283588584597</v>
      </c>
    </row>
    <row r="59" spans="1:4" x14ac:dyDescent="0.2">
      <c r="A59" s="23">
        <v>37500</v>
      </c>
      <c r="B59" s="30">
        <v>1244691</v>
      </c>
      <c r="C59" s="31">
        <v>9383.2900389999995</v>
      </c>
      <c r="D59" s="32">
        <v>0.26734926027896283</v>
      </c>
    </row>
    <row r="60" spans="1:4" x14ac:dyDescent="0.2">
      <c r="A60" s="23">
        <v>37530</v>
      </c>
      <c r="B60" s="30">
        <v>1246432</v>
      </c>
      <c r="C60" s="31">
        <v>8640.4804690000001</v>
      </c>
      <c r="D60" s="32">
        <v>0.267028465523384</v>
      </c>
    </row>
    <row r="61" spans="1:4" x14ac:dyDescent="0.2">
      <c r="A61" s="23">
        <v>37561</v>
      </c>
      <c r="B61" s="30">
        <v>1250866</v>
      </c>
      <c r="C61" s="31">
        <v>9215.5595699999994</v>
      </c>
      <c r="D61" s="32">
        <v>0.26797838033312144</v>
      </c>
    </row>
    <row r="62" spans="1:4" x14ac:dyDescent="0.2">
      <c r="A62" s="23">
        <v>37591</v>
      </c>
      <c r="B62" s="30">
        <v>1251263</v>
      </c>
      <c r="C62" s="31">
        <v>8578.9501949999994</v>
      </c>
      <c r="D62" s="32">
        <v>0.26806343134337535</v>
      </c>
    </row>
    <row r="63" spans="1:4" x14ac:dyDescent="0.2">
      <c r="A63" s="23">
        <v>37622</v>
      </c>
      <c r="B63" s="30">
        <v>1245386</v>
      </c>
      <c r="C63" s="31">
        <v>8339.9404300000006</v>
      </c>
      <c r="D63" s="32">
        <v>0.26658210035406971</v>
      </c>
    </row>
    <row r="64" spans="1:4" x14ac:dyDescent="0.2">
      <c r="A64" s="23">
        <v>37653</v>
      </c>
      <c r="B64" s="30">
        <v>1325273</v>
      </c>
      <c r="C64" s="31">
        <v>8363.0400389999995</v>
      </c>
      <c r="D64" s="32">
        <v>0.28368237629340537</v>
      </c>
    </row>
    <row r="65" spans="1:4" x14ac:dyDescent="0.2">
      <c r="A65" s="23">
        <v>37681</v>
      </c>
      <c r="B65" s="30">
        <v>1411674</v>
      </c>
      <c r="C65" s="31">
        <v>7972.7099609999996</v>
      </c>
      <c r="D65" s="32">
        <v>0.30217701173389694</v>
      </c>
    </row>
    <row r="66" spans="1:4" x14ac:dyDescent="0.2">
      <c r="A66" s="23">
        <v>37712</v>
      </c>
      <c r="B66" s="30">
        <v>1283101</v>
      </c>
      <c r="C66" s="31">
        <v>7831.419922</v>
      </c>
      <c r="D66" s="32">
        <v>0.2729451010849086</v>
      </c>
    </row>
    <row r="67" spans="1:4" x14ac:dyDescent="0.2">
      <c r="A67" s="23">
        <v>37742</v>
      </c>
      <c r="B67" s="30">
        <v>1306815</v>
      </c>
      <c r="C67" s="31">
        <v>8424.5097659999992</v>
      </c>
      <c r="D67" s="32">
        <v>0.27798961443742526</v>
      </c>
    </row>
    <row r="68" spans="1:4" x14ac:dyDescent="0.2">
      <c r="A68" s="23">
        <v>37773</v>
      </c>
      <c r="B68" s="30">
        <v>1252605</v>
      </c>
      <c r="C68" s="31">
        <v>9083.1103519999997</v>
      </c>
      <c r="D68" s="32">
        <v>0.26645790030906524</v>
      </c>
    </row>
    <row r="69" spans="1:4" x14ac:dyDescent="0.2">
      <c r="A69" s="23">
        <v>37803</v>
      </c>
      <c r="B69" s="30">
        <v>1263771</v>
      </c>
      <c r="C69" s="31">
        <v>9563.2099610000005</v>
      </c>
      <c r="D69" s="32">
        <v>0.2677995538549463</v>
      </c>
    </row>
    <row r="70" spans="1:4" x14ac:dyDescent="0.2">
      <c r="A70" s="23">
        <v>37834</v>
      </c>
      <c r="B70" s="30">
        <v>1283228</v>
      </c>
      <c r="C70" s="31">
        <v>10343.549805000001</v>
      </c>
      <c r="D70" s="32">
        <v>0.27192259190484275</v>
      </c>
    </row>
    <row r="71" spans="1:4" x14ac:dyDescent="0.2">
      <c r="A71" s="23">
        <v>37865</v>
      </c>
      <c r="B71" s="30">
        <v>1339295</v>
      </c>
      <c r="C71" s="31">
        <v>10219.049805000001</v>
      </c>
      <c r="D71" s="32">
        <v>0.28380347664265149</v>
      </c>
    </row>
    <row r="72" spans="1:4" x14ac:dyDescent="0.2">
      <c r="A72" s="23">
        <v>37895</v>
      </c>
      <c r="B72" s="30">
        <v>1322521</v>
      </c>
      <c r="C72" s="31">
        <v>10559.589844</v>
      </c>
      <c r="D72" s="32">
        <v>0.27717921756850306</v>
      </c>
    </row>
    <row r="73" spans="1:4" x14ac:dyDescent="0.2">
      <c r="A73" s="23">
        <v>37926</v>
      </c>
      <c r="B73" s="30">
        <v>1347558</v>
      </c>
      <c r="C73" s="31">
        <v>10100.570313</v>
      </c>
      <c r="D73" s="32">
        <v>0.28242657172791719</v>
      </c>
    </row>
    <row r="74" spans="1:4" x14ac:dyDescent="0.2">
      <c r="A74" s="23">
        <v>37956</v>
      </c>
      <c r="B74" s="30">
        <v>1313685</v>
      </c>
      <c r="C74" s="31">
        <v>10676.639648</v>
      </c>
      <c r="D74" s="32">
        <v>0.27532733350281691</v>
      </c>
    </row>
    <row r="75" spans="1:4" x14ac:dyDescent="0.2">
      <c r="A75" s="23">
        <v>37987</v>
      </c>
      <c r="B75" s="30">
        <v>1354300</v>
      </c>
      <c r="C75" s="31">
        <v>10783.610352</v>
      </c>
      <c r="D75" s="32">
        <v>0.28184883512332215</v>
      </c>
    </row>
    <row r="76" spans="1:4" x14ac:dyDescent="0.2">
      <c r="A76" s="23">
        <v>38018</v>
      </c>
      <c r="B76" s="30">
        <v>1405509</v>
      </c>
      <c r="C76" s="31">
        <v>11041.919921999999</v>
      </c>
      <c r="D76" s="32">
        <v>0.2925061466479697</v>
      </c>
    </row>
    <row r="77" spans="1:4" x14ac:dyDescent="0.2">
      <c r="A77" s="23">
        <v>38047</v>
      </c>
      <c r="B77" s="30">
        <v>1493819</v>
      </c>
      <c r="C77" s="31">
        <v>11715.389648</v>
      </c>
      <c r="D77" s="32">
        <v>0.31088469691729009</v>
      </c>
    </row>
    <row r="78" spans="1:4" x14ac:dyDescent="0.2">
      <c r="A78" s="23">
        <v>38078</v>
      </c>
      <c r="B78" s="30">
        <v>1382514</v>
      </c>
      <c r="C78" s="31">
        <v>11761.790039</v>
      </c>
      <c r="D78" s="32">
        <v>0.28767979284767647</v>
      </c>
    </row>
    <row r="79" spans="1:4" x14ac:dyDescent="0.2">
      <c r="A79" s="23">
        <v>38108</v>
      </c>
      <c r="B79" s="30">
        <v>1390667</v>
      </c>
      <c r="C79" s="31">
        <v>11236.370117</v>
      </c>
      <c r="D79" s="32">
        <v>0.28937630612066118</v>
      </c>
    </row>
    <row r="80" spans="1:4" x14ac:dyDescent="0.2">
      <c r="A80" s="23">
        <v>38139</v>
      </c>
      <c r="B80" s="30">
        <v>1347362</v>
      </c>
      <c r="C80" s="31">
        <v>11858.870117</v>
      </c>
      <c r="D80" s="32">
        <v>0.28036520501841655</v>
      </c>
    </row>
    <row r="81" spans="1:4" x14ac:dyDescent="0.2">
      <c r="A81" s="23">
        <v>38169</v>
      </c>
      <c r="B81" s="30">
        <v>1314783</v>
      </c>
      <c r="C81" s="31">
        <v>11325.780273</v>
      </c>
      <c r="D81" s="32">
        <v>0.27190347508632545</v>
      </c>
    </row>
    <row r="82" spans="1:4" x14ac:dyDescent="0.2">
      <c r="A82" s="23">
        <v>38200</v>
      </c>
      <c r="B82" s="30">
        <v>1382251</v>
      </c>
      <c r="C82" s="31">
        <v>11081.790039</v>
      </c>
      <c r="D82" s="32">
        <v>0.28585618337136132</v>
      </c>
    </row>
    <row r="83" spans="1:4" x14ac:dyDescent="0.2">
      <c r="A83" s="23">
        <v>38231</v>
      </c>
      <c r="B83" s="30">
        <v>1394564</v>
      </c>
      <c r="C83" s="31">
        <v>10823.570313</v>
      </c>
      <c r="D83" s="32">
        <v>0.28840257124581503</v>
      </c>
    </row>
    <row r="84" spans="1:4" x14ac:dyDescent="0.2">
      <c r="A84" s="23">
        <v>38261</v>
      </c>
      <c r="B84" s="30">
        <v>1384015</v>
      </c>
      <c r="C84" s="31">
        <v>10771.419921999999</v>
      </c>
      <c r="D84" s="32">
        <v>0.28680070033319499</v>
      </c>
    </row>
    <row r="85" spans="1:4" x14ac:dyDescent="0.2">
      <c r="A85" s="23">
        <v>38292</v>
      </c>
      <c r="B85" s="30">
        <v>1478802</v>
      </c>
      <c r="C85" s="31">
        <v>10899.25</v>
      </c>
      <c r="D85" s="32">
        <v>0.30644281258088202</v>
      </c>
    </row>
    <row r="86" spans="1:4" x14ac:dyDescent="0.2">
      <c r="A86" s="23">
        <v>38322</v>
      </c>
      <c r="B86" s="30">
        <v>1445467</v>
      </c>
      <c r="C86" s="31">
        <v>11488.759765999999</v>
      </c>
      <c r="D86" s="32">
        <v>0.29953501075387362</v>
      </c>
    </row>
    <row r="87" spans="1:4" x14ac:dyDescent="0.2">
      <c r="A87" s="23">
        <v>38353</v>
      </c>
      <c r="B87" s="30">
        <v>1473561</v>
      </c>
      <c r="C87" s="31">
        <v>11387.589844</v>
      </c>
      <c r="D87" s="32">
        <v>0.30386767218953631</v>
      </c>
    </row>
    <row r="88" spans="1:4" x14ac:dyDescent="0.2">
      <c r="A88" s="23">
        <v>38384</v>
      </c>
      <c r="B88" s="30">
        <v>1514085</v>
      </c>
      <c r="C88" s="31">
        <v>11740.599609000001</v>
      </c>
      <c r="D88" s="32">
        <v>0.31222425433836404</v>
      </c>
    </row>
    <row r="89" spans="1:4" x14ac:dyDescent="0.2">
      <c r="A89" s="23">
        <v>38412</v>
      </c>
      <c r="B89" s="30">
        <v>1505173</v>
      </c>
      <c r="C89" s="31">
        <v>11668.950194999999</v>
      </c>
      <c r="D89" s="32">
        <v>0.31038648264479102</v>
      </c>
    </row>
    <row r="90" spans="1:4" x14ac:dyDescent="0.2">
      <c r="A90" s="23">
        <v>38443</v>
      </c>
      <c r="B90" s="30">
        <v>1473513</v>
      </c>
      <c r="C90" s="31">
        <v>11008.900390999999</v>
      </c>
      <c r="D90" s="32">
        <v>0.30185573574100161</v>
      </c>
    </row>
    <row r="91" spans="1:4" x14ac:dyDescent="0.2">
      <c r="A91" s="23">
        <v>38473</v>
      </c>
      <c r="B91" s="30">
        <v>1477619</v>
      </c>
      <c r="C91" s="31">
        <v>11276.589844</v>
      </c>
      <c r="D91" s="32">
        <v>0.30269686822571845</v>
      </c>
    </row>
    <row r="92" spans="1:4" x14ac:dyDescent="0.2">
      <c r="A92" s="23">
        <v>38504</v>
      </c>
      <c r="B92" s="30">
        <v>1442122</v>
      </c>
      <c r="C92" s="31">
        <v>11584.009765999999</v>
      </c>
      <c r="D92" s="32">
        <v>0.29542514883702065</v>
      </c>
    </row>
    <row r="93" spans="1:4" x14ac:dyDescent="0.2">
      <c r="A93" s="23">
        <v>38534</v>
      </c>
      <c r="B93" s="30">
        <v>1476503</v>
      </c>
      <c r="C93" s="31">
        <v>11899.599609000001</v>
      </c>
      <c r="D93" s="32">
        <v>0.2995921375333096</v>
      </c>
    </row>
    <row r="94" spans="1:4" x14ac:dyDescent="0.2">
      <c r="A94" s="23">
        <v>38565</v>
      </c>
      <c r="B94" s="30">
        <v>1513847</v>
      </c>
      <c r="C94" s="31">
        <v>12413.599609000001</v>
      </c>
      <c r="D94" s="32">
        <v>0.30716947993223737</v>
      </c>
    </row>
    <row r="95" spans="1:4" x14ac:dyDescent="0.2">
      <c r="A95" s="23">
        <v>38596</v>
      </c>
      <c r="B95" s="30">
        <v>1481357</v>
      </c>
      <c r="C95" s="31">
        <v>13574.299805000001</v>
      </c>
      <c r="D95" s="32">
        <v>0.30057704595245049</v>
      </c>
    </row>
    <row r="96" spans="1:4" x14ac:dyDescent="0.2">
      <c r="A96" s="23">
        <v>38626</v>
      </c>
      <c r="B96" s="30">
        <v>1477546</v>
      </c>
      <c r="C96" s="31">
        <v>13606.5</v>
      </c>
      <c r="D96" s="32">
        <v>0.29926327826790389</v>
      </c>
    </row>
    <row r="97" spans="1:4" x14ac:dyDescent="0.2">
      <c r="A97" s="23">
        <v>38657</v>
      </c>
      <c r="B97" s="30">
        <v>1519701</v>
      </c>
      <c r="C97" s="31">
        <v>14872.150390999999</v>
      </c>
      <c r="D97" s="32">
        <v>0.30780138367740284</v>
      </c>
    </row>
    <row r="98" spans="1:4" x14ac:dyDescent="0.2">
      <c r="A98" s="23">
        <v>38687</v>
      </c>
      <c r="B98" s="30">
        <v>1556071</v>
      </c>
      <c r="C98" s="31">
        <v>16111.429688</v>
      </c>
      <c r="D98" s="32">
        <v>0.31516779083535507</v>
      </c>
    </row>
    <row r="99" spans="1:4" x14ac:dyDescent="0.2">
      <c r="A99" s="23">
        <v>38718</v>
      </c>
      <c r="B99" s="30">
        <v>1528656</v>
      </c>
      <c r="C99" s="31">
        <v>16649.820313</v>
      </c>
      <c r="D99" s="32">
        <v>0.30904484058977166</v>
      </c>
    </row>
    <row r="100" spans="1:4" x14ac:dyDescent="0.2">
      <c r="A100" s="23">
        <v>38749</v>
      </c>
      <c r="B100" s="30">
        <v>1523477</v>
      </c>
      <c r="C100" s="31">
        <v>16205.429688</v>
      </c>
      <c r="D100" s="32">
        <v>0.30799781416301875</v>
      </c>
    </row>
    <row r="101" spans="1:4" x14ac:dyDescent="0.2">
      <c r="A101" s="23">
        <v>38777</v>
      </c>
      <c r="B101" s="30">
        <v>1448629</v>
      </c>
      <c r="C101" s="31">
        <v>17059.660156000002</v>
      </c>
      <c r="D101" s="32">
        <v>0.29286596747647625</v>
      </c>
    </row>
    <row r="102" spans="1:4" x14ac:dyDescent="0.2">
      <c r="A102" s="23">
        <v>38808</v>
      </c>
      <c r="B102" s="30">
        <v>1299799</v>
      </c>
      <c r="C102" s="31">
        <v>16906.230468999998</v>
      </c>
      <c r="D102" s="32">
        <v>0.26213901405161383</v>
      </c>
    </row>
    <row r="103" spans="1:4" x14ac:dyDescent="0.2">
      <c r="A103" s="23">
        <v>38838</v>
      </c>
      <c r="B103" s="30">
        <v>1227935</v>
      </c>
      <c r="C103" s="31">
        <v>15467.330078000001</v>
      </c>
      <c r="D103" s="32">
        <v>0.24764572846991609</v>
      </c>
    </row>
    <row r="104" spans="1:4" x14ac:dyDescent="0.2">
      <c r="A104" s="23">
        <v>38869</v>
      </c>
      <c r="B104" s="30">
        <v>1138328</v>
      </c>
      <c r="C104" s="31">
        <v>15505.179688</v>
      </c>
      <c r="D104" s="32">
        <v>0.22957409536962678</v>
      </c>
    </row>
    <row r="105" spans="1:4" x14ac:dyDescent="0.2">
      <c r="A105" s="23">
        <v>38899</v>
      </c>
      <c r="B105" s="30">
        <v>1159675</v>
      </c>
      <c r="C105" s="31">
        <v>15456.809569999999</v>
      </c>
      <c r="D105" s="32">
        <v>0.2342979889376316</v>
      </c>
    </row>
    <row r="106" spans="1:4" x14ac:dyDescent="0.2">
      <c r="A106" s="23">
        <v>38930</v>
      </c>
      <c r="B106" s="30">
        <v>1132672</v>
      </c>
      <c r="C106" s="31">
        <v>16140.759765999999</v>
      </c>
      <c r="D106" s="32">
        <v>0.22884236680618711</v>
      </c>
    </row>
    <row r="107" spans="1:4" x14ac:dyDescent="0.2">
      <c r="A107" s="23">
        <v>38961</v>
      </c>
      <c r="B107" s="30">
        <v>1174523</v>
      </c>
      <c r="C107" s="31">
        <v>16127.580078000001</v>
      </c>
      <c r="D107" s="32">
        <v>0.23729784367257539</v>
      </c>
    </row>
    <row r="108" spans="1:4" x14ac:dyDescent="0.2">
      <c r="A108" s="23">
        <v>38991</v>
      </c>
      <c r="B108" s="30">
        <v>1151993</v>
      </c>
      <c r="C108" s="31">
        <v>16399.390625</v>
      </c>
      <c r="D108" s="32">
        <v>0.2297353998477196</v>
      </c>
    </row>
    <row r="109" spans="1:4" x14ac:dyDescent="0.2">
      <c r="A109" s="23">
        <v>39022</v>
      </c>
      <c r="B109" s="30">
        <v>1185414</v>
      </c>
      <c r="C109" s="31">
        <v>16274.330078000001</v>
      </c>
      <c r="D109" s="32">
        <v>0.23640035944236176</v>
      </c>
    </row>
    <row r="110" spans="1:4" x14ac:dyDescent="0.2">
      <c r="A110" s="23">
        <v>39052</v>
      </c>
      <c r="B110" s="30">
        <v>1155436</v>
      </c>
      <c r="C110" s="31">
        <v>17225.830077999999</v>
      </c>
      <c r="D110" s="32">
        <v>0.23042201771924808</v>
      </c>
    </row>
    <row r="111" spans="1:4" x14ac:dyDescent="0.2">
      <c r="A111" s="23">
        <v>39083</v>
      </c>
      <c r="B111" s="30">
        <v>1146223</v>
      </c>
      <c r="C111" s="31">
        <v>17383.419922000001</v>
      </c>
      <c r="D111" s="32">
        <v>0.22692501785251515</v>
      </c>
    </row>
    <row r="112" spans="1:4" x14ac:dyDescent="0.2">
      <c r="A112" s="23">
        <v>39114</v>
      </c>
      <c r="B112" s="30">
        <v>1176947</v>
      </c>
      <c r="C112" s="31">
        <v>17604.119140999999</v>
      </c>
      <c r="D112" s="32">
        <v>0.23300764248009692</v>
      </c>
    </row>
    <row r="113" spans="1:4" x14ac:dyDescent="0.2">
      <c r="A113" s="23">
        <v>39142</v>
      </c>
      <c r="B113" s="30">
        <v>1127409</v>
      </c>
      <c r="C113" s="31">
        <v>17287.650390999999</v>
      </c>
      <c r="D113" s="32">
        <v>0.22320029126277019</v>
      </c>
    </row>
    <row r="114" spans="1:4" x14ac:dyDescent="0.2">
      <c r="A114" s="23">
        <v>39173</v>
      </c>
      <c r="B114" s="30">
        <v>1060053</v>
      </c>
      <c r="C114" s="31">
        <v>17400.410156000002</v>
      </c>
      <c r="D114" s="32">
        <v>0.2096297510652515</v>
      </c>
    </row>
    <row r="115" spans="1:4" x14ac:dyDescent="0.2">
      <c r="A115" s="23">
        <v>39203</v>
      </c>
      <c r="B115" s="30">
        <v>1075105</v>
      </c>
      <c r="C115" s="31">
        <v>17875.75</v>
      </c>
      <c r="D115" s="32">
        <v>0.21260634470069631</v>
      </c>
    </row>
    <row r="116" spans="1:4" x14ac:dyDescent="0.2">
      <c r="A116" s="23">
        <v>39234</v>
      </c>
      <c r="B116" s="30">
        <v>1000712</v>
      </c>
      <c r="C116" s="31">
        <v>18138.359375</v>
      </c>
      <c r="D116" s="32">
        <v>0.19789482926609325</v>
      </c>
    </row>
    <row r="117" spans="1:4" x14ac:dyDescent="0.2">
      <c r="A117" s="23">
        <v>39264</v>
      </c>
      <c r="B117" s="30">
        <v>1077171</v>
      </c>
      <c r="C117" s="31">
        <v>17248.890625</v>
      </c>
      <c r="D117" s="32">
        <v>0.21406980469280992</v>
      </c>
    </row>
    <row r="118" spans="1:4" x14ac:dyDescent="0.2">
      <c r="A118" s="23">
        <v>39295</v>
      </c>
      <c r="B118" s="30">
        <v>1107917</v>
      </c>
      <c r="C118" s="31">
        <v>16569.089843999998</v>
      </c>
      <c r="D118" s="32">
        <v>0.22018006036724333</v>
      </c>
    </row>
    <row r="119" spans="1:4" x14ac:dyDescent="0.2">
      <c r="A119" s="23">
        <v>39326</v>
      </c>
      <c r="B119" s="30">
        <v>1110324</v>
      </c>
      <c r="C119" s="31">
        <v>16785.689452999999</v>
      </c>
      <c r="D119" s="32">
        <v>0.22065841154815666</v>
      </c>
    </row>
    <row r="120" spans="1:4" x14ac:dyDescent="0.2">
      <c r="A120" s="23">
        <v>39356</v>
      </c>
      <c r="B120" s="30">
        <v>1073472</v>
      </c>
      <c r="C120" s="31">
        <v>16737.630859000001</v>
      </c>
      <c r="D120" s="32">
        <v>0.21232976830232433</v>
      </c>
    </row>
    <row r="121" spans="1:4" x14ac:dyDescent="0.2">
      <c r="A121" s="23">
        <v>39387</v>
      </c>
      <c r="B121" s="30">
        <v>1114939</v>
      </c>
      <c r="C121" s="31">
        <v>15680.669921999999</v>
      </c>
      <c r="D121" s="32">
        <v>0.22053182527464638</v>
      </c>
    </row>
    <row r="122" spans="1:4" x14ac:dyDescent="0.2">
      <c r="A122" s="23">
        <v>39417</v>
      </c>
      <c r="B122" s="30">
        <v>1112844</v>
      </c>
      <c r="C122" s="31">
        <v>15307.780273</v>
      </c>
      <c r="D122" s="32">
        <v>0.22011744011639969</v>
      </c>
    </row>
    <row r="123" spans="1:4" x14ac:dyDescent="0.2">
      <c r="A123" s="23">
        <v>39448</v>
      </c>
      <c r="B123" s="30">
        <v>1130604</v>
      </c>
      <c r="C123" s="31">
        <v>13592.469727</v>
      </c>
      <c r="D123" s="32">
        <v>0.22306670452171143</v>
      </c>
    </row>
    <row r="124" spans="1:4" x14ac:dyDescent="0.2">
      <c r="A124" s="23">
        <v>39479</v>
      </c>
      <c r="B124" s="30">
        <v>1142477</v>
      </c>
      <c r="C124" s="31">
        <v>13603.019531</v>
      </c>
      <c r="D124" s="32">
        <v>0.2254092320404415</v>
      </c>
    </row>
    <row r="125" spans="1:4" x14ac:dyDescent="0.2">
      <c r="A125" s="23">
        <v>39508</v>
      </c>
      <c r="B125" s="30">
        <v>1134262</v>
      </c>
      <c r="C125" s="31">
        <v>12525.540039</v>
      </c>
      <c r="D125" s="32">
        <v>0.22378842318283454</v>
      </c>
    </row>
    <row r="126" spans="1:4" x14ac:dyDescent="0.2">
      <c r="A126" s="23">
        <v>39539</v>
      </c>
      <c r="B126" s="30">
        <v>1072225</v>
      </c>
      <c r="C126" s="31">
        <v>13849.990234000001</v>
      </c>
      <c r="D126" s="32">
        <v>0.2123606378672058</v>
      </c>
    </row>
    <row r="127" spans="1:4" x14ac:dyDescent="0.2">
      <c r="A127" s="23">
        <v>39569</v>
      </c>
      <c r="B127" s="30">
        <v>1101273</v>
      </c>
      <c r="C127" s="31">
        <v>14338.540039</v>
      </c>
      <c r="D127" s="32">
        <v>0.21811376972737193</v>
      </c>
    </row>
    <row r="128" spans="1:4" x14ac:dyDescent="0.2">
      <c r="A128" s="23">
        <v>39600</v>
      </c>
      <c r="B128" s="30">
        <v>1014199</v>
      </c>
      <c r="C128" s="31">
        <v>13481.379883</v>
      </c>
      <c r="D128" s="32">
        <v>0.20086823806969831</v>
      </c>
    </row>
    <row r="129" spans="1:4" x14ac:dyDescent="0.2">
      <c r="A129" s="23">
        <v>39630</v>
      </c>
      <c r="B129" s="30">
        <v>1083652</v>
      </c>
      <c r="C129" s="31">
        <v>13376.809569999999</v>
      </c>
      <c r="D129" s="32">
        <v>0.2173169384167869</v>
      </c>
    </row>
    <row r="130" spans="1:4" x14ac:dyDescent="0.2">
      <c r="A130" s="23">
        <v>39661</v>
      </c>
      <c r="B130" s="30">
        <v>1098870</v>
      </c>
      <c r="C130" s="31">
        <v>13072.870117</v>
      </c>
      <c r="D130" s="32">
        <v>0.22036877532460108</v>
      </c>
    </row>
    <row r="131" spans="1:4" x14ac:dyDescent="0.2">
      <c r="A131" s="23">
        <v>39692</v>
      </c>
      <c r="B131" s="30">
        <v>1125287</v>
      </c>
      <c r="C131" s="31">
        <v>11259.860352</v>
      </c>
      <c r="D131" s="32">
        <v>0.22566647381282079</v>
      </c>
    </row>
    <row r="132" spans="1:4" x14ac:dyDescent="0.2">
      <c r="A132" s="23">
        <v>39722</v>
      </c>
      <c r="B132" s="30">
        <v>1168028</v>
      </c>
      <c r="C132" s="31">
        <v>8576.9804690000001</v>
      </c>
      <c r="D132" s="32">
        <v>0.24006409228763265</v>
      </c>
    </row>
    <row r="133" spans="1:4" x14ac:dyDescent="0.2">
      <c r="A133" s="23">
        <v>39753</v>
      </c>
      <c r="B133" s="30">
        <v>1215262</v>
      </c>
      <c r="C133" s="31">
        <v>8512.2695309999999</v>
      </c>
      <c r="D133" s="32">
        <v>0.24977206789704784</v>
      </c>
    </row>
    <row r="134" spans="1:4" x14ac:dyDescent="0.2">
      <c r="A134" s="23">
        <v>39783</v>
      </c>
      <c r="B134" s="30">
        <v>1227708</v>
      </c>
      <c r="C134" s="31">
        <v>8859.5595699999994</v>
      </c>
      <c r="D134" s="32">
        <v>0.25233008679095442</v>
      </c>
    </row>
    <row r="135" spans="1:4" x14ac:dyDescent="0.2">
      <c r="A135" s="23">
        <v>39814</v>
      </c>
      <c r="B135" s="30">
        <v>1195135</v>
      </c>
      <c r="C135" s="31">
        <v>7994.0498049999997</v>
      </c>
      <c r="D135" s="32">
        <v>0.2579781246310196</v>
      </c>
    </row>
    <row r="136" spans="1:4" x14ac:dyDescent="0.2">
      <c r="A136" s="23">
        <v>39845</v>
      </c>
      <c r="B136" s="30">
        <v>1221730</v>
      </c>
      <c r="C136" s="31">
        <v>7568.419922</v>
      </c>
      <c r="D136" s="32">
        <v>0.26371883862949003</v>
      </c>
    </row>
    <row r="137" spans="1:4" x14ac:dyDescent="0.2">
      <c r="A137" s="23">
        <v>39873</v>
      </c>
      <c r="B137" s="30">
        <v>1238886</v>
      </c>
      <c r="C137" s="31">
        <v>8109.5297849999997</v>
      </c>
      <c r="D137" s="32">
        <v>0.2674220794400845</v>
      </c>
    </row>
    <row r="138" spans="1:4" x14ac:dyDescent="0.2">
      <c r="A138" s="23">
        <v>39904</v>
      </c>
      <c r="B138" s="30">
        <v>1147983</v>
      </c>
      <c r="C138" s="31">
        <v>8828.2597659999992</v>
      </c>
      <c r="D138" s="32">
        <v>0.24272070256420883</v>
      </c>
    </row>
    <row r="139" spans="1:4" x14ac:dyDescent="0.2">
      <c r="A139" s="23">
        <v>39934</v>
      </c>
      <c r="B139" s="30">
        <v>1187973</v>
      </c>
      <c r="C139" s="31">
        <v>9522.5</v>
      </c>
      <c r="D139" s="32">
        <v>0.25117588081645015</v>
      </c>
    </row>
    <row r="140" spans="1:4" x14ac:dyDescent="0.2">
      <c r="A140" s="23">
        <v>39965</v>
      </c>
      <c r="B140" s="30">
        <v>1098429</v>
      </c>
      <c r="C140" s="31">
        <v>9958.4404300000006</v>
      </c>
      <c r="D140" s="32">
        <v>0.23224338565719294</v>
      </c>
    </row>
    <row r="141" spans="1:4" x14ac:dyDescent="0.2">
      <c r="A141" s="23">
        <v>39995</v>
      </c>
      <c r="B141" s="30">
        <v>1147349</v>
      </c>
      <c r="C141" s="31">
        <v>10356.830078000001</v>
      </c>
      <c r="D141" s="32">
        <v>0.24246536145724057</v>
      </c>
    </row>
    <row r="142" spans="1:4" x14ac:dyDescent="0.2">
      <c r="A142" s="23">
        <v>40026</v>
      </c>
      <c r="B142" s="30">
        <v>1171842</v>
      </c>
      <c r="C142" s="31">
        <v>10492.530273</v>
      </c>
      <c r="D142" s="32">
        <v>0.24764138383419146</v>
      </c>
    </row>
    <row r="143" spans="1:4" x14ac:dyDescent="0.2">
      <c r="A143" s="23">
        <v>40057</v>
      </c>
      <c r="B143" s="30">
        <v>1163248</v>
      </c>
      <c r="C143" s="31">
        <v>10133.230469</v>
      </c>
      <c r="D143" s="32">
        <v>0.24582524304672093</v>
      </c>
    </row>
    <row r="144" spans="1:4" x14ac:dyDescent="0.2">
      <c r="A144" s="23">
        <v>40087</v>
      </c>
      <c r="B144" s="30">
        <v>1114000</v>
      </c>
      <c r="C144" s="31">
        <v>10034.740234000001</v>
      </c>
      <c r="D144" s="32">
        <v>0.2322234414763574</v>
      </c>
    </row>
    <row r="145" spans="1:4" x14ac:dyDescent="0.2">
      <c r="A145" s="23">
        <v>40118</v>
      </c>
      <c r="B145" s="30">
        <v>1172964</v>
      </c>
      <c r="C145" s="31">
        <v>9345.5498050000006</v>
      </c>
      <c r="D145" s="32">
        <v>0.24451502406451892</v>
      </c>
    </row>
    <row r="146" spans="1:4" x14ac:dyDescent="0.2">
      <c r="A146" s="23">
        <v>40148</v>
      </c>
      <c r="B146" s="30">
        <v>1225336</v>
      </c>
      <c r="C146" s="31">
        <v>10546.440430000001</v>
      </c>
      <c r="D146" s="32">
        <v>0.25543244424135897</v>
      </c>
    </row>
    <row r="147" spans="1:4" x14ac:dyDescent="0.2">
      <c r="A147" s="23">
        <v>40179</v>
      </c>
      <c r="B147" s="30">
        <v>1224342</v>
      </c>
      <c r="C147" s="31">
        <v>10198.040039</v>
      </c>
      <c r="D147" s="32">
        <v>0.25305064063453325</v>
      </c>
    </row>
    <row r="148" spans="1:4" x14ac:dyDescent="0.2">
      <c r="A148" s="23">
        <v>40210</v>
      </c>
      <c r="B148" s="30">
        <v>1267675</v>
      </c>
      <c r="C148" s="31">
        <v>10126.030273</v>
      </c>
      <c r="D148" s="32">
        <v>0.2620068337657141</v>
      </c>
    </row>
    <row r="149" spans="1:4" x14ac:dyDescent="0.2">
      <c r="A149" s="23">
        <v>40238</v>
      </c>
      <c r="B149" s="30">
        <v>1218241</v>
      </c>
      <c r="C149" s="31">
        <v>11089.940430000001</v>
      </c>
      <c r="D149" s="32">
        <v>0.25178966783566559</v>
      </c>
    </row>
    <row r="150" spans="1:4" x14ac:dyDescent="0.2">
      <c r="A150" s="23">
        <v>40269</v>
      </c>
      <c r="B150" s="30">
        <v>1142013</v>
      </c>
      <c r="C150" s="31">
        <v>11057.400390999999</v>
      </c>
      <c r="D150" s="32">
        <v>0.23288526880812635</v>
      </c>
    </row>
    <row r="151" spans="1:4" x14ac:dyDescent="0.2">
      <c r="A151" s="23">
        <v>40299</v>
      </c>
      <c r="B151" s="30">
        <v>1209586</v>
      </c>
      <c r="C151" s="31">
        <v>9768.7001949999994</v>
      </c>
      <c r="D151" s="32">
        <v>0.24666510867787522</v>
      </c>
    </row>
    <row r="152" spans="1:4" x14ac:dyDescent="0.2">
      <c r="A152" s="23">
        <v>40330</v>
      </c>
      <c r="B152" s="30">
        <v>1132336</v>
      </c>
      <c r="C152" s="31">
        <v>9382.6396480000003</v>
      </c>
      <c r="D152" s="32">
        <v>0.2309118843140302</v>
      </c>
    </row>
    <row r="153" spans="1:4" x14ac:dyDescent="0.2">
      <c r="A153" s="23">
        <v>40360</v>
      </c>
      <c r="B153" s="30">
        <v>1173742</v>
      </c>
      <c r="C153" s="31">
        <v>9537.2998050000006</v>
      </c>
      <c r="D153" s="32">
        <v>0.23510806832292042</v>
      </c>
    </row>
    <row r="154" spans="1:4" x14ac:dyDescent="0.2">
      <c r="A154" s="23">
        <v>40391</v>
      </c>
      <c r="B154" s="30">
        <v>1230414</v>
      </c>
      <c r="C154" s="31">
        <v>8824.0595699999994</v>
      </c>
      <c r="D154" s="32">
        <v>0.24645983425444246</v>
      </c>
    </row>
    <row r="155" spans="1:4" x14ac:dyDescent="0.2">
      <c r="A155" s="23">
        <v>40422</v>
      </c>
      <c r="B155" s="30">
        <v>1203317</v>
      </c>
      <c r="C155" s="31">
        <v>9369.3496090000008</v>
      </c>
      <c r="D155" s="32">
        <v>0.24103213095393333</v>
      </c>
    </row>
    <row r="156" spans="1:4" x14ac:dyDescent="0.2">
      <c r="A156" s="23">
        <v>40452</v>
      </c>
      <c r="B156" s="30">
        <v>1214171</v>
      </c>
      <c r="C156" s="31">
        <v>9202.4501949999994</v>
      </c>
      <c r="D156" s="32">
        <v>0.24521167430943455</v>
      </c>
    </row>
    <row r="157" spans="1:4" x14ac:dyDescent="0.2">
      <c r="A157" s="23">
        <v>40483</v>
      </c>
      <c r="B157" s="30">
        <v>1270457</v>
      </c>
      <c r="C157" s="31">
        <v>9937.0400389999995</v>
      </c>
      <c r="D157" s="32">
        <v>0.25657908820762587</v>
      </c>
    </row>
    <row r="158" spans="1:4" x14ac:dyDescent="0.2">
      <c r="A158" s="23">
        <v>40513</v>
      </c>
      <c r="B158" s="30">
        <v>1287104</v>
      </c>
      <c r="C158" s="31">
        <v>10228.919921999999</v>
      </c>
      <c r="D158" s="32">
        <v>0.25994108478160854</v>
      </c>
    </row>
    <row r="159" spans="1:4" x14ac:dyDescent="0.2">
      <c r="A159" s="23">
        <v>40544</v>
      </c>
      <c r="B159" s="30">
        <v>1279996</v>
      </c>
      <c r="C159" s="31">
        <v>10237.919921999999</v>
      </c>
      <c r="D159" s="32">
        <v>0.26217494046254769</v>
      </c>
    </row>
    <row r="160" spans="1:4" x14ac:dyDescent="0.2">
      <c r="A160" s="23">
        <v>40575</v>
      </c>
      <c r="B160" s="30">
        <v>1301181</v>
      </c>
      <c r="C160" s="31">
        <v>10624.089844</v>
      </c>
      <c r="D160" s="32">
        <v>0.26651415411141777</v>
      </c>
    </row>
    <row r="161" spans="1:4" x14ac:dyDescent="0.2">
      <c r="A161" s="23">
        <v>40603</v>
      </c>
      <c r="B161" s="30">
        <v>1423631</v>
      </c>
      <c r="C161" s="31">
        <v>9755.0996090000008</v>
      </c>
      <c r="D161" s="32">
        <v>0.29159495237925531</v>
      </c>
    </row>
    <row r="162" spans="1:4" x14ac:dyDescent="0.2">
      <c r="A162" s="23">
        <v>40634</v>
      </c>
      <c r="B162" s="30">
        <v>1346213</v>
      </c>
      <c r="C162" s="31">
        <v>9849.7402340000008</v>
      </c>
      <c r="D162" s="32">
        <v>0.27755212195846568</v>
      </c>
    </row>
    <row r="163" spans="1:4" x14ac:dyDescent="0.2">
      <c r="A163" s="23">
        <v>40664</v>
      </c>
      <c r="B163" s="30">
        <v>1351200</v>
      </c>
      <c r="C163" s="31">
        <v>9693.7304690000001</v>
      </c>
      <c r="D163" s="32">
        <v>0.27858030429826403</v>
      </c>
    </row>
    <row r="164" spans="1:4" x14ac:dyDescent="0.2">
      <c r="A164" s="23">
        <v>40695</v>
      </c>
      <c r="B164" s="30">
        <v>1295844</v>
      </c>
      <c r="C164" s="31">
        <v>9816.0898440000001</v>
      </c>
      <c r="D164" s="32">
        <v>0.26716741847474806</v>
      </c>
    </row>
    <row r="165" spans="1:4" x14ac:dyDescent="0.2">
      <c r="A165" s="23">
        <v>40725</v>
      </c>
      <c r="B165" s="30">
        <v>1344737</v>
      </c>
      <c r="C165" s="31">
        <v>9833.0302730000003</v>
      </c>
      <c r="D165" s="32">
        <v>0.27051351092012099</v>
      </c>
    </row>
    <row r="166" spans="1:4" x14ac:dyDescent="0.2">
      <c r="A166" s="23">
        <v>40756</v>
      </c>
      <c r="B166" s="30">
        <v>1414829</v>
      </c>
      <c r="C166" s="31">
        <v>8955.2001949999994</v>
      </c>
      <c r="D166" s="32">
        <v>0.28461354163795877</v>
      </c>
    </row>
    <row r="167" spans="1:4" x14ac:dyDescent="0.2">
      <c r="A167" s="23">
        <v>40787</v>
      </c>
      <c r="B167" s="30">
        <v>1376890</v>
      </c>
      <c r="C167" s="31">
        <v>8700.2900389999995</v>
      </c>
      <c r="D167" s="32">
        <v>0.27698155702624777</v>
      </c>
    </row>
    <row r="168" spans="1:4" x14ac:dyDescent="0.2">
      <c r="A168" s="23">
        <v>40817</v>
      </c>
      <c r="B168" s="30">
        <v>1329858</v>
      </c>
      <c r="C168" s="31">
        <v>8988.3896480000003</v>
      </c>
      <c r="D168" s="32">
        <v>0.26793977843648298</v>
      </c>
    </row>
    <row r="169" spans="1:4" x14ac:dyDescent="0.2">
      <c r="A169" s="23">
        <v>40848</v>
      </c>
      <c r="B169" s="30">
        <v>1432056</v>
      </c>
      <c r="C169" s="31">
        <v>8434.6103519999997</v>
      </c>
      <c r="D169" s="32">
        <v>0.28853063060013634</v>
      </c>
    </row>
    <row r="170" spans="1:4" x14ac:dyDescent="0.2">
      <c r="A170" s="23">
        <v>40878</v>
      </c>
      <c r="B170" s="30">
        <v>1430219</v>
      </c>
      <c r="C170" s="31">
        <v>8455.3496090000008</v>
      </c>
      <c r="D170" s="32">
        <v>0.28816051185588859</v>
      </c>
    </row>
    <row r="171" spans="1:4" x14ac:dyDescent="0.2">
      <c r="A171" s="23">
        <v>40909</v>
      </c>
      <c r="B171" s="30">
        <v>1369064</v>
      </c>
      <c r="C171" s="31">
        <v>8802.5097659999992</v>
      </c>
      <c r="D171" s="32">
        <v>0.27254334759556931</v>
      </c>
    </row>
    <row r="172" spans="1:4" x14ac:dyDescent="0.2">
      <c r="A172" s="23">
        <v>40940</v>
      </c>
      <c r="B172" s="30">
        <v>1442443</v>
      </c>
      <c r="C172" s="31">
        <v>9723.2402340000008</v>
      </c>
      <c r="D172" s="32">
        <v>0.28715110757115503</v>
      </c>
    </row>
    <row r="173" spans="1:4" x14ac:dyDescent="0.2">
      <c r="A173" s="23">
        <v>40969</v>
      </c>
      <c r="B173" s="30">
        <v>1394569</v>
      </c>
      <c r="C173" s="31">
        <v>10083.559569999999</v>
      </c>
      <c r="D173" s="32">
        <v>0.27762069831140512</v>
      </c>
    </row>
    <row r="174" spans="1:4" x14ac:dyDescent="0.2">
      <c r="A174" s="23">
        <v>41000</v>
      </c>
      <c r="B174" s="30">
        <v>1412065</v>
      </c>
      <c r="C174" s="31">
        <v>9520.8896480000003</v>
      </c>
      <c r="D174" s="32">
        <v>0.28318007819581686</v>
      </c>
    </row>
    <row r="175" spans="1:4" x14ac:dyDescent="0.2">
      <c r="A175" s="23">
        <v>41030</v>
      </c>
      <c r="B175" s="30">
        <v>1428007</v>
      </c>
      <c r="C175" s="31">
        <v>8542.7304690000001</v>
      </c>
      <c r="D175" s="32">
        <v>0.28637713839247758</v>
      </c>
    </row>
    <row r="176" spans="1:4" x14ac:dyDescent="0.2">
      <c r="A176" s="23">
        <v>41061</v>
      </c>
      <c r="B176" s="30">
        <v>1436265</v>
      </c>
      <c r="C176" s="31">
        <v>9006.7802730000003</v>
      </c>
      <c r="D176" s="32">
        <v>0.28803322439825002</v>
      </c>
    </row>
    <row r="177" spans="1:4" x14ac:dyDescent="0.2">
      <c r="A177" s="23">
        <v>41091</v>
      </c>
      <c r="B177" s="30">
        <v>1454954</v>
      </c>
      <c r="C177" s="31">
        <v>8695.0595699999994</v>
      </c>
      <c r="D177" s="32">
        <v>0.29290245717701147</v>
      </c>
    </row>
    <row r="178" spans="1:4" x14ac:dyDescent="0.2">
      <c r="A178" s="23">
        <v>41122</v>
      </c>
      <c r="B178" s="30">
        <v>1499672</v>
      </c>
      <c r="C178" s="31">
        <v>8839.9101559999999</v>
      </c>
      <c r="D178" s="32">
        <v>0.30190481194564445</v>
      </c>
    </row>
    <row r="179" spans="1:4" x14ac:dyDescent="0.2">
      <c r="A179" s="23">
        <v>41153</v>
      </c>
      <c r="B179" s="30">
        <v>1499208</v>
      </c>
      <c r="C179" s="31">
        <v>8870.1601559999999</v>
      </c>
      <c r="D179" s="32">
        <v>0.30181140229823966</v>
      </c>
    </row>
    <row r="180" spans="1:4" x14ac:dyDescent="0.2">
      <c r="A180" s="23">
        <v>41183</v>
      </c>
      <c r="B180" s="30">
        <v>1537316</v>
      </c>
      <c r="C180" s="31">
        <v>8928.2900389999995</v>
      </c>
      <c r="D180" s="32">
        <v>0.3086612997009191</v>
      </c>
    </row>
    <row r="181" spans="1:4" x14ac:dyDescent="0.2">
      <c r="A181" s="23">
        <v>41214</v>
      </c>
      <c r="B181" s="30">
        <v>1563579</v>
      </c>
      <c r="C181" s="31">
        <v>9446.0097659999992</v>
      </c>
      <c r="D181" s="32">
        <v>0.31393436764143701</v>
      </c>
    </row>
    <row r="182" spans="1:4" x14ac:dyDescent="0.2">
      <c r="A182" s="23">
        <v>41244</v>
      </c>
      <c r="B182" s="30">
        <v>1583627</v>
      </c>
      <c r="C182" s="31">
        <v>10395.179688</v>
      </c>
      <c r="D182" s="32">
        <v>0.31795959195212137</v>
      </c>
    </row>
    <row r="183" spans="1:4" x14ac:dyDescent="0.2">
      <c r="A183" s="23">
        <v>41275</v>
      </c>
      <c r="B183" s="30">
        <v>1597903</v>
      </c>
      <c r="C183" s="31">
        <v>11138.660156</v>
      </c>
      <c r="D183" s="32">
        <v>0.31695180175623378</v>
      </c>
    </row>
    <row r="184" spans="1:4" x14ac:dyDescent="0.2">
      <c r="A184" s="23">
        <v>41306</v>
      </c>
      <c r="B184" s="30">
        <v>1635325</v>
      </c>
      <c r="C184" s="31">
        <v>11559.360352</v>
      </c>
      <c r="D184" s="32">
        <v>0.32437463676269024</v>
      </c>
    </row>
    <row r="185" spans="1:4" x14ac:dyDescent="0.2">
      <c r="A185" s="23">
        <v>41334</v>
      </c>
      <c r="B185" s="30">
        <v>1648127</v>
      </c>
      <c r="C185" s="31">
        <v>12397.910156</v>
      </c>
      <c r="D185" s="32">
        <v>0.32691397548730827</v>
      </c>
    </row>
    <row r="186" spans="1:4" x14ac:dyDescent="0.2">
      <c r="A186" s="23">
        <v>41365</v>
      </c>
      <c r="B186" s="30">
        <v>1746913</v>
      </c>
      <c r="C186" s="31">
        <v>13860.860352</v>
      </c>
      <c r="D186" s="32">
        <v>0.34385973131151321</v>
      </c>
    </row>
    <row r="187" spans="1:4" x14ac:dyDescent="0.2">
      <c r="A187" s="23">
        <v>41395</v>
      </c>
      <c r="B187" s="30">
        <v>1842861</v>
      </c>
      <c r="C187" s="31">
        <v>13774.540039</v>
      </c>
      <c r="D187" s="32">
        <v>0.36274599153161413</v>
      </c>
    </row>
    <row r="188" spans="1:4" x14ac:dyDescent="0.2">
      <c r="A188" s="23">
        <v>41426</v>
      </c>
      <c r="B188" s="30">
        <v>1870684</v>
      </c>
      <c r="C188" s="31">
        <v>13677.320313</v>
      </c>
      <c r="D188" s="32">
        <v>0.36822262906552694</v>
      </c>
    </row>
    <row r="189" spans="1:4" x14ac:dyDescent="0.2">
      <c r="A189" s="23">
        <v>41456</v>
      </c>
      <c r="B189" s="30">
        <v>1967581</v>
      </c>
      <c r="C189" s="31">
        <v>13668.320313</v>
      </c>
      <c r="D189" s="32">
        <v>0.38408904174168379</v>
      </c>
    </row>
    <row r="190" spans="1:4" x14ac:dyDescent="0.2">
      <c r="A190" s="23">
        <v>41487</v>
      </c>
      <c r="B190" s="30">
        <v>2056918</v>
      </c>
      <c r="C190" s="31">
        <v>13388.860352</v>
      </c>
      <c r="D190" s="32">
        <v>0.40152840648553767</v>
      </c>
    </row>
    <row r="191" spans="1:4" x14ac:dyDescent="0.2">
      <c r="A191" s="23">
        <v>41518</v>
      </c>
      <c r="B191" s="30">
        <v>2088625</v>
      </c>
      <c r="C191" s="31">
        <v>14455.799805000001</v>
      </c>
      <c r="D191" s="32">
        <v>0.40771789055074442</v>
      </c>
    </row>
    <row r="192" spans="1:4" x14ac:dyDescent="0.2">
      <c r="A192" s="23">
        <v>41548</v>
      </c>
      <c r="B192" s="30">
        <v>2155142</v>
      </c>
      <c r="C192" s="31">
        <v>14327.940430000001</v>
      </c>
      <c r="D192" s="32">
        <v>0.42083140261577817</v>
      </c>
    </row>
    <row r="193" spans="1:4" x14ac:dyDescent="0.2">
      <c r="A193" s="23">
        <v>41579</v>
      </c>
      <c r="B193" s="30">
        <v>2240888</v>
      </c>
      <c r="C193" s="31">
        <v>15661.870117</v>
      </c>
      <c r="D193" s="32">
        <v>0.43757489768417385</v>
      </c>
    </row>
    <row r="194" spans="1:4" x14ac:dyDescent="0.2">
      <c r="A194" s="23">
        <v>41609</v>
      </c>
      <c r="B194" s="30">
        <v>2241897</v>
      </c>
      <c r="C194" s="31">
        <v>16291.309569999999</v>
      </c>
      <c r="D194" s="32">
        <v>0.43777192362735506</v>
      </c>
    </row>
    <row r="195" spans="1:4" x14ac:dyDescent="0.2">
      <c r="A195" s="23">
        <v>41640</v>
      </c>
      <c r="B195" s="30">
        <v>2321780</v>
      </c>
      <c r="C195" s="31">
        <v>14914.530273</v>
      </c>
      <c r="D195" s="32">
        <v>0.44891390051883273</v>
      </c>
    </row>
    <row r="196" spans="1:4" x14ac:dyDescent="0.2">
      <c r="A196" s="23">
        <v>41671</v>
      </c>
      <c r="B196" s="30">
        <v>2404502</v>
      </c>
      <c r="C196" s="31">
        <v>14841.070313</v>
      </c>
      <c r="D196" s="32">
        <v>0.46490811860957304</v>
      </c>
    </row>
    <row r="197" spans="1:4" x14ac:dyDescent="0.2">
      <c r="A197" s="23">
        <v>41699</v>
      </c>
      <c r="B197" s="30">
        <v>2415798</v>
      </c>
      <c r="C197" s="31">
        <v>14827.830078000001</v>
      </c>
      <c r="D197" s="32">
        <v>0.46709218920207557</v>
      </c>
    </row>
    <row r="198" spans="1:4" x14ac:dyDescent="0.2">
      <c r="A198" s="23">
        <v>41730</v>
      </c>
      <c r="B198" s="30">
        <v>2461764</v>
      </c>
      <c r="C198" s="31">
        <v>14304.110352</v>
      </c>
      <c r="D198" s="32">
        <v>0.48529735296367293</v>
      </c>
    </row>
    <row r="199" spans="1:4" x14ac:dyDescent="0.2">
      <c r="A199" s="23">
        <v>41760</v>
      </c>
      <c r="B199" s="30">
        <v>2539730</v>
      </c>
      <c r="C199" s="31">
        <v>14632.379883</v>
      </c>
      <c r="D199" s="32">
        <v>0.50066710141281989</v>
      </c>
    </row>
    <row r="200" spans="1:4" x14ac:dyDescent="0.2">
      <c r="A200" s="23">
        <v>41791</v>
      </c>
      <c r="B200" s="30">
        <v>2577613</v>
      </c>
      <c r="C200" s="31">
        <v>15162.099609000001</v>
      </c>
      <c r="D200" s="32">
        <v>0.50813512825142937</v>
      </c>
    </row>
    <row r="201" spans="1:4" x14ac:dyDescent="0.2">
      <c r="A201" s="23">
        <v>41821</v>
      </c>
      <c r="B201" s="30">
        <v>2689676</v>
      </c>
      <c r="C201" s="31">
        <v>15620.769531</v>
      </c>
      <c r="D201" s="32">
        <v>0.52974512841662746</v>
      </c>
    </row>
    <row r="202" spans="1:4" x14ac:dyDescent="0.2">
      <c r="A202" s="23">
        <v>41852</v>
      </c>
      <c r="B202" s="30">
        <v>2758955</v>
      </c>
      <c r="C202" s="31">
        <v>15424.589844</v>
      </c>
      <c r="D202" s="32">
        <v>0.54338997365136055</v>
      </c>
    </row>
    <row r="203" spans="1:4" x14ac:dyDescent="0.2">
      <c r="A203" s="23">
        <v>41883</v>
      </c>
      <c r="B203" s="30">
        <v>2770994</v>
      </c>
      <c r="C203" s="31">
        <v>16173.519531</v>
      </c>
      <c r="D203" s="32">
        <v>0.54576111485982126</v>
      </c>
    </row>
    <row r="204" spans="1:4" x14ac:dyDescent="0.2">
      <c r="A204" s="23">
        <v>41913</v>
      </c>
      <c r="B204" s="30">
        <v>2868380</v>
      </c>
      <c r="C204" s="31">
        <v>16413.759765999999</v>
      </c>
      <c r="D204" s="32">
        <v>0.56213547120329066</v>
      </c>
    </row>
    <row r="205" spans="1:4" x14ac:dyDescent="0.2">
      <c r="A205" s="23">
        <v>41944</v>
      </c>
      <c r="B205" s="30">
        <v>2973747</v>
      </c>
      <c r="C205" s="31">
        <v>17459.849609000001</v>
      </c>
      <c r="D205" s="32">
        <v>0.58278494170380912</v>
      </c>
    </row>
    <row r="206" spans="1:4" x14ac:dyDescent="0.2">
      <c r="A206" s="23">
        <v>41974</v>
      </c>
      <c r="B206" s="30">
        <v>3002117</v>
      </c>
      <c r="C206" s="31">
        <v>17450.769531000002</v>
      </c>
      <c r="D206" s="32">
        <v>0.58834479894658642</v>
      </c>
    </row>
    <row r="207" spans="1:4" x14ac:dyDescent="0.2">
      <c r="A207" s="23">
        <v>42005</v>
      </c>
      <c r="B207" s="30">
        <v>3111731</v>
      </c>
      <c r="C207" s="31">
        <v>17674.390625</v>
      </c>
      <c r="D207" s="32">
        <v>0.60157757638395104</v>
      </c>
    </row>
    <row r="208" spans="1:4" x14ac:dyDescent="0.2">
      <c r="A208" s="23">
        <v>42036</v>
      </c>
      <c r="B208" s="30">
        <v>3204418</v>
      </c>
      <c r="C208" s="31">
        <v>18797.939452999999</v>
      </c>
      <c r="D208" s="32">
        <v>0.61949635561721361</v>
      </c>
    </row>
    <row r="209" spans="1:4" x14ac:dyDescent="0.2">
      <c r="A209" s="23">
        <v>42064</v>
      </c>
      <c r="B209" s="30">
        <v>3235937</v>
      </c>
      <c r="C209" s="31">
        <v>19206.990234000001</v>
      </c>
      <c r="D209" s="32">
        <v>0.62558978838182144</v>
      </c>
    </row>
    <row r="210" spans="1:4" x14ac:dyDescent="0.2">
      <c r="A210" s="23">
        <v>42095</v>
      </c>
      <c r="B210" s="30">
        <v>3328186</v>
      </c>
      <c r="C210" s="31">
        <v>19520.009765999999</v>
      </c>
      <c r="D210" s="32">
        <v>0.64271601862768102</v>
      </c>
    </row>
    <row r="211" spans="1:4" x14ac:dyDescent="0.2">
      <c r="A211" s="23">
        <v>42125</v>
      </c>
      <c r="B211" s="30">
        <v>3431402</v>
      </c>
      <c r="C211" s="31">
        <v>20563.150390999999</v>
      </c>
      <c r="D211" s="32">
        <v>0.66264837114003305</v>
      </c>
    </row>
    <row r="212" spans="1:4" x14ac:dyDescent="0.2">
      <c r="A212" s="23">
        <v>42156</v>
      </c>
      <c r="B212" s="30">
        <v>3454395</v>
      </c>
      <c r="C212" s="31">
        <v>20235.730468999998</v>
      </c>
      <c r="D212" s="32">
        <v>0.66708861859504487</v>
      </c>
    </row>
    <row r="213" spans="1:4" x14ac:dyDescent="0.2">
      <c r="A213" s="23">
        <v>42186</v>
      </c>
      <c r="B213" s="30">
        <v>3542941</v>
      </c>
      <c r="C213" s="31">
        <v>20585.240234000001</v>
      </c>
      <c r="D213" s="32">
        <v>0.68461146348137003</v>
      </c>
    </row>
    <row r="214" spans="1:4" x14ac:dyDescent="0.2">
      <c r="A214" s="23">
        <v>42217</v>
      </c>
      <c r="B214" s="30">
        <v>3614591</v>
      </c>
      <c r="C214" s="31">
        <v>18890.480468999998</v>
      </c>
      <c r="D214" s="32">
        <v>0.69845657446640763</v>
      </c>
    </row>
    <row r="215" spans="1:4" x14ac:dyDescent="0.2">
      <c r="A215" s="23">
        <v>42248</v>
      </c>
      <c r="B215" s="30">
        <v>3661278</v>
      </c>
      <c r="C215" s="31">
        <v>17388.150390999999</v>
      </c>
      <c r="D215" s="32">
        <v>0.7074780217317036</v>
      </c>
    </row>
    <row r="216" spans="1:4" x14ac:dyDescent="0.2">
      <c r="A216" s="23">
        <v>42278</v>
      </c>
      <c r="B216" s="30">
        <v>3735537</v>
      </c>
      <c r="C216" s="31">
        <v>19083.099609000001</v>
      </c>
      <c r="D216" s="32">
        <v>0.72456811474112492</v>
      </c>
    </row>
    <row r="217" spans="1:4" x14ac:dyDescent="0.2">
      <c r="A217" s="23">
        <v>42309</v>
      </c>
      <c r="B217" s="30">
        <v>3812542</v>
      </c>
      <c r="C217" s="31">
        <v>19747.470702999999</v>
      </c>
      <c r="D217" s="32">
        <v>0.73950448605149888</v>
      </c>
    </row>
    <row r="218" spans="1:4" x14ac:dyDescent="0.2">
      <c r="A218" s="23">
        <v>42339</v>
      </c>
      <c r="B218" s="30">
        <v>3831076</v>
      </c>
      <c r="C218" s="31">
        <v>19033.710938</v>
      </c>
      <c r="D218" s="32">
        <v>0.74309945658414567</v>
      </c>
    </row>
    <row r="219" spans="1:4" x14ac:dyDescent="0.2">
      <c r="A219" s="23">
        <v>42370</v>
      </c>
      <c r="B219" s="30">
        <v>3964498</v>
      </c>
      <c r="C219" s="31">
        <v>17518.300781000002</v>
      </c>
      <c r="D219" s="32">
        <v>0.76513381211878384</v>
      </c>
    </row>
    <row r="220" spans="1:4" x14ac:dyDescent="0.2">
      <c r="A220" s="23">
        <v>42401</v>
      </c>
      <c r="B220" s="30">
        <v>4037909</v>
      </c>
      <c r="C220" s="31">
        <v>16026.759765999999</v>
      </c>
      <c r="D220" s="32">
        <v>0.77930187028944053</v>
      </c>
    </row>
    <row r="221" spans="1:4" x14ac:dyDescent="0.2">
      <c r="A221" s="23">
        <v>42430</v>
      </c>
      <c r="B221" s="30">
        <v>4056481</v>
      </c>
      <c r="C221" s="31">
        <v>16758.669922000001</v>
      </c>
      <c r="D221" s="32">
        <v>0.78288619929116277</v>
      </c>
    </row>
    <row r="222" spans="1:4" x14ac:dyDescent="0.2">
      <c r="A222" s="23">
        <v>42461</v>
      </c>
      <c r="B222" s="30">
        <v>4144163</v>
      </c>
      <c r="C222" s="31">
        <v>16666.050781000002</v>
      </c>
      <c r="D222" s="32">
        <v>0.79868264945609224</v>
      </c>
    </row>
    <row r="223" spans="1:4" x14ac:dyDescent="0.2">
      <c r="A223" s="23">
        <v>42491</v>
      </c>
      <c r="B223" s="30">
        <v>4256697</v>
      </c>
      <c r="C223" s="31">
        <v>17234.980468999998</v>
      </c>
      <c r="D223" s="32">
        <v>0.82037073297836016</v>
      </c>
    </row>
    <row r="224" spans="1:4" x14ac:dyDescent="0.2">
      <c r="A224" s="23">
        <v>42522</v>
      </c>
      <c r="B224" s="30">
        <v>4327586</v>
      </c>
      <c r="C224" s="31">
        <v>15575.919921999999</v>
      </c>
      <c r="D224" s="32">
        <v>0.83403279557997423</v>
      </c>
    </row>
    <row r="225" spans="1:4" x14ac:dyDescent="0.2">
      <c r="A225" s="23">
        <v>42552</v>
      </c>
      <c r="B225" s="30">
        <v>4430848</v>
      </c>
      <c r="C225" s="31">
        <v>16569.269531000002</v>
      </c>
      <c r="D225" s="32">
        <v>0.85211778052531562</v>
      </c>
    </row>
    <row r="226" spans="1:4" x14ac:dyDescent="0.2">
      <c r="A226" s="23">
        <v>42583</v>
      </c>
      <c r="B226" s="30">
        <v>4529802</v>
      </c>
      <c r="C226" s="31">
        <v>16887.400390999999</v>
      </c>
      <c r="D226" s="32">
        <v>0.87114810222764039</v>
      </c>
    </row>
    <row r="227" spans="1:4" x14ac:dyDescent="0.2">
      <c r="A227" s="23">
        <v>42614</v>
      </c>
      <c r="B227" s="30">
        <v>4568058</v>
      </c>
      <c r="C227" s="31">
        <v>16449.839843999998</v>
      </c>
      <c r="D227" s="32">
        <v>0.8785052983697279</v>
      </c>
    </row>
    <row r="228" spans="1:4" x14ac:dyDescent="0.2">
      <c r="A228" s="23">
        <v>42644</v>
      </c>
      <c r="B228" s="30">
        <v>4633922</v>
      </c>
      <c r="C228" s="31">
        <v>17425.019531000002</v>
      </c>
      <c r="D228" s="32">
        <v>0.88856746860239832</v>
      </c>
    </row>
    <row r="229" spans="1:4" x14ac:dyDescent="0.2">
      <c r="A229" s="23">
        <v>42675</v>
      </c>
      <c r="B229" s="30">
        <v>4711310</v>
      </c>
      <c r="C229" s="31">
        <v>18308.480468999998</v>
      </c>
      <c r="D229" s="32">
        <v>0.90340683345579942</v>
      </c>
    </row>
    <row r="230" spans="1:4" x14ac:dyDescent="0.2">
      <c r="A230" s="23">
        <v>42705</v>
      </c>
      <c r="B230" s="30">
        <v>4764980</v>
      </c>
      <c r="C230" s="31">
        <v>19114.369140999999</v>
      </c>
      <c r="D230" s="32">
        <v>0.91369820565409943</v>
      </c>
    </row>
    <row r="231" spans="1:4" x14ac:dyDescent="0.2">
      <c r="A231" s="23">
        <v>42736</v>
      </c>
      <c r="B231" s="30">
        <v>4819817</v>
      </c>
      <c r="C231" s="31">
        <v>19041.339843999998</v>
      </c>
      <c r="D231" s="32">
        <v>0.91363871761198368</v>
      </c>
    </row>
    <row r="232" spans="1:4" x14ac:dyDescent="0.2">
      <c r="A232" s="23">
        <v>42767</v>
      </c>
      <c r="B232" s="30">
        <v>4879011</v>
      </c>
      <c r="C232" s="31">
        <v>19118.990234000001</v>
      </c>
      <c r="D232" s="32">
        <v>0.92485946110708395</v>
      </c>
    </row>
    <row r="233" spans="1:4" x14ac:dyDescent="0.2">
      <c r="A233" s="23">
        <v>42795</v>
      </c>
      <c r="B233" s="30">
        <v>4900893</v>
      </c>
      <c r="C233" s="31">
        <v>18909.259765999999</v>
      </c>
      <c r="D233" s="32">
        <v>0.92900738672724448</v>
      </c>
    </row>
    <row r="234" spans="1:4" x14ac:dyDescent="0.2">
      <c r="A234" s="23">
        <v>42826</v>
      </c>
      <c r="B234" s="30">
        <v>4977463</v>
      </c>
      <c r="C234" s="31">
        <v>19196.740234000001</v>
      </c>
      <c r="D234" s="32">
        <v>0.94021811711304137</v>
      </c>
    </row>
    <row r="235" spans="1:4" x14ac:dyDescent="0.2">
      <c r="A235" s="23">
        <v>42856</v>
      </c>
      <c r="B235" s="30">
        <v>5008008</v>
      </c>
      <c r="C235" s="31">
        <v>19650.570313</v>
      </c>
      <c r="D235" s="32">
        <v>0.9459879163837176</v>
      </c>
    </row>
    <row r="236" spans="1:4" x14ac:dyDescent="0.2">
      <c r="A236" s="23">
        <v>42887</v>
      </c>
      <c r="B236" s="30">
        <v>5021084</v>
      </c>
      <c r="C236" s="31">
        <v>20033.429688</v>
      </c>
      <c r="D236" s="32">
        <v>0.94845790804400121</v>
      </c>
    </row>
    <row r="237" spans="1:4" x14ac:dyDescent="0.2">
      <c r="A237" s="23">
        <v>42917</v>
      </c>
      <c r="B237" s="30">
        <v>5055602</v>
      </c>
      <c r="C237" s="31">
        <v>19925.179688</v>
      </c>
      <c r="D237" s="32">
        <v>0.94968847164761394</v>
      </c>
    </row>
    <row r="238" spans="1:4" x14ac:dyDescent="0.2">
      <c r="A238" s="23">
        <v>42948</v>
      </c>
      <c r="B238" s="30">
        <v>5115845</v>
      </c>
      <c r="C238" s="31">
        <v>19646.240234000001</v>
      </c>
      <c r="D238" s="32">
        <v>0.96100504336300352</v>
      </c>
    </row>
    <row r="239" spans="1:4" x14ac:dyDescent="0.2">
      <c r="A239" s="23">
        <v>42979</v>
      </c>
      <c r="B239" s="30">
        <v>5134438</v>
      </c>
      <c r="C239" s="31">
        <v>20356.279297000001</v>
      </c>
      <c r="D239" s="32">
        <v>0.96449771500791226</v>
      </c>
    </row>
    <row r="240" spans="1:4" x14ac:dyDescent="0.2">
      <c r="A240" s="23">
        <v>43009</v>
      </c>
      <c r="B240" s="30">
        <v>5180461</v>
      </c>
      <c r="C240" s="31">
        <v>22011.609375</v>
      </c>
      <c r="D240" s="32">
        <v>0.96861481149497619</v>
      </c>
    </row>
    <row r="241" spans="1:4" x14ac:dyDescent="0.2">
      <c r="A241" s="23">
        <v>43040</v>
      </c>
      <c r="B241" s="30">
        <v>5218600</v>
      </c>
      <c r="C241" s="31">
        <v>22724.960938</v>
      </c>
      <c r="D241" s="32">
        <v>0.97574583714995311</v>
      </c>
    </row>
    <row r="242" spans="1:4" x14ac:dyDescent="0.2">
      <c r="A242" s="23">
        <v>43070</v>
      </c>
      <c r="B242" s="30">
        <v>5214161</v>
      </c>
      <c r="C242" s="31">
        <v>22764.939452999999</v>
      </c>
      <c r="D242" s="32">
        <v>0.97491585673928571</v>
      </c>
    </row>
    <row r="243" spans="1:4" x14ac:dyDescent="0.2">
      <c r="A243" s="23">
        <v>43101</v>
      </c>
      <c r="B243" s="30">
        <v>5267036</v>
      </c>
      <c r="C243" s="31">
        <v>23098.289063</v>
      </c>
      <c r="D243" s="32">
        <v>0.98954642560501049</v>
      </c>
    </row>
    <row r="244" spans="1:4" x14ac:dyDescent="0.2">
      <c r="A244" s="23">
        <v>43132</v>
      </c>
      <c r="B244" s="30">
        <v>5331792</v>
      </c>
      <c r="C244" s="31">
        <v>22068.240234000001</v>
      </c>
      <c r="D244" s="32">
        <v>1.0017124841503626</v>
      </c>
    </row>
    <row r="245" spans="1:4" x14ac:dyDescent="0.2">
      <c r="A245" s="23">
        <v>43160</v>
      </c>
      <c r="B245" s="30">
        <v>5282856</v>
      </c>
      <c r="C245" s="31">
        <v>21454.300781000002</v>
      </c>
      <c r="D245" s="32">
        <v>0.9925186142236323</v>
      </c>
    </row>
    <row r="246" spans="1:4" x14ac:dyDescent="0.2">
      <c r="A246" s="23">
        <v>43191</v>
      </c>
      <c r="B246" s="30">
        <v>5350510</v>
      </c>
      <c r="C246" s="31">
        <v>22467.869140999999</v>
      </c>
      <c r="D246" s="32">
        <v>1.0007678056563243</v>
      </c>
    </row>
    <row r="247" spans="1:4" x14ac:dyDescent="0.2">
      <c r="A247" s="23">
        <v>43221</v>
      </c>
      <c r="B247" s="30">
        <v>5408036</v>
      </c>
      <c r="C247" s="31">
        <v>22201.820313</v>
      </c>
      <c r="D247" s="32">
        <v>1.0115275591729396</v>
      </c>
    </row>
    <row r="248" spans="1:4" x14ac:dyDescent="0.2">
      <c r="A248" s="23">
        <v>43252</v>
      </c>
      <c r="B248" s="30">
        <v>5370168</v>
      </c>
      <c r="C248" s="31">
        <v>22304.509765999999</v>
      </c>
      <c r="D248" s="32">
        <v>1.0044446688943318</v>
      </c>
    </row>
    <row r="249" spans="1:4" x14ac:dyDescent="0.2">
      <c r="A249" s="23">
        <v>43282</v>
      </c>
      <c r="B249" s="30">
        <v>5463108</v>
      </c>
      <c r="C249" s="31">
        <v>22553.720702999999</v>
      </c>
      <c r="D249" s="32">
        <v>1.0305005534374618</v>
      </c>
    </row>
    <row r="250" spans="1:4" x14ac:dyDescent="0.2">
      <c r="A250" s="23">
        <v>43313</v>
      </c>
      <c r="B250" s="30">
        <v>5509363</v>
      </c>
      <c r="C250" s="31">
        <v>22865.150390999999</v>
      </c>
      <c r="D250" s="32">
        <v>1.0392255874472689</v>
      </c>
    </row>
    <row r="251" spans="1:4" x14ac:dyDescent="0.2">
      <c r="A251" s="23">
        <v>43344</v>
      </c>
      <c r="B251" s="30">
        <v>5456615</v>
      </c>
      <c r="C251" s="31">
        <v>24120.039063</v>
      </c>
      <c r="D251" s="32">
        <v>1.0292757853945327</v>
      </c>
    </row>
    <row r="252" spans="1:4" x14ac:dyDescent="0.2">
      <c r="A252" s="23">
        <v>43374</v>
      </c>
      <c r="B252" s="30">
        <v>5518054</v>
      </c>
      <c r="C252" s="31">
        <v>21920.460938</v>
      </c>
      <c r="D252" s="32">
        <v>1.0350246824148439</v>
      </c>
    </row>
    <row r="253" spans="1:4" x14ac:dyDescent="0.2">
      <c r="A253" s="23">
        <v>43405</v>
      </c>
      <c r="B253" s="30">
        <v>5555010</v>
      </c>
      <c r="C253" s="31">
        <v>22351.060547000001</v>
      </c>
      <c r="D253" s="32">
        <v>1.041956541393267</v>
      </c>
    </row>
    <row r="254" spans="1:4" x14ac:dyDescent="0.2">
      <c r="A254" s="23">
        <v>43435</v>
      </c>
      <c r="B254" s="30">
        <v>5520843</v>
      </c>
      <c r="C254" s="31">
        <v>20014.769531000002</v>
      </c>
      <c r="D254" s="32">
        <v>1.0355478168095518</v>
      </c>
    </row>
    <row r="255" spans="1:4" x14ac:dyDescent="0.2">
      <c r="A255" s="23">
        <v>43466</v>
      </c>
      <c r="B255" s="30">
        <v>5569180</v>
      </c>
      <c r="C255" s="31">
        <v>20773.490234000001</v>
      </c>
      <c r="D255" s="32">
        <v>1.0379556308344677</v>
      </c>
    </row>
    <row r="256" spans="1:4" x14ac:dyDescent="0.2">
      <c r="A256" s="23">
        <v>43497</v>
      </c>
      <c r="B256" s="30">
        <v>5619262</v>
      </c>
      <c r="C256" s="31">
        <v>21385.160156000002</v>
      </c>
      <c r="D256" s="32">
        <v>1.0472896609616051</v>
      </c>
    </row>
    <row r="257" spans="1:4" x14ac:dyDescent="0.2">
      <c r="A257" s="23">
        <v>43525</v>
      </c>
      <c r="B257" s="30">
        <v>5570243</v>
      </c>
      <c r="C257" s="31">
        <v>21205.810547000001</v>
      </c>
      <c r="D257" s="32">
        <v>1.038153747403797</v>
      </c>
    </row>
    <row r="258" spans="1:4" x14ac:dyDescent="0.2">
      <c r="A258" s="23">
        <v>43556</v>
      </c>
      <c r="B258" s="30">
        <v>5620357</v>
      </c>
      <c r="C258" s="31">
        <v>22258.730468999998</v>
      </c>
      <c r="D258" s="32">
        <v>1.0419412171139653</v>
      </c>
    </row>
    <row r="259" spans="1:4" x14ac:dyDescent="0.2">
      <c r="A259" s="23">
        <v>43586</v>
      </c>
      <c r="B259" s="30">
        <v>5671565</v>
      </c>
      <c r="C259" s="31">
        <v>20601.189452999999</v>
      </c>
      <c r="D259" s="32">
        <v>1.0514345154660045</v>
      </c>
    </row>
    <row r="260" spans="1:4" x14ac:dyDescent="0.2">
      <c r="A260" s="23">
        <v>43617</v>
      </c>
      <c r="B260" s="30">
        <v>5648665</v>
      </c>
      <c r="C260" s="31">
        <v>21275.919922000001</v>
      </c>
      <c r="D260" s="32">
        <v>1.0471891527831876</v>
      </c>
    </row>
    <row r="261" spans="1:4" x14ac:dyDescent="0.2">
      <c r="A261" s="23">
        <v>43647</v>
      </c>
      <c r="B261" s="30">
        <v>5683142</v>
      </c>
      <c r="C261" s="31">
        <v>21521.529297000001</v>
      </c>
      <c r="D261" s="32">
        <v>1.0535401159254467</v>
      </c>
    </row>
    <row r="262" spans="1:4" x14ac:dyDescent="0.2">
      <c r="A262" s="23">
        <v>43678</v>
      </c>
      <c r="B262" s="30">
        <v>5727192</v>
      </c>
      <c r="C262" s="31">
        <v>20704.369140999999</v>
      </c>
      <c r="D262" s="32">
        <v>1.0617060991274354</v>
      </c>
    </row>
    <row r="263" spans="1:4" x14ac:dyDescent="0.2">
      <c r="A263" s="23">
        <v>43709</v>
      </c>
      <c r="B263" s="30">
        <v>5698026</v>
      </c>
      <c r="C263" s="31">
        <v>21755.839843999998</v>
      </c>
      <c r="D263" s="32">
        <v>1.056299309886364</v>
      </c>
    </row>
    <row r="264" spans="1:4" x14ac:dyDescent="0.2">
      <c r="A264" s="23">
        <v>43739</v>
      </c>
      <c r="B264" s="30">
        <v>5756702</v>
      </c>
      <c r="C264" s="31">
        <v>22927.039063</v>
      </c>
      <c r="D264" s="32">
        <v>1.0873644430987315</v>
      </c>
    </row>
    <row r="265" spans="1:4" x14ac:dyDescent="0.2">
      <c r="A265" s="23">
        <v>43770</v>
      </c>
      <c r="B265" s="30">
        <v>5785322</v>
      </c>
      <c r="C265" s="31">
        <v>23293.910156000002</v>
      </c>
      <c r="D265" s="32">
        <v>1.0927703804499243</v>
      </c>
    </row>
    <row r="266" spans="1:4" x14ac:dyDescent="0.2">
      <c r="A266" s="23">
        <v>43800</v>
      </c>
      <c r="B266" s="30">
        <v>5730531</v>
      </c>
      <c r="C266" s="31">
        <v>23656.619140999999</v>
      </c>
      <c r="D266" s="32">
        <v>1.0824210892755985</v>
      </c>
    </row>
    <row r="267" spans="1:4" x14ac:dyDescent="0.2">
      <c r="A267" s="23">
        <v>43831</v>
      </c>
      <c r="B267" s="30">
        <v>5783352</v>
      </c>
      <c r="C267" s="31">
        <v>23205.179688</v>
      </c>
      <c r="D267" s="32">
        <v>1.0986072491127903</v>
      </c>
    </row>
    <row r="268" spans="1:4" x14ac:dyDescent="0.2">
      <c r="A268" s="33">
        <v>43862</v>
      </c>
      <c r="B268" s="34">
        <v>5849208</v>
      </c>
      <c r="C268" s="35">
        <v>21142.960938</v>
      </c>
      <c r="D268" s="36">
        <v>1.1111172742673325</v>
      </c>
    </row>
    <row r="269" spans="1:4" x14ac:dyDescent="0.2">
      <c r="A269" s="23">
        <v>43891</v>
      </c>
      <c r="B269" s="30">
        <v>6044846</v>
      </c>
      <c r="C269" s="31"/>
      <c r="D269" s="32"/>
    </row>
    <row r="270" spans="1:4" x14ac:dyDescent="0.2">
      <c r="A270" s="33">
        <v>43922</v>
      </c>
      <c r="B270" s="34">
        <v>6190306</v>
      </c>
      <c r="C270" s="35"/>
      <c r="D270" s="36"/>
    </row>
    <row r="271" spans="1:4" x14ac:dyDescent="0.2">
      <c r="A271" s="23">
        <v>43952</v>
      </c>
      <c r="B271" s="30">
        <v>6385922</v>
      </c>
      <c r="C271" s="31"/>
      <c r="D271" s="32"/>
    </row>
    <row r="272" spans="1:4" x14ac:dyDescent="0.2">
      <c r="A272" s="33">
        <v>43983</v>
      </c>
      <c r="B272" s="34">
        <v>6489462</v>
      </c>
      <c r="C272" s="35"/>
      <c r="D272" s="36"/>
    </row>
    <row r="273" spans="1:4" x14ac:dyDescent="0.2">
      <c r="A273" s="23">
        <v>44013</v>
      </c>
      <c r="B273" s="30">
        <v>6658852</v>
      </c>
      <c r="C273" s="31"/>
      <c r="D273" s="32"/>
    </row>
    <row r="274" spans="1:4" x14ac:dyDescent="0.2">
      <c r="A274" s="33">
        <v>44044</v>
      </c>
      <c r="B274" s="34">
        <v>6828990</v>
      </c>
      <c r="C274" s="35"/>
      <c r="D274" s="36"/>
    </row>
    <row r="275" spans="1:4" x14ac:dyDescent="0.2">
      <c r="A275" s="23">
        <v>44075</v>
      </c>
      <c r="B275" s="30">
        <v>6900269</v>
      </c>
      <c r="C275" s="31"/>
      <c r="D275" s="32"/>
    </row>
    <row r="276" spans="1:4" x14ac:dyDescent="0.2">
      <c r="A276" s="33">
        <v>44105</v>
      </c>
      <c r="B276" s="34">
        <v>6982309</v>
      </c>
      <c r="C276" s="35"/>
      <c r="D276" s="36"/>
    </row>
    <row r="277" spans="1:4" x14ac:dyDescent="0.2">
      <c r="A277" s="23">
        <v>44136</v>
      </c>
      <c r="B277" s="30">
        <v>7053047</v>
      </c>
      <c r="C277" s="31"/>
      <c r="D277" s="32"/>
    </row>
    <row r="278" spans="1:4" x14ac:dyDescent="0.2">
      <c r="A278" s="33">
        <v>44166</v>
      </c>
      <c r="B278" s="34">
        <v>7025822</v>
      </c>
      <c r="C278" s="35"/>
      <c r="D278" s="36"/>
    </row>
    <row r="279" spans="1:4" x14ac:dyDescent="0.2">
      <c r="A279" s="23">
        <v>44197</v>
      </c>
      <c r="B279" s="30">
        <v>7094935</v>
      </c>
      <c r="C279" s="31"/>
      <c r="D279" s="32"/>
    </row>
    <row r="280" spans="1:4" x14ac:dyDescent="0.2">
      <c r="A280" s="23">
        <v>44228</v>
      </c>
      <c r="B280" s="30">
        <v>7126021</v>
      </c>
      <c r="C280" s="31"/>
      <c r="D280" s="32"/>
    </row>
    <row r="281" spans="1:4" x14ac:dyDescent="0.2">
      <c r="A281" s="33">
        <v>44256</v>
      </c>
      <c r="B281" s="34">
        <v>7145566</v>
      </c>
      <c r="C281" s="35"/>
      <c r="D281" s="36"/>
    </row>
    <row r="282" spans="1:4" x14ac:dyDescent="0.2">
      <c r="A282" s="23">
        <v>44287</v>
      </c>
      <c r="B282" s="30">
        <v>7202316</v>
      </c>
      <c r="C282" s="31"/>
      <c r="D282" s="32"/>
    </row>
    <row r="283" spans="1:4" x14ac:dyDescent="0.2">
      <c r="A283" s="33">
        <v>44317</v>
      </c>
      <c r="B283" s="34">
        <v>7246409</v>
      </c>
      <c r="C283" s="35"/>
      <c r="D283" s="36"/>
    </row>
    <row r="284" spans="1:4" x14ac:dyDescent="0.2">
      <c r="A284" s="23">
        <v>44348</v>
      </c>
      <c r="B284" s="30">
        <v>7169006</v>
      </c>
      <c r="C284" s="31"/>
      <c r="D284" s="32"/>
    </row>
    <row r="285" spans="1:4" x14ac:dyDescent="0.2">
      <c r="A285" s="33">
        <v>44378</v>
      </c>
      <c r="B285" s="34">
        <v>7229429</v>
      </c>
      <c r="C285" s="35"/>
      <c r="D285" s="36"/>
    </row>
    <row r="286" spans="1:4" x14ac:dyDescent="0.2">
      <c r="A286" s="23">
        <v>44409</v>
      </c>
      <c r="B286" s="30">
        <v>7267102</v>
      </c>
      <c r="C286" s="31"/>
      <c r="D286" s="32"/>
    </row>
  </sheetData>
  <phoneticPr fontId="7" type="noConversion"/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B598-DE27-421E-9D14-B7EF56EE7E4E}">
  <dimension ref="A1:B345"/>
  <sheetViews>
    <sheetView zoomScale="180" zoomScaleNormal="180" workbookViewId="0">
      <pane ySplit="6" topLeftCell="A258" activePane="bottomLeft" state="frozen"/>
      <selection pane="bottomLeft" activeCell="P352" sqref="P352"/>
    </sheetView>
  </sheetViews>
  <sheetFormatPr baseColWidth="10" defaultColWidth="9.1640625" defaultRowHeight="15" x14ac:dyDescent="0.2"/>
  <cols>
    <col min="1" max="1" width="20.1640625" style="1" customWidth="1"/>
    <col min="2" max="2" width="22.83203125" style="1" customWidth="1"/>
    <col min="3" max="16384" width="9.1640625" style="1"/>
  </cols>
  <sheetData>
    <row r="1" spans="1:2" x14ac:dyDescent="0.2">
      <c r="A1" s="20"/>
      <c r="B1" s="20"/>
    </row>
    <row r="3" spans="1:2" x14ac:dyDescent="0.2">
      <c r="A3" s="20" t="s">
        <v>53</v>
      </c>
      <c r="B3" s="20" t="s">
        <v>54</v>
      </c>
    </row>
    <row r="5" spans="1:2" x14ac:dyDescent="0.2">
      <c r="A5" s="20" t="s">
        <v>46</v>
      </c>
      <c r="B5" s="20"/>
    </row>
    <row r="6" spans="1:2" ht="57" x14ac:dyDescent="0.2">
      <c r="A6" s="27" t="s">
        <v>20</v>
      </c>
      <c r="B6" s="28" t="s">
        <v>55</v>
      </c>
    </row>
    <row r="7" spans="1:2" x14ac:dyDescent="0.2">
      <c r="A7" s="21">
        <v>36130</v>
      </c>
      <c r="B7" s="22">
        <v>697160</v>
      </c>
    </row>
    <row r="8" spans="1:2" x14ac:dyDescent="0.2">
      <c r="A8" s="21">
        <v>36161</v>
      </c>
      <c r="B8" s="22">
        <v>694638</v>
      </c>
    </row>
    <row r="9" spans="1:2" x14ac:dyDescent="0.2">
      <c r="A9" s="21">
        <v>36192</v>
      </c>
      <c r="B9" s="22">
        <v>692641</v>
      </c>
    </row>
    <row r="10" spans="1:2" x14ac:dyDescent="0.2">
      <c r="A10" s="21">
        <v>36220</v>
      </c>
      <c r="B10" s="22">
        <v>699396</v>
      </c>
    </row>
    <row r="11" spans="1:2" x14ac:dyDescent="0.2">
      <c r="A11" s="21">
        <v>36251</v>
      </c>
      <c r="B11" s="22">
        <v>698296</v>
      </c>
    </row>
    <row r="12" spans="1:2" x14ac:dyDescent="0.2">
      <c r="A12" s="21">
        <v>36281</v>
      </c>
      <c r="B12" s="22">
        <v>705060</v>
      </c>
    </row>
    <row r="13" spans="1:2" x14ac:dyDescent="0.2">
      <c r="A13" s="21">
        <v>36312</v>
      </c>
      <c r="B13" s="22">
        <v>695644</v>
      </c>
    </row>
    <row r="14" spans="1:2" x14ac:dyDescent="0.2">
      <c r="A14" s="21">
        <v>36342</v>
      </c>
      <c r="B14" s="22">
        <v>739725</v>
      </c>
    </row>
    <row r="15" spans="1:2" x14ac:dyDescent="0.2">
      <c r="A15" s="21">
        <v>36373</v>
      </c>
      <c r="B15" s="22">
        <v>733966</v>
      </c>
    </row>
    <row r="16" spans="1:2" x14ac:dyDescent="0.2">
      <c r="A16" s="21">
        <v>36404</v>
      </c>
      <c r="B16" s="22">
        <v>728600</v>
      </c>
    </row>
    <row r="17" spans="1:2" x14ac:dyDescent="0.2">
      <c r="A17" s="21">
        <v>36434</v>
      </c>
      <c r="B17" s="22">
        <v>742624</v>
      </c>
    </row>
    <row r="18" spans="1:2" x14ac:dyDescent="0.2">
      <c r="A18" s="21">
        <v>36465</v>
      </c>
      <c r="B18" s="22">
        <v>743495</v>
      </c>
    </row>
    <row r="19" spans="1:2" x14ac:dyDescent="0.2">
      <c r="A19" s="21">
        <v>36495</v>
      </c>
      <c r="B19" s="22">
        <v>806304</v>
      </c>
    </row>
    <row r="20" spans="1:2" x14ac:dyDescent="0.2">
      <c r="A20" s="21">
        <v>36526</v>
      </c>
      <c r="B20" s="22">
        <v>772749</v>
      </c>
    </row>
    <row r="21" spans="1:2" x14ac:dyDescent="0.2">
      <c r="A21" s="21">
        <v>36557</v>
      </c>
      <c r="B21" s="22">
        <v>752207</v>
      </c>
    </row>
    <row r="22" spans="1:2" x14ac:dyDescent="0.2">
      <c r="A22" s="21">
        <v>36586</v>
      </c>
      <c r="B22" s="22">
        <v>774421</v>
      </c>
    </row>
    <row r="23" spans="1:2" x14ac:dyDescent="0.2">
      <c r="A23" s="21">
        <v>36617</v>
      </c>
      <c r="B23" s="22">
        <v>782962</v>
      </c>
    </row>
    <row r="24" spans="1:2" x14ac:dyDescent="0.2">
      <c r="A24" s="21">
        <v>36647</v>
      </c>
      <c r="B24" s="22">
        <v>779222</v>
      </c>
    </row>
    <row r="25" spans="1:2" x14ac:dyDescent="0.2">
      <c r="A25" s="21">
        <v>36678</v>
      </c>
      <c r="B25" s="22">
        <v>812468</v>
      </c>
    </row>
    <row r="26" spans="1:2" x14ac:dyDescent="0.2">
      <c r="A26" s="21">
        <v>36708</v>
      </c>
      <c r="B26" s="22">
        <v>800725</v>
      </c>
    </row>
    <row r="27" spans="1:2" x14ac:dyDescent="0.2">
      <c r="A27" s="21">
        <v>36739</v>
      </c>
      <c r="B27" s="22">
        <v>796968</v>
      </c>
    </row>
    <row r="28" spans="1:2" x14ac:dyDescent="0.2">
      <c r="A28" s="21">
        <v>36770</v>
      </c>
      <c r="B28" s="22">
        <v>826310</v>
      </c>
    </row>
    <row r="29" spans="1:2" x14ac:dyDescent="0.2">
      <c r="A29" s="21">
        <v>36800</v>
      </c>
      <c r="B29" s="22">
        <v>822086</v>
      </c>
    </row>
    <row r="30" spans="1:2" x14ac:dyDescent="0.2">
      <c r="A30" s="21">
        <v>36831</v>
      </c>
      <c r="B30" s="22">
        <v>833103</v>
      </c>
    </row>
    <row r="31" spans="1:2" x14ac:dyDescent="0.2">
      <c r="A31" s="21">
        <v>36861</v>
      </c>
      <c r="B31" s="22">
        <v>836078</v>
      </c>
    </row>
    <row r="32" spans="1:2" x14ac:dyDescent="0.2">
      <c r="A32" s="21">
        <v>36892</v>
      </c>
      <c r="B32" s="22">
        <v>853462</v>
      </c>
    </row>
    <row r="33" spans="1:2" x14ac:dyDescent="0.2">
      <c r="A33" s="21">
        <v>36923</v>
      </c>
      <c r="B33" s="22">
        <v>871589</v>
      </c>
    </row>
    <row r="34" spans="1:2" x14ac:dyDescent="0.2">
      <c r="A34" s="21">
        <v>36951</v>
      </c>
      <c r="B34" s="22">
        <v>847959</v>
      </c>
    </row>
    <row r="35" spans="1:2" x14ac:dyDescent="0.2">
      <c r="A35" s="21">
        <v>36982</v>
      </c>
      <c r="B35" s="22">
        <v>839272</v>
      </c>
    </row>
    <row r="36" spans="1:2" x14ac:dyDescent="0.2">
      <c r="A36" s="21">
        <v>37012</v>
      </c>
      <c r="B36" s="22">
        <v>825427</v>
      </c>
    </row>
    <row r="37" spans="1:2" x14ac:dyDescent="0.2">
      <c r="A37" s="21">
        <v>37043</v>
      </c>
      <c r="B37" s="22">
        <v>862767</v>
      </c>
    </row>
    <row r="38" spans="1:2" x14ac:dyDescent="0.2">
      <c r="A38" s="21">
        <v>37073</v>
      </c>
      <c r="B38" s="22">
        <v>862061</v>
      </c>
    </row>
    <row r="39" spans="1:2" x14ac:dyDescent="0.2">
      <c r="A39" s="21">
        <v>37104</v>
      </c>
      <c r="B39" s="22">
        <v>833389</v>
      </c>
    </row>
    <row r="40" spans="1:2" x14ac:dyDescent="0.2">
      <c r="A40" s="21">
        <v>37135</v>
      </c>
      <c r="B40" s="22">
        <v>817364</v>
      </c>
    </row>
    <row r="41" spans="1:2" x14ac:dyDescent="0.2">
      <c r="A41" s="21">
        <v>37165</v>
      </c>
      <c r="B41" s="22">
        <v>809996</v>
      </c>
    </row>
    <row r="42" spans="1:2" x14ac:dyDescent="0.2">
      <c r="A42" s="21">
        <v>37196</v>
      </c>
      <c r="B42" s="22">
        <v>810690</v>
      </c>
    </row>
    <row r="43" spans="1:2" x14ac:dyDescent="0.2">
      <c r="A43" s="21">
        <v>37226</v>
      </c>
      <c r="B43" s="22">
        <v>813762</v>
      </c>
    </row>
    <row r="44" spans="1:2" x14ac:dyDescent="0.2">
      <c r="A44" s="21">
        <v>37257</v>
      </c>
      <c r="B44" s="22">
        <v>839687</v>
      </c>
    </row>
    <row r="45" spans="1:2" x14ac:dyDescent="0.2">
      <c r="A45" s="21">
        <v>37288</v>
      </c>
      <c r="B45" s="22">
        <v>777402</v>
      </c>
    </row>
    <row r="46" spans="1:2" x14ac:dyDescent="0.2">
      <c r="A46" s="21">
        <v>37316</v>
      </c>
      <c r="B46" s="22">
        <v>814901</v>
      </c>
    </row>
    <row r="47" spans="1:2" x14ac:dyDescent="0.2">
      <c r="A47" s="21">
        <v>37347</v>
      </c>
      <c r="B47" s="22">
        <v>788835</v>
      </c>
    </row>
    <row r="48" spans="1:2" x14ac:dyDescent="0.2">
      <c r="A48" s="21">
        <v>37377</v>
      </c>
      <c r="B48" s="22">
        <v>793333</v>
      </c>
    </row>
    <row r="49" spans="1:2" x14ac:dyDescent="0.2">
      <c r="A49" s="21">
        <v>37408</v>
      </c>
      <c r="B49" s="22">
        <v>780845</v>
      </c>
    </row>
    <row r="50" spans="1:2" x14ac:dyDescent="0.2">
      <c r="A50" s="21">
        <v>37438</v>
      </c>
      <c r="B50" s="22">
        <v>783540</v>
      </c>
    </row>
    <row r="51" spans="1:2" x14ac:dyDescent="0.2">
      <c r="A51" s="21">
        <v>37469</v>
      </c>
      <c r="B51" s="22">
        <v>770838</v>
      </c>
    </row>
    <row r="52" spans="1:2" x14ac:dyDescent="0.2">
      <c r="A52" s="21">
        <v>37500</v>
      </c>
      <c r="B52" s="22">
        <v>772822</v>
      </c>
    </row>
    <row r="53" spans="1:2" x14ac:dyDescent="0.2">
      <c r="A53" s="21">
        <v>37530</v>
      </c>
      <c r="B53" s="22">
        <v>798028</v>
      </c>
    </row>
    <row r="54" spans="1:2" x14ac:dyDescent="0.2">
      <c r="A54" s="21">
        <v>37561</v>
      </c>
      <c r="B54" s="22">
        <v>796464</v>
      </c>
    </row>
    <row r="55" spans="1:2" x14ac:dyDescent="0.2">
      <c r="A55" s="21">
        <v>37591</v>
      </c>
      <c r="B55" s="22">
        <v>795161</v>
      </c>
    </row>
    <row r="56" spans="1:2" x14ac:dyDescent="0.2">
      <c r="A56" s="21">
        <v>37622</v>
      </c>
      <c r="B56" s="22">
        <v>786730</v>
      </c>
    </row>
    <row r="57" spans="1:2" x14ac:dyDescent="0.2">
      <c r="A57" s="21">
        <v>37653</v>
      </c>
      <c r="B57" s="22">
        <v>790649</v>
      </c>
    </row>
    <row r="58" spans="1:2" x14ac:dyDescent="0.2">
      <c r="A58" s="21">
        <v>37681</v>
      </c>
      <c r="B58" s="22">
        <v>798674</v>
      </c>
    </row>
    <row r="59" spans="1:2" x14ac:dyDescent="0.2">
      <c r="A59" s="21">
        <v>37712</v>
      </c>
      <c r="B59" s="22">
        <v>800643</v>
      </c>
    </row>
    <row r="60" spans="1:2" x14ac:dyDescent="0.2">
      <c r="A60" s="21">
        <v>37742</v>
      </c>
      <c r="B60" s="22">
        <v>801435</v>
      </c>
    </row>
    <row r="61" spans="1:2" x14ac:dyDescent="0.2">
      <c r="A61" s="21">
        <v>37773</v>
      </c>
      <c r="B61" s="22">
        <v>813568</v>
      </c>
    </row>
    <row r="62" spans="1:2" x14ac:dyDescent="0.2">
      <c r="A62" s="21">
        <v>37803</v>
      </c>
      <c r="B62" s="22">
        <v>828475</v>
      </c>
    </row>
    <row r="63" spans="1:2" x14ac:dyDescent="0.2">
      <c r="A63" s="21">
        <v>37834</v>
      </c>
      <c r="B63" s="22">
        <v>814810</v>
      </c>
    </row>
    <row r="64" spans="1:2" x14ac:dyDescent="0.2">
      <c r="A64" s="21">
        <v>37865</v>
      </c>
      <c r="B64" s="22">
        <v>829239</v>
      </c>
    </row>
    <row r="65" spans="1:2" x14ac:dyDescent="0.2">
      <c r="A65" s="21">
        <v>37895</v>
      </c>
      <c r="B65" s="22">
        <v>818606</v>
      </c>
    </row>
    <row r="66" spans="1:2" x14ac:dyDescent="0.2">
      <c r="A66" s="21">
        <v>37926</v>
      </c>
      <c r="B66" s="22">
        <v>833339</v>
      </c>
    </row>
    <row r="67" spans="1:2" x14ac:dyDescent="0.2">
      <c r="A67" s="21">
        <v>37956</v>
      </c>
      <c r="B67" s="22">
        <v>834796</v>
      </c>
    </row>
    <row r="68" spans="1:2" x14ac:dyDescent="0.2">
      <c r="A68" s="21">
        <v>37987</v>
      </c>
      <c r="B68" s="22">
        <v>824392</v>
      </c>
    </row>
    <row r="69" spans="1:2" x14ac:dyDescent="0.2">
      <c r="A69" s="21">
        <v>38018</v>
      </c>
      <c r="B69" s="22">
        <v>824024</v>
      </c>
    </row>
    <row r="70" spans="1:2" x14ac:dyDescent="0.2">
      <c r="A70" s="21">
        <v>38047</v>
      </c>
      <c r="B70" s="22">
        <v>830349</v>
      </c>
    </row>
    <row r="71" spans="1:2" x14ac:dyDescent="0.2">
      <c r="A71" s="21">
        <v>38078</v>
      </c>
      <c r="B71" s="22">
        <v>853538</v>
      </c>
    </row>
    <row r="72" spans="1:2" x14ac:dyDescent="0.2">
      <c r="A72" s="21">
        <v>38108</v>
      </c>
      <c r="B72" s="22">
        <v>867250</v>
      </c>
    </row>
    <row r="73" spans="1:2" x14ac:dyDescent="0.2">
      <c r="A73" s="21">
        <v>38139</v>
      </c>
      <c r="B73" s="22">
        <v>895838</v>
      </c>
    </row>
    <row r="74" spans="1:2" x14ac:dyDescent="0.2">
      <c r="A74" s="21">
        <v>38169</v>
      </c>
      <c r="B74" s="22">
        <v>883749</v>
      </c>
    </row>
    <row r="75" spans="1:2" x14ac:dyDescent="0.2">
      <c r="A75" s="21">
        <v>38200</v>
      </c>
      <c r="B75" s="22">
        <v>881876</v>
      </c>
    </row>
    <row r="76" spans="1:2" x14ac:dyDescent="0.2">
      <c r="A76" s="21">
        <v>38231</v>
      </c>
      <c r="B76" s="22">
        <v>885811</v>
      </c>
    </row>
    <row r="77" spans="1:2" x14ac:dyDescent="0.2">
      <c r="A77" s="21">
        <v>38261</v>
      </c>
      <c r="B77" s="22">
        <v>893778</v>
      </c>
    </row>
    <row r="78" spans="1:2" x14ac:dyDescent="0.2">
      <c r="A78" s="21">
        <v>38292</v>
      </c>
      <c r="B78" s="22">
        <v>899065</v>
      </c>
    </row>
    <row r="79" spans="1:2" x14ac:dyDescent="0.2">
      <c r="A79" s="21">
        <v>38322</v>
      </c>
      <c r="B79" s="22">
        <v>884324</v>
      </c>
    </row>
    <row r="80" spans="1:2" x14ac:dyDescent="0.2">
      <c r="A80" s="21">
        <v>38353</v>
      </c>
      <c r="B80" s="22">
        <v>894782</v>
      </c>
    </row>
    <row r="81" spans="1:2" x14ac:dyDescent="0.2">
      <c r="A81" s="21">
        <v>38384</v>
      </c>
      <c r="B81" s="22">
        <v>913849</v>
      </c>
    </row>
    <row r="82" spans="1:2" x14ac:dyDescent="0.2">
      <c r="A82" s="21">
        <v>38412</v>
      </c>
      <c r="B82" s="22">
        <v>926434</v>
      </c>
    </row>
    <row r="83" spans="1:2" x14ac:dyDescent="0.2">
      <c r="A83" s="21">
        <v>38443</v>
      </c>
      <c r="B83" s="22">
        <v>934479</v>
      </c>
    </row>
    <row r="84" spans="1:2" x14ac:dyDescent="0.2">
      <c r="A84" s="21">
        <v>38473</v>
      </c>
      <c r="B84" s="22">
        <v>927781</v>
      </c>
    </row>
    <row r="85" spans="1:2" x14ac:dyDescent="0.2">
      <c r="A85" s="21">
        <v>38504</v>
      </c>
      <c r="B85" s="22">
        <v>967868</v>
      </c>
    </row>
    <row r="86" spans="1:2" x14ac:dyDescent="0.2">
      <c r="A86" s="21">
        <v>38534</v>
      </c>
      <c r="B86" s="22">
        <v>996796</v>
      </c>
    </row>
    <row r="87" spans="1:2" x14ac:dyDescent="0.2">
      <c r="A87" s="21">
        <v>38565</v>
      </c>
      <c r="B87" s="22">
        <v>992270</v>
      </c>
    </row>
    <row r="88" spans="1:2" x14ac:dyDescent="0.2">
      <c r="A88" s="21">
        <v>38596</v>
      </c>
      <c r="B88" s="22">
        <v>996044</v>
      </c>
    </row>
    <row r="89" spans="1:2" x14ac:dyDescent="0.2">
      <c r="A89" s="21">
        <v>38626</v>
      </c>
      <c r="B89" s="22">
        <v>1003504</v>
      </c>
    </row>
    <row r="90" spans="1:2" x14ac:dyDescent="0.2">
      <c r="A90" s="21">
        <v>38657</v>
      </c>
      <c r="B90" s="22">
        <v>1017239</v>
      </c>
    </row>
    <row r="91" spans="1:2" x14ac:dyDescent="0.2">
      <c r="A91" s="21">
        <v>38687</v>
      </c>
      <c r="B91" s="22">
        <v>1038616</v>
      </c>
    </row>
    <row r="92" spans="1:2" x14ac:dyDescent="0.2">
      <c r="A92" s="21">
        <v>38718</v>
      </c>
      <c r="B92" s="22">
        <v>1055186</v>
      </c>
    </row>
    <row r="93" spans="1:2" x14ac:dyDescent="0.2">
      <c r="A93" s="21">
        <v>38749</v>
      </c>
      <c r="B93" s="22">
        <v>1062732</v>
      </c>
    </row>
    <row r="94" spans="1:2" x14ac:dyDescent="0.2">
      <c r="A94" s="21">
        <v>38777</v>
      </c>
      <c r="B94" s="22">
        <v>1067477</v>
      </c>
    </row>
    <row r="95" spans="1:2" x14ac:dyDescent="0.2">
      <c r="A95" s="21">
        <v>38808</v>
      </c>
      <c r="B95" s="22">
        <v>1080389</v>
      </c>
    </row>
    <row r="96" spans="1:2" x14ac:dyDescent="0.2">
      <c r="A96" s="21">
        <v>38838</v>
      </c>
      <c r="B96" s="22">
        <v>1084094</v>
      </c>
    </row>
    <row r="97" spans="1:2" x14ac:dyDescent="0.2">
      <c r="A97" s="21">
        <v>38869</v>
      </c>
      <c r="B97" s="22">
        <v>1112770</v>
      </c>
    </row>
    <row r="98" spans="1:2" x14ac:dyDescent="0.2">
      <c r="A98" s="21">
        <v>38899</v>
      </c>
      <c r="B98" s="22">
        <v>1128285</v>
      </c>
    </row>
    <row r="99" spans="1:2" x14ac:dyDescent="0.2">
      <c r="A99" s="21">
        <v>38930</v>
      </c>
      <c r="B99" s="22">
        <v>1113025</v>
      </c>
    </row>
    <row r="100" spans="1:2" x14ac:dyDescent="0.2">
      <c r="A100" s="21">
        <v>38961</v>
      </c>
      <c r="B100" s="22">
        <v>1118315</v>
      </c>
    </row>
    <row r="101" spans="1:2" x14ac:dyDescent="0.2">
      <c r="A101" s="21">
        <v>38991</v>
      </c>
      <c r="B101" s="22">
        <v>1118736</v>
      </c>
    </row>
    <row r="102" spans="1:2" x14ac:dyDescent="0.2">
      <c r="A102" s="21">
        <v>39022</v>
      </c>
      <c r="B102" s="22">
        <v>1133314</v>
      </c>
    </row>
    <row r="103" spans="1:2" x14ac:dyDescent="0.2">
      <c r="A103" s="21">
        <v>39052</v>
      </c>
      <c r="B103" s="22">
        <v>1150030</v>
      </c>
    </row>
    <row r="104" spans="1:2" x14ac:dyDescent="0.2">
      <c r="A104" s="21">
        <v>39083</v>
      </c>
      <c r="B104" s="22">
        <v>1148148</v>
      </c>
    </row>
    <row r="105" spans="1:2" x14ac:dyDescent="0.2">
      <c r="A105" s="21">
        <v>39114</v>
      </c>
      <c r="B105" s="22">
        <v>1150396</v>
      </c>
    </row>
    <row r="106" spans="1:2" x14ac:dyDescent="0.2">
      <c r="A106" s="21">
        <v>39142</v>
      </c>
      <c r="B106" s="22">
        <v>1162604</v>
      </c>
    </row>
    <row r="107" spans="1:2" x14ac:dyDescent="0.2">
      <c r="A107" s="21">
        <v>39173</v>
      </c>
      <c r="B107" s="22">
        <v>1176308</v>
      </c>
    </row>
    <row r="108" spans="1:2" x14ac:dyDescent="0.2">
      <c r="A108" s="21">
        <v>39203</v>
      </c>
      <c r="B108" s="22">
        <v>1187052</v>
      </c>
    </row>
    <row r="109" spans="1:2" x14ac:dyDescent="0.2">
      <c r="A109" s="21">
        <v>39234</v>
      </c>
      <c r="B109" s="22">
        <v>1208453</v>
      </c>
    </row>
    <row r="110" spans="1:2" x14ac:dyDescent="0.2">
      <c r="A110" s="21">
        <v>39264</v>
      </c>
      <c r="B110" s="22">
        <v>1212584</v>
      </c>
    </row>
    <row r="111" spans="1:2" x14ac:dyDescent="0.2">
      <c r="A111" s="21">
        <v>39295</v>
      </c>
      <c r="B111" s="22">
        <v>1157534</v>
      </c>
    </row>
    <row r="112" spans="1:2" x14ac:dyDescent="0.2">
      <c r="A112" s="21">
        <v>39326</v>
      </c>
      <c r="B112" s="22">
        <v>1250396</v>
      </c>
    </row>
    <row r="113" spans="1:2" x14ac:dyDescent="0.2">
      <c r="A113" s="21">
        <v>39356</v>
      </c>
      <c r="B113" s="22">
        <v>1263504</v>
      </c>
    </row>
    <row r="114" spans="1:2" x14ac:dyDescent="0.2">
      <c r="A114" s="21">
        <v>39387</v>
      </c>
      <c r="B114" s="22">
        <v>1297266</v>
      </c>
    </row>
    <row r="115" spans="1:2" x14ac:dyDescent="0.2">
      <c r="A115" s="21">
        <v>39417</v>
      </c>
      <c r="B115" s="22">
        <v>1507981</v>
      </c>
    </row>
    <row r="116" spans="1:2" x14ac:dyDescent="0.2">
      <c r="A116" s="21">
        <v>39448</v>
      </c>
      <c r="B116" s="22">
        <v>1337542</v>
      </c>
    </row>
    <row r="117" spans="1:2" x14ac:dyDescent="0.2">
      <c r="A117" s="21">
        <v>39479</v>
      </c>
      <c r="B117" s="22">
        <v>1336758</v>
      </c>
    </row>
    <row r="118" spans="1:2" x14ac:dyDescent="0.2">
      <c r="A118" s="21">
        <v>39508</v>
      </c>
      <c r="B118" s="22">
        <v>1390804</v>
      </c>
    </row>
    <row r="119" spans="1:2" x14ac:dyDescent="0.2">
      <c r="A119" s="21">
        <v>39539</v>
      </c>
      <c r="B119" s="22">
        <v>1405859</v>
      </c>
    </row>
    <row r="120" spans="1:2" x14ac:dyDescent="0.2">
      <c r="A120" s="21">
        <v>39569</v>
      </c>
      <c r="B120" s="22">
        <v>1423245</v>
      </c>
    </row>
    <row r="121" spans="1:2" x14ac:dyDescent="0.2">
      <c r="A121" s="21">
        <v>39600</v>
      </c>
      <c r="B121" s="22">
        <v>1462710</v>
      </c>
    </row>
    <row r="122" spans="1:2" x14ac:dyDescent="0.2">
      <c r="A122" s="21">
        <v>39630</v>
      </c>
      <c r="B122" s="22">
        <v>1450899</v>
      </c>
    </row>
    <row r="123" spans="1:2" x14ac:dyDescent="0.2">
      <c r="A123" s="21">
        <v>39661</v>
      </c>
      <c r="B123" s="22">
        <v>1449139</v>
      </c>
    </row>
    <row r="124" spans="1:2" x14ac:dyDescent="0.2">
      <c r="A124" s="21">
        <v>39692</v>
      </c>
      <c r="B124" s="22">
        <v>1518548</v>
      </c>
    </row>
    <row r="125" spans="1:2" x14ac:dyDescent="0.2">
      <c r="A125" s="21">
        <v>39722</v>
      </c>
      <c r="B125" s="22">
        <v>2031447</v>
      </c>
    </row>
    <row r="126" spans="1:2" x14ac:dyDescent="0.2">
      <c r="A126" s="21">
        <v>39753</v>
      </c>
      <c r="B126" s="22">
        <v>1979051</v>
      </c>
    </row>
    <row r="127" spans="1:2" x14ac:dyDescent="0.2">
      <c r="A127" s="21">
        <v>39783</v>
      </c>
      <c r="B127" s="22">
        <v>2075107</v>
      </c>
    </row>
    <row r="128" spans="1:2" x14ac:dyDescent="0.2">
      <c r="A128" s="21">
        <v>39814</v>
      </c>
      <c r="B128" s="22">
        <v>1906979</v>
      </c>
    </row>
    <row r="129" spans="1:2" x14ac:dyDescent="0.2">
      <c r="A129" s="21">
        <v>39845</v>
      </c>
      <c r="B129" s="22">
        <v>1820268</v>
      </c>
    </row>
    <row r="130" spans="1:2" x14ac:dyDescent="0.2">
      <c r="A130" s="21">
        <v>39873</v>
      </c>
      <c r="B130" s="22">
        <v>1803083</v>
      </c>
    </row>
    <row r="131" spans="1:2" x14ac:dyDescent="0.2">
      <c r="A131" s="21">
        <v>39904</v>
      </c>
      <c r="B131" s="22">
        <v>1823963</v>
      </c>
    </row>
    <row r="132" spans="1:2" x14ac:dyDescent="0.2">
      <c r="A132" s="21">
        <v>39934</v>
      </c>
      <c r="B132" s="22">
        <v>1799610</v>
      </c>
    </row>
    <row r="133" spans="1:2" x14ac:dyDescent="0.2">
      <c r="A133" s="21">
        <v>39965</v>
      </c>
      <c r="B133" s="22">
        <v>1997319</v>
      </c>
    </row>
    <row r="134" spans="1:2" x14ac:dyDescent="0.2">
      <c r="A134" s="21">
        <v>39995</v>
      </c>
      <c r="B134" s="22">
        <v>1854093</v>
      </c>
    </row>
    <row r="135" spans="1:2" x14ac:dyDescent="0.2">
      <c r="A135" s="21">
        <v>40026</v>
      </c>
      <c r="B135" s="22">
        <v>1821371</v>
      </c>
    </row>
    <row r="136" spans="1:2" x14ac:dyDescent="0.2">
      <c r="A136" s="21">
        <v>40057</v>
      </c>
      <c r="B136" s="22">
        <v>1790242</v>
      </c>
    </row>
    <row r="137" spans="1:2" x14ac:dyDescent="0.2">
      <c r="A137" s="21">
        <v>40087</v>
      </c>
      <c r="B137" s="22">
        <v>1779000</v>
      </c>
    </row>
    <row r="138" spans="1:2" x14ac:dyDescent="0.2">
      <c r="A138" s="21">
        <v>40118</v>
      </c>
      <c r="B138" s="22">
        <v>1759186</v>
      </c>
    </row>
    <row r="139" spans="1:2" x14ac:dyDescent="0.2">
      <c r="A139" s="21">
        <v>40148</v>
      </c>
      <c r="B139" s="22">
        <v>1903024</v>
      </c>
    </row>
    <row r="140" spans="1:2" x14ac:dyDescent="0.2">
      <c r="A140" s="21">
        <v>40179</v>
      </c>
      <c r="B140" s="22">
        <v>1877655</v>
      </c>
    </row>
    <row r="141" spans="1:2" x14ac:dyDescent="0.2">
      <c r="A141" s="21">
        <v>40210</v>
      </c>
      <c r="B141" s="22">
        <v>1889017</v>
      </c>
    </row>
    <row r="142" spans="1:2" x14ac:dyDescent="0.2">
      <c r="A142" s="21">
        <v>40238</v>
      </c>
      <c r="B142" s="22">
        <v>1894898</v>
      </c>
    </row>
    <row r="143" spans="1:2" x14ac:dyDescent="0.2">
      <c r="A143" s="21">
        <v>40269</v>
      </c>
      <c r="B143" s="22">
        <v>1956819</v>
      </c>
    </row>
    <row r="144" spans="1:2" x14ac:dyDescent="0.2">
      <c r="A144" s="21">
        <v>40299</v>
      </c>
      <c r="B144" s="22">
        <v>2088450</v>
      </c>
    </row>
    <row r="145" spans="1:2" x14ac:dyDescent="0.2">
      <c r="A145" s="21">
        <v>40330</v>
      </c>
      <c r="B145" s="22">
        <v>2154245</v>
      </c>
    </row>
    <row r="146" spans="1:2" x14ac:dyDescent="0.2">
      <c r="A146" s="21">
        <v>40360</v>
      </c>
      <c r="B146" s="22">
        <v>2001660</v>
      </c>
    </row>
    <row r="147" spans="1:2" x14ac:dyDescent="0.2">
      <c r="A147" s="21">
        <v>40391</v>
      </c>
      <c r="B147" s="22">
        <v>1957926</v>
      </c>
    </row>
    <row r="148" spans="1:2" x14ac:dyDescent="0.2">
      <c r="A148" s="21">
        <v>40422</v>
      </c>
      <c r="B148" s="22">
        <v>1971356</v>
      </c>
    </row>
    <row r="149" spans="1:2" x14ac:dyDescent="0.2">
      <c r="A149" s="21">
        <v>40452</v>
      </c>
      <c r="B149" s="22">
        <v>1895679</v>
      </c>
    </row>
    <row r="150" spans="1:2" x14ac:dyDescent="0.2">
      <c r="A150" s="21">
        <v>40483</v>
      </c>
      <c r="B150" s="22">
        <v>1915961</v>
      </c>
    </row>
    <row r="151" spans="1:2" x14ac:dyDescent="0.2">
      <c r="A151" s="21">
        <v>40513</v>
      </c>
      <c r="B151" s="22">
        <v>2004432</v>
      </c>
    </row>
    <row r="152" spans="1:2" x14ac:dyDescent="0.2">
      <c r="A152" s="21">
        <v>40544</v>
      </c>
      <c r="B152" s="22">
        <v>1965568</v>
      </c>
    </row>
    <row r="153" spans="1:2" x14ac:dyDescent="0.2">
      <c r="A153" s="21">
        <v>40575</v>
      </c>
      <c r="B153" s="22">
        <v>1952278</v>
      </c>
    </row>
    <row r="154" spans="1:2" x14ac:dyDescent="0.2">
      <c r="A154" s="21">
        <v>40603</v>
      </c>
      <c r="B154" s="22">
        <v>1928055</v>
      </c>
    </row>
    <row r="155" spans="1:2" x14ac:dyDescent="0.2">
      <c r="A155" s="21">
        <v>40634</v>
      </c>
      <c r="B155" s="22">
        <v>1894101</v>
      </c>
    </row>
    <row r="156" spans="1:2" x14ac:dyDescent="0.2">
      <c r="A156" s="21">
        <v>40664</v>
      </c>
      <c r="B156" s="22">
        <v>1900610</v>
      </c>
    </row>
    <row r="157" spans="1:2" x14ac:dyDescent="0.2">
      <c r="A157" s="21">
        <v>40695</v>
      </c>
      <c r="B157" s="22">
        <v>1972174</v>
      </c>
    </row>
    <row r="158" spans="1:2" x14ac:dyDescent="0.2">
      <c r="A158" s="21">
        <v>40725</v>
      </c>
      <c r="B158" s="22">
        <v>2000471</v>
      </c>
    </row>
    <row r="159" spans="1:2" x14ac:dyDescent="0.2">
      <c r="A159" s="21">
        <v>40756</v>
      </c>
      <c r="B159" s="22">
        <v>2071633</v>
      </c>
    </row>
    <row r="160" spans="1:2" x14ac:dyDescent="0.2">
      <c r="A160" s="21">
        <v>40787</v>
      </c>
      <c r="B160" s="22">
        <v>2288571</v>
      </c>
    </row>
    <row r="161" spans="1:2" x14ac:dyDescent="0.2">
      <c r="A161" s="21">
        <v>40817</v>
      </c>
      <c r="B161" s="22">
        <v>2333373</v>
      </c>
    </row>
    <row r="162" spans="1:2" x14ac:dyDescent="0.2">
      <c r="A162" s="21">
        <v>40848</v>
      </c>
      <c r="B162" s="22">
        <v>2419548</v>
      </c>
    </row>
    <row r="163" spans="1:2" x14ac:dyDescent="0.2">
      <c r="A163" s="21">
        <v>40878</v>
      </c>
      <c r="B163" s="22">
        <v>2733270</v>
      </c>
    </row>
    <row r="164" spans="1:2" x14ac:dyDescent="0.2">
      <c r="A164" s="21">
        <v>40909</v>
      </c>
      <c r="B164" s="22">
        <v>2682576</v>
      </c>
    </row>
    <row r="165" spans="1:2" x14ac:dyDescent="0.2">
      <c r="A165" s="21">
        <v>40940</v>
      </c>
      <c r="B165" s="22">
        <v>2692598</v>
      </c>
    </row>
    <row r="166" spans="1:2" x14ac:dyDescent="0.2">
      <c r="A166" s="21">
        <v>40969</v>
      </c>
      <c r="B166" s="22">
        <v>2964427</v>
      </c>
    </row>
    <row r="167" spans="1:2" x14ac:dyDescent="0.2">
      <c r="A167" s="21">
        <v>41000</v>
      </c>
      <c r="B167" s="22">
        <v>2962103</v>
      </c>
    </row>
    <row r="168" spans="1:2" x14ac:dyDescent="0.2">
      <c r="A168" s="21">
        <v>41030</v>
      </c>
      <c r="B168" s="22">
        <v>2980310</v>
      </c>
    </row>
    <row r="169" spans="1:2" x14ac:dyDescent="0.2">
      <c r="A169" s="21">
        <v>41061</v>
      </c>
      <c r="B169" s="22">
        <v>3102227</v>
      </c>
    </row>
    <row r="170" spans="1:2" x14ac:dyDescent="0.2">
      <c r="A170" s="21">
        <v>41091</v>
      </c>
      <c r="B170" s="22">
        <v>3094144</v>
      </c>
    </row>
    <row r="171" spans="1:2" x14ac:dyDescent="0.2">
      <c r="A171" s="21">
        <v>41122</v>
      </c>
      <c r="B171" s="22">
        <v>3084769</v>
      </c>
    </row>
    <row r="172" spans="1:2" x14ac:dyDescent="0.2">
      <c r="A172" s="21">
        <v>41153</v>
      </c>
      <c r="B172" s="22">
        <v>3082432</v>
      </c>
    </row>
    <row r="173" spans="1:2" x14ac:dyDescent="0.2">
      <c r="A173" s="21">
        <v>41183</v>
      </c>
      <c r="B173" s="22">
        <v>3046543</v>
      </c>
    </row>
    <row r="174" spans="1:2" x14ac:dyDescent="0.2">
      <c r="A174" s="21">
        <v>41214</v>
      </c>
      <c r="B174" s="22">
        <v>3033294</v>
      </c>
    </row>
    <row r="175" spans="1:2" x14ac:dyDescent="0.2">
      <c r="A175" s="21">
        <v>41244</v>
      </c>
      <c r="B175" s="22">
        <v>2962613</v>
      </c>
    </row>
    <row r="176" spans="1:2" x14ac:dyDescent="0.2">
      <c r="A176" s="21">
        <v>41275</v>
      </c>
      <c r="B176" s="22">
        <v>2928781</v>
      </c>
    </row>
    <row r="177" spans="1:2" x14ac:dyDescent="0.2">
      <c r="A177" s="21">
        <v>41306</v>
      </c>
      <c r="B177" s="22">
        <v>2748823</v>
      </c>
    </row>
    <row r="178" spans="1:2" x14ac:dyDescent="0.2">
      <c r="A178" s="21">
        <v>41334</v>
      </c>
      <c r="B178" s="22">
        <v>2648126</v>
      </c>
    </row>
    <row r="179" spans="1:2" x14ac:dyDescent="0.2">
      <c r="A179" s="21">
        <v>41365</v>
      </c>
      <c r="B179" s="22">
        <v>2611252</v>
      </c>
    </row>
    <row r="180" spans="1:2" x14ac:dyDescent="0.2">
      <c r="A180" s="21">
        <v>41395</v>
      </c>
      <c r="B180" s="22">
        <v>2549449</v>
      </c>
    </row>
    <row r="181" spans="1:2" x14ac:dyDescent="0.2">
      <c r="A181" s="21">
        <v>41426</v>
      </c>
      <c r="B181" s="22">
        <v>2430423</v>
      </c>
    </row>
    <row r="182" spans="1:2" x14ac:dyDescent="0.2">
      <c r="A182" s="21">
        <v>41456</v>
      </c>
      <c r="B182" s="22">
        <v>2396181</v>
      </c>
    </row>
    <row r="183" spans="1:2" x14ac:dyDescent="0.2">
      <c r="A183" s="21">
        <v>41487</v>
      </c>
      <c r="B183" s="22">
        <v>2360639</v>
      </c>
    </row>
    <row r="184" spans="1:2" x14ac:dyDescent="0.2">
      <c r="A184" s="21">
        <v>41518</v>
      </c>
      <c r="B184" s="22">
        <v>2338044</v>
      </c>
    </row>
    <row r="185" spans="1:2" x14ac:dyDescent="0.2">
      <c r="A185" s="21">
        <v>41548</v>
      </c>
      <c r="B185" s="22">
        <v>2318744</v>
      </c>
    </row>
    <row r="186" spans="1:2" x14ac:dyDescent="0.2">
      <c r="A186" s="21">
        <v>41579</v>
      </c>
      <c r="B186" s="22">
        <v>2290956</v>
      </c>
    </row>
    <row r="187" spans="1:2" x14ac:dyDescent="0.2">
      <c r="A187" s="21">
        <v>41609</v>
      </c>
      <c r="B187" s="22">
        <v>2273267</v>
      </c>
    </row>
    <row r="188" spans="1:2" x14ac:dyDescent="0.2">
      <c r="A188" s="21">
        <v>41640</v>
      </c>
      <c r="B188" s="22">
        <v>2217061</v>
      </c>
    </row>
    <row r="189" spans="1:2" x14ac:dyDescent="0.2">
      <c r="A189" s="21">
        <v>41671</v>
      </c>
      <c r="B189" s="22">
        <v>2181079</v>
      </c>
    </row>
    <row r="190" spans="1:2" x14ac:dyDescent="0.2">
      <c r="A190" s="21">
        <v>41699</v>
      </c>
      <c r="B190" s="22">
        <v>2152103</v>
      </c>
    </row>
    <row r="191" spans="1:2" x14ac:dyDescent="0.2">
      <c r="A191" s="21">
        <v>41730</v>
      </c>
      <c r="B191" s="22">
        <v>2169061</v>
      </c>
    </row>
    <row r="192" spans="1:2" x14ac:dyDescent="0.2">
      <c r="A192" s="21">
        <v>41760</v>
      </c>
      <c r="B192" s="22">
        <v>2197095</v>
      </c>
    </row>
    <row r="193" spans="1:2" x14ac:dyDescent="0.2">
      <c r="A193" s="21">
        <v>41791</v>
      </c>
      <c r="B193" s="22">
        <v>2088099</v>
      </c>
    </row>
    <row r="194" spans="1:2" x14ac:dyDescent="0.2">
      <c r="A194" s="21">
        <v>41821</v>
      </c>
      <c r="B194" s="22">
        <v>2044312</v>
      </c>
    </row>
    <row r="195" spans="1:2" x14ac:dyDescent="0.2">
      <c r="A195" s="21">
        <v>41852</v>
      </c>
      <c r="B195" s="22">
        <v>2038716</v>
      </c>
    </row>
    <row r="196" spans="1:2" x14ac:dyDescent="0.2">
      <c r="A196" s="21">
        <v>41883</v>
      </c>
      <c r="B196" s="22">
        <v>2038235</v>
      </c>
    </row>
    <row r="197" spans="1:2" x14ac:dyDescent="0.2">
      <c r="A197" s="21">
        <v>41913</v>
      </c>
      <c r="B197" s="22">
        <v>2052070</v>
      </c>
    </row>
    <row r="198" spans="1:2" x14ac:dyDescent="0.2">
      <c r="A198" s="21">
        <v>41944</v>
      </c>
      <c r="B198" s="22">
        <v>2053892</v>
      </c>
    </row>
    <row r="199" spans="1:2" x14ac:dyDescent="0.2">
      <c r="A199" s="21">
        <v>41974</v>
      </c>
      <c r="B199" s="22">
        <v>2150247</v>
      </c>
    </row>
    <row r="200" spans="1:2" x14ac:dyDescent="0.2">
      <c r="A200" s="21">
        <v>42005</v>
      </c>
      <c r="B200" s="22">
        <v>2181954</v>
      </c>
    </row>
    <row r="201" spans="1:2" x14ac:dyDescent="0.2">
      <c r="A201" s="21">
        <v>42036</v>
      </c>
      <c r="B201" s="22">
        <v>2155836</v>
      </c>
    </row>
    <row r="202" spans="1:2" x14ac:dyDescent="0.2">
      <c r="A202" s="21">
        <v>42064</v>
      </c>
      <c r="B202" s="22">
        <v>2250801</v>
      </c>
    </row>
    <row r="203" spans="1:2" x14ac:dyDescent="0.2">
      <c r="A203" s="21">
        <v>42095</v>
      </c>
      <c r="B203" s="22">
        <v>2360790</v>
      </c>
    </row>
    <row r="204" spans="1:2" x14ac:dyDescent="0.2">
      <c r="A204" s="21">
        <v>42125</v>
      </c>
      <c r="B204" s="22">
        <v>2416664</v>
      </c>
    </row>
    <row r="205" spans="1:2" x14ac:dyDescent="0.2">
      <c r="A205" s="21">
        <v>42156</v>
      </c>
      <c r="B205" s="22">
        <v>2539544</v>
      </c>
    </row>
    <row r="206" spans="1:2" x14ac:dyDescent="0.2">
      <c r="A206" s="21">
        <v>42186</v>
      </c>
      <c r="B206" s="22">
        <v>2536592</v>
      </c>
    </row>
    <row r="207" spans="1:2" x14ac:dyDescent="0.2">
      <c r="A207" s="21">
        <v>42217</v>
      </c>
      <c r="B207" s="22">
        <v>2558780</v>
      </c>
    </row>
    <row r="208" spans="1:2" x14ac:dyDescent="0.2">
      <c r="A208" s="21">
        <v>42248</v>
      </c>
      <c r="B208" s="22">
        <v>2620631</v>
      </c>
    </row>
    <row r="209" spans="1:2" x14ac:dyDescent="0.2">
      <c r="A209" s="21">
        <v>42278</v>
      </c>
      <c r="B209" s="22">
        <v>2664996</v>
      </c>
    </row>
    <row r="210" spans="1:2" x14ac:dyDescent="0.2">
      <c r="A210" s="21">
        <v>42309</v>
      </c>
      <c r="B210" s="22">
        <v>2706740</v>
      </c>
    </row>
    <row r="211" spans="1:2" x14ac:dyDescent="0.2">
      <c r="A211" s="21">
        <v>42339</v>
      </c>
      <c r="B211" s="22">
        <v>2767815</v>
      </c>
    </row>
    <row r="212" spans="1:2" x14ac:dyDescent="0.2">
      <c r="A212" s="21">
        <v>42370</v>
      </c>
      <c r="B212" s="22">
        <v>2808331</v>
      </c>
    </row>
    <row r="213" spans="1:2" x14ac:dyDescent="0.2">
      <c r="A213" s="21">
        <v>42401</v>
      </c>
      <c r="B213" s="22">
        <v>2850299</v>
      </c>
    </row>
    <row r="214" spans="1:2" x14ac:dyDescent="0.2">
      <c r="A214" s="21">
        <v>42430</v>
      </c>
      <c r="B214" s="22">
        <v>2897696</v>
      </c>
    </row>
    <row r="215" spans="1:2" x14ac:dyDescent="0.2">
      <c r="A215" s="21">
        <v>42461</v>
      </c>
      <c r="B215" s="22">
        <v>3000759</v>
      </c>
    </row>
    <row r="216" spans="1:2" x14ac:dyDescent="0.2">
      <c r="A216" s="21">
        <v>42491</v>
      </c>
      <c r="B216" s="22">
        <v>3067481</v>
      </c>
    </row>
    <row r="217" spans="1:2" x14ac:dyDescent="0.2">
      <c r="A217" s="21">
        <v>42522</v>
      </c>
      <c r="B217" s="22">
        <v>3131095</v>
      </c>
    </row>
    <row r="218" spans="1:2" x14ac:dyDescent="0.2">
      <c r="A218" s="21">
        <v>42552</v>
      </c>
      <c r="B218" s="22">
        <v>3284309</v>
      </c>
    </row>
    <row r="219" spans="1:2" x14ac:dyDescent="0.2">
      <c r="A219" s="21">
        <v>42583</v>
      </c>
      <c r="B219" s="22">
        <v>3330487</v>
      </c>
    </row>
    <row r="220" spans="1:2" x14ac:dyDescent="0.2">
      <c r="A220" s="21">
        <v>42614</v>
      </c>
      <c r="B220" s="22">
        <v>3438145</v>
      </c>
    </row>
    <row r="221" spans="1:2" x14ac:dyDescent="0.2">
      <c r="A221" s="21">
        <v>42644</v>
      </c>
      <c r="B221" s="22">
        <v>3507401</v>
      </c>
    </row>
    <row r="222" spans="1:2" x14ac:dyDescent="0.2">
      <c r="A222" s="21">
        <v>42675</v>
      </c>
      <c r="B222" s="22">
        <v>3566230</v>
      </c>
    </row>
    <row r="223" spans="1:2" x14ac:dyDescent="0.2">
      <c r="A223" s="21">
        <v>42705</v>
      </c>
      <c r="B223" s="22">
        <v>3662901</v>
      </c>
    </row>
    <row r="224" spans="1:2" x14ac:dyDescent="0.2">
      <c r="A224" s="21">
        <v>42736</v>
      </c>
      <c r="B224" s="22">
        <v>3740766</v>
      </c>
    </row>
    <row r="225" spans="1:2" x14ac:dyDescent="0.2">
      <c r="A225" s="21">
        <v>42767</v>
      </c>
      <c r="B225" s="22">
        <v>3808242</v>
      </c>
    </row>
    <row r="226" spans="1:2" x14ac:dyDescent="0.2">
      <c r="A226" s="21">
        <v>42795</v>
      </c>
      <c r="B226" s="22">
        <v>4100730</v>
      </c>
    </row>
    <row r="227" spans="1:2" x14ac:dyDescent="0.2">
      <c r="A227" s="21">
        <v>42826</v>
      </c>
      <c r="B227" s="22">
        <v>4148032</v>
      </c>
    </row>
    <row r="228" spans="1:2" x14ac:dyDescent="0.2">
      <c r="A228" s="21">
        <v>42856</v>
      </c>
      <c r="B228" s="22">
        <v>4195685</v>
      </c>
    </row>
    <row r="229" spans="1:2" x14ac:dyDescent="0.2">
      <c r="A229" s="21">
        <v>42887</v>
      </c>
      <c r="B229" s="22">
        <v>4209510</v>
      </c>
    </row>
    <row r="230" spans="1:2" x14ac:dyDescent="0.2">
      <c r="A230" s="21">
        <v>42917</v>
      </c>
      <c r="B230" s="22">
        <v>4248280</v>
      </c>
    </row>
    <row r="231" spans="1:2" x14ac:dyDescent="0.2">
      <c r="A231" s="21">
        <v>42948</v>
      </c>
      <c r="B231" s="22">
        <v>4278881</v>
      </c>
    </row>
    <row r="232" spans="1:2" x14ac:dyDescent="0.2">
      <c r="A232" s="21">
        <v>42979</v>
      </c>
      <c r="B232" s="22">
        <v>4318624</v>
      </c>
    </row>
    <row r="233" spans="1:2" x14ac:dyDescent="0.2">
      <c r="A233" s="21">
        <v>43009</v>
      </c>
      <c r="B233" s="22">
        <v>4371222</v>
      </c>
    </row>
    <row r="234" spans="1:2" x14ac:dyDescent="0.2">
      <c r="A234" s="21">
        <v>43040</v>
      </c>
      <c r="B234" s="22">
        <v>4440791</v>
      </c>
    </row>
    <row r="235" spans="1:2" x14ac:dyDescent="0.2">
      <c r="A235" s="21">
        <v>43070</v>
      </c>
      <c r="B235" s="22">
        <v>4471689</v>
      </c>
    </row>
    <row r="236" spans="1:2" x14ac:dyDescent="0.2">
      <c r="A236" s="21">
        <v>43101</v>
      </c>
      <c r="B236" s="22">
        <v>4491151</v>
      </c>
    </row>
    <row r="237" spans="1:2" x14ac:dyDescent="0.2">
      <c r="A237" s="21">
        <v>43132</v>
      </c>
      <c r="B237" s="22">
        <v>4519360</v>
      </c>
    </row>
    <row r="238" spans="1:2" x14ac:dyDescent="0.2">
      <c r="A238" s="21">
        <v>43160</v>
      </c>
      <c r="B238" s="22">
        <v>4529579</v>
      </c>
    </row>
    <row r="239" spans="1:2" x14ac:dyDescent="0.2">
      <c r="A239" s="21">
        <v>43191</v>
      </c>
      <c r="B239" s="22">
        <v>4554344</v>
      </c>
    </row>
    <row r="240" spans="1:2" x14ac:dyDescent="0.2">
      <c r="A240" s="21">
        <v>43221</v>
      </c>
      <c r="B240" s="22">
        <v>4567744</v>
      </c>
    </row>
    <row r="241" spans="1:2" x14ac:dyDescent="0.2">
      <c r="A241" s="21">
        <v>43252</v>
      </c>
      <c r="B241" s="22">
        <v>4592518</v>
      </c>
    </row>
    <row r="242" spans="1:2" x14ac:dyDescent="0.2">
      <c r="A242" s="21">
        <v>43282</v>
      </c>
      <c r="B242" s="22">
        <v>4602258</v>
      </c>
    </row>
    <row r="243" spans="1:2" x14ac:dyDescent="0.2">
      <c r="A243" s="21">
        <v>43313</v>
      </c>
      <c r="B243" s="22">
        <v>4621355</v>
      </c>
    </row>
    <row r="244" spans="1:2" x14ac:dyDescent="0.2">
      <c r="A244" s="21">
        <v>43344</v>
      </c>
      <c r="B244" s="22">
        <v>4619792</v>
      </c>
    </row>
    <row r="245" spans="1:2" x14ac:dyDescent="0.2">
      <c r="A245" s="21">
        <v>43374</v>
      </c>
      <c r="B245" s="22">
        <v>4622163</v>
      </c>
    </row>
    <row r="246" spans="1:2" x14ac:dyDescent="0.2">
      <c r="A246" s="21">
        <v>43405</v>
      </c>
      <c r="B246" s="22">
        <v>4660299</v>
      </c>
    </row>
    <row r="247" spans="1:2" x14ac:dyDescent="0.2">
      <c r="A247" s="21">
        <v>43435</v>
      </c>
      <c r="B247" s="22">
        <v>4669003</v>
      </c>
    </row>
    <row r="248" spans="1:2" x14ac:dyDescent="0.2">
      <c r="A248" s="21">
        <v>43466</v>
      </c>
      <c r="B248" s="22">
        <v>4695505</v>
      </c>
    </row>
    <row r="249" spans="1:2" x14ac:dyDescent="0.2">
      <c r="A249" s="21">
        <v>43497</v>
      </c>
      <c r="B249" s="22">
        <v>4686299</v>
      </c>
    </row>
    <row r="250" spans="1:2" x14ac:dyDescent="0.2">
      <c r="A250" s="21">
        <v>43525</v>
      </c>
      <c r="B250" s="22">
        <v>4695785</v>
      </c>
    </row>
    <row r="251" spans="1:2" x14ac:dyDescent="0.2">
      <c r="A251" s="21">
        <v>43556</v>
      </c>
      <c r="B251" s="22">
        <v>4683918</v>
      </c>
    </row>
    <row r="252" spans="1:2" x14ac:dyDescent="0.2">
      <c r="A252" s="21">
        <v>43586</v>
      </c>
      <c r="B252" s="22">
        <v>4685961</v>
      </c>
    </row>
    <row r="253" spans="1:2" x14ac:dyDescent="0.2">
      <c r="A253" s="21">
        <v>43617</v>
      </c>
      <c r="B253" s="22">
        <v>4692614</v>
      </c>
    </row>
    <row r="254" spans="1:2" x14ac:dyDescent="0.2">
      <c r="A254" s="21">
        <v>43647</v>
      </c>
      <c r="B254" s="22">
        <v>4679180</v>
      </c>
    </row>
    <row r="255" spans="1:2" x14ac:dyDescent="0.2">
      <c r="A255" s="21">
        <v>43678</v>
      </c>
      <c r="B255" s="22">
        <v>4683714</v>
      </c>
    </row>
    <row r="256" spans="1:2" x14ac:dyDescent="0.2">
      <c r="A256" s="21">
        <v>43709</v>
      </c>
      <c r="B256" s="22">
        <v>4638104</v>
      </c>
    </row>
    <row r="257" spans="1:2" x14ac:dyDescent="0.2">
      <c r="A257" s="21">
        <v>43739</v>
      </c>
      <c r="B257" s="22">
        <v>4676258</v>
      </c>
    </row>
    <row r="258" spans="1:2" x14ac:dyDescent="0.2">
      <c r="A258" s="21">
        <v>43770</v>
      </c>
      <c r="B258" s="22">
        <v>4698291</v>
      </c>
    </row>
    <row r="259" spans="1:2" x14ac:dyDescent="0.2">
      <c r="A259" s="21">
        <v>43800</v>
      </c>
      <c r="B259" s="22">
        <v>4691998</v>
      </c>
    </row>
    <row r="260" spans="1:2" x14ac:dyDescent="0.2">
      <c r="A260" s="21">
        <v>43831</v>
      </c>
      <c r="B260" s="22">
        <v>4671365</v>
      </c>
    </row>
    <row r="261" spans="1:2" x14ac:dyDescent="0.2">
      <c r="A261" s="23">
        <v>43868</v>
      </c>
      <c r="B261" s="24">
        <v>4668900</v>
      </c>
    </row>
    <row r="262" spans="1:2" x14ac:dyDescent="0.2">
      <c r="A262" s="23">
        <v>43875</v>
      </c>
      <c r="B262" s="24">
        <v>4679726</v>
      </c>
    </row>
    <row r="263" spans="1:2" x14ac:dyDescent="0.2">
      <c r="A263" s="23">
        <v>43882</v>
      </c>
      <c r="B263" s="24">
        <v>4688301</v>
      </c>
    </row>
    <row r="264" spans="1:2" x14ac:dyDescent="0.2">
      <c r="A264" s="23">
        <v>43889</v>
      </c>
      <c r="B264" s="24">
        <v>4691852</v>
      </c>
    </row>
    <row r="265" spans="1:2" x14ac:dyDescent="0.2">
      <c r="A265" s="23">
        <v>43896</v>
      </c>
      <c r="B265" s="24">
        <v>4702214</v>
      </c>
    </row>
    <row r="266" spans="1:2" x14ac:dyDescent="0.2">
      <c r="A266" s="23">
        <v>43903</v>
      </c>
      <c r="B266" s="24">
        <v>4704239</v>
      </c>
    </row>
    <row r="267" spans="1:2" x14ac:dyDescent="0.2">
      <c r="A267" s="21">
        <v>43910</v>
      </c>
      <c r="B267" s="22">
        <v>4927267</v>
      </c>
    </row>
    <row r="268" spans="1:2" x14ac:dyDescent="0.2">
      <c r="A268" s="21">
        <v>43917</v>
      </c>
      <c r="B268" s="22">
        <v>5062687</v>
      </c>
    </row>
    <row r="269" spans="1:2" x14ac:dyDescent="0.2">
      <c r="A269" s="21">
        <v>43924</v>
      </c>
      <c r="B269" s="22">
        <v>5199822</v>
      </c>
    </row>
    <row r="270" spans="1:2" x14ac:dyDescent="0.2">
      <c r="A270" s="21">
        <v>43931</v>
      </c>
      <c r="B270" s="22">
        <v>5257490</v>
      </c>
    </row>
    <row r="271" spans="1:2" x14ac:dyDescent="0.2">
      <c r="A271" s="21">
        <v>43938</v>
      </c>
      <c r="B271" s="22">
        <v>5282926</v>
      </c>
    </row>
    <row r="272" spans="1:2" x14ac:dyDescent="0.2">
      <c r="A272" s="25">
        <v>43945</v>
      </c>
      <c r="B272" s="26">
        <v>5347042</v>
      </c>
    </row>
    <row r="273" spans="1:2" x14ac:dyDescent="0.2">
      <c r="A273" s="21">
        <v>43952</v>
      </c>
      <c r="B273" s="22">
        <v>5395184</v>
      </c>
    </row>
    <row r="274" spans="1:2" x14ac:dyDescent="0.2">
      <c r="A274" s="25">
        <v>43959</v>
      </c>
      <c r="B274" s="26">
        <v>5451001</v>
      </c>
    </row>
    <row r="275" spans="1:2" x14ac:dyDescent="0.2">
      <c r="A275" s="21">
        <v>43966</v>
      </c>
      <c r="B275" s="22">
        <v>5505521</v>
      </c>
    </row>
    <row r="276" spans="1:2" x14ac:dyDescent="0.2">
      <c r="A276" s="25">
        <v>43973</v>
      </c>
      <c r="B276" s="26">
        <v>5555276</v>
      </c>
    </row>
    <row r="277" spans="1:2" x14ac:dyDescent="0.2">
      <c r="A277" s="21">
        <v>43980</v>
      </c>
      <c r="B277" s="22">
        <v>5596070</v>
      </c>
    </row>
    <row r="278" spans="1:2" x14ac:dyDescent="0.2">
      <c r="A278" s="25">
        <v>43987</v>
      </c>
      <c r="B278" s="26">
        <v>5655414</v>
      </c>
    </row>
    <row r="279" spans="1:2" x14ac:dyDescent="0.2">
      <c r="A279" s="21">
        <v>43994</v>
      </c>
      <c r="B279" s="22">
        <v>5630275</v>
      </c>
    </row>
    <row r="280" spans="1:2" x14ac:dyDescent="0.2">
      <c r="A280" s="25">
        <v>44001</v>
      </c>
      <c r="B280" s="26">
        <v>5636378</v>
      </c>
    </row>
    <row r="281" spans="1:2" x14ac:dyDescent="0.2">
      <c r="A281" s="21">
        <v>44008</v>
      </c>
      <c r="B281" s="22">
        <v>6236143</v>
      </c>
    </row>
    <row r="282" spans="1:2" x14ac:dyDescent="0.2">
      <c r="A282" s="25">
        <v>44015</v>
      </c>
      <c r="B282" s="26">
        <v>6288974</v>
      </c>
    </row>
    <row r="283" spans="1:2" x14ac:dyDescent="0.2">
      <c r="A283" s="21">
        <v>44022</v>
      </c>
      <c r="B283" s="22">
        <v>6309160</v>
      </c>
    </row>
    <row r="284" spans="1:2" x14ac:dyDescent="0.2">
      <c r="A284" s="21">
        <v>44029</v>
      </c>
      <c r="B284" s="22">
        <v>6322604</v>
      </c>
    </row>
    <row r="285" spans="1:2" x14ac:dyDescent="0.2">
      <c r="A285" s="25">
        <v>44036</v>
      </c>
      <c r="B285" s="26">
        <v>6351419</v>
      </c>
    </row>
    <row r="286" spans="1:2" x14ac:dyDescent="0.2">
      <c r="A286" s="21">
        <v>44043</v>
      </c>
      <c r="B286" s="22">
        <v>6360822</v>
      </c>
    </row>
    <row r="287" spans="1:2" x14ac:dyDescent="0.2">
      <c r="A287" s="25">
        <v>44050</v>
      </c>
      <c r="B287" s="26">
        <v>6385307</v>
      </c>
    </row>
    <row r="288" spans="1:2" x14ac:dyDescent="0.2">
      <c r="A288" s="21">
        <v>44057</v>
      </c>
      <c r="B288" s="22">
        <v>6404662</v>
      </c>
    </row>
    <row r="289" spans="1:2" x14ac:dyDescent="0.2">
      <c r="A289" s="25">
        <v>44064</v>
      </c>
      <c r="B289" s="26">
        <v>6424042</v>
      </c>
    </row>
    <row r="290" spans="1:2" x14ac:dyDescent="0.2">
      <c r="A290" s="21">
        <v>44071</v>
      </c>
      <c r="B290" s="72">
        <v>6440237</v>
      </c>
    </row>
    <row r="291" spans="1:2" x14ac:dyDescent="0.2">
      <c r="A291" s="25">
        <v>44078</v>
      </c>
      <c r="B291" s="72">
        <v>6458857</v>
      </c>
    </row>
    <row r="292" spans="1:2" x14ac:dyDescent="0.2">
      <c r="A292" s="21">
        <v>44085</v>
      </c>
      <c r="B292" s="72">
        <v>6474612</v>
      </c>
    </row>
    <row r="293" spans="1:2" x14ac:dyDescent="0.2">
      <c r="A293" s="25">
        <v>44092</v>
      </c>
      <c r="B293" s="72">
        <v>6502422</v>
      </c>
    </row>
    <row r="294" spans="1:2" x14ac:dyDescent="0.2">
      <c r="A294" s="21">
        <v>44099</v>
      </c>
      <c r="B294" s="72">
        <v>6534815</v>
      </c>
    </row>
    <row r="295" spans="1:2" x14ac:dyDescent="0.2">
      <c r="A295" s="25">
        <v>44106</v>
      </c>
      <c r="B295" s="72">
        <v>6705112</v>
      </c>
    </row>
    <row r="296" spans="1:2" x14ac:dyDescent="0.2">
      <c r="A296" s="21">
        <v>44113</v>
      </c>
      <c r="B296" s="72">
        <v>6725697</v>
      </c>
    </row>
    <row r="297" spans="1:2" x14ac:dyDescent="0.2">
      <c r="A297" s="25">
        <v>44120</v>
      </c>
      <c r="B297" s="72">
        <v>6743525</v>
      </c>
    </row>
    <row r="298" spans="1:2" x14ac:dyDescent="0.2">
      <c r="A298" s="21">
        <v>44127</v>
      </c>
      <c r="B298" s="72">
        <v>6781825</v>
      </c>
    </row>
    <row r="299" spans="1:2" x14ac:dyDescent="0.2">
      <c r="A299" s="25">
        <v>44134</v>
      </c>
      <c r="B299" s="72">
        <v>6775763</v>
      </c>
    </row>
    <row r="300" spans="1:2" x14ac:dyDescent="0.2">
      <c r="A300" s="21">
        <v>44141</v>
      </c>
      <c r="B300" s="72">
        <v>6796905</v>
      </c>
    </row>
    <row r="301" spans="1:2" x14ac:dyDescent="0.2">
      <c r="A301" s="25">
        <v>44148</v>
      </c>
      <c r="B301" s="72">
        <v>6833483</v>
      </c>
    </row>
    <row r="302" spans="1:2" x14ac:dyDescent="0.2">
      <c r="A302" s="21">
        <v>44155</v>
      </c>
      <c r="B302" s="72">
        <v>6867814</v>
      </c>
    </row>
    <row r="303" spans="1:2" x14ac:dyDescent="0.2">
      <c r="A303" s="25">
        <v>44162</v>
      </c>
      <c r="B303" s="72">
        <v>6883402</v>
      </c>
    </row>
    <row r="304" spans="1:2" x14ac:dyDescent="0.2">
      <c r="A304" s="21">
        <v>44169</v>
      </c>
      <c r="B304" s="72">
        <v>6923120</v>
      </c>
    </row>
    <row r="305" spans="1:2" x14ac:dyDescent="0.2">
      <c r="A305" s="25">
        <v>44176</v>
      </c>
      <c r="B305" s="72">
        <v>6949632</v>
      </c>
    </row>
    <row r="306" spans="1:2" x14ac:dyDescent="0.2">
      <c r="A306" s="21">
        <v>44183</v>
      </c>
      <c r="B306" s="72">
        <v>7008896</v>
      </c>
    </row>
    <row r="307" spans="1:2" x14ac:dyDescent="0.2">
      <c r="A307" s="25">
        <v>44190</v>
      </c>
      <c r="B307" s="72">
        <v>7014661</v>
      </c>
    </row>
    <row r="308" spans="1:2" x14ac:dyDescent="0.2">
      <c r="A308" s="21">
        <v>44197</v>
      </c>
      <c r="B308" s="72">
        <v>6979324</v>
      </c>
    </row>
    <row r="309" spans="1:2" x14ac:dyDescent="0.2">
      <c r="A309" s="25">
        <v>44204</v>
      </c>
      <c r="B309" s="72">
        <v>6984713</v>
      </c>
    </row>
    <row r="310" spans="1:2" x14ac:dyDescent="0.2">
      <c r="A310" s="21">
        <v>44211</v>
      </c>
      <c r="B310" s="72">
        <v>7015645</v>
      </c>
    </row>
    <row r="311" spans="1:2" x14ac:dyDescent="0.2">
      <c r="A311" s="25">
        <v>44218</v>
      </c>
      <c r="B311" s="72">
        <v>7024240</v>
      </c>
    </row>
    <row r="312" spans="1:2" x14ac:dyDescent="0.2">
      <c r="A312" s="21">
        <v>44225</v>
      </c>
      <c r="B312" s="72">
        <v>7033256</v>
      </c>
    </row>
    <row r="313" spans="1:2" x14ac:dyDescent="0.2">
      <c r="A313" s="25">
        <v>44232</v>
      </c>
      <c r="B313" s="72">
        <v>7054472</v>
      </c>
    </row>
    <row r="314" spans="1:2" x14ac:dyDescent="0.2">
      <c r="A314" s="21">
        <v>44239</v>
      </c>
      <c r="B314" s="72">
        <v>7079135</v>
      </c>
    </row>
    <row r="315" spans="1:2" x14ac:dyDescent="0.2">
      <c r="A315" s="25">
        <v>44246</v>
      </c>
      <c r="B315" s="72">
        <v>7101159</v>
      </c>
    </row>
    <row r="316" spans="1:2" x14ac:dyDescent="0.2">
      <c r="A316" s="21">
        <v>44253</v>
      </c>
      <c r="B316" s="72">
        <v>7110487</v>
      </c>
    </row>
    <row r="317" spans="1:2" x14ac:dyDescent="0.2">
      <c r="A317" s="25">
        <v>44260</v>
      </c>
      <c r="B317" s="72">
        <v>7120334</v>
      </c>
    </row>
    <row r="318" spans="1:2" x14ac:dyDescent="0.2">
      <c r="A318" s="21">
        <v>44267</v>
      </c>
      <c r="B318" s="72">
        <v>7137484</v>
      </c>
    </row>
    <row r="319" spans="1:2" x14ac:dyDescent="0.2">
      <c r="A319" s="25">
        <v>44274</v>
      </c>
      <c r="B319" s="72">
        <v>7162230</v>
      </c>
    </row>
    <row r="320" spans="1:2" x14ac:dyDescent="0.2">
      <c r="A320" s="21">
        <v>44281</v>
      </c>
      <c r="B320" s="72">
        <v>7505021</v>
      </c>
    </row>
    <row r="321" spans="1:2" x14ac:dyDescent="0.2">
      <c r="A321" s="25">
        <v>44288</v>
      </c>
      <c r="B321" s="72">
        <v>7494111</v>
      </c>
    </row>
    <row r="322" spans="1:2" x14ac:dyDescent="0.2">
      <c r="A322" s="21">
        <v>44295</v>
      </c>
      <c r="B322" s="72">
        <v>7514267</v>
      </c>
    </row>
    <row r="323" spans="1:2" x14ac:dyDescent="0.2">
      <c r="A323" s="25">
        <v>44302</v>
      </c>
      <c r="B323" s="72">
        <v>7522199</v>
      </c>
    </row>
    <row r="324" spans="1:2" x14ac:dyDescent="0.2">
      <c r="A324" s="21">
        <v>44309</v>
      </c>
      <c r="B324" s="72">
        <v>7558280</v>
      </c>
    </row>
    <row r="325" spans="1:2" x14ac:dyDescent="0.2">
      <c r="A325" s="25">
        <v>44316</v>
      </c>
      <c r="B325" s="72">
        <v>7567945</v>
      </c>
    </row>
    <row r="326" spans="1:2" x14ac:dyDescent="0.2">
      <c r="A326" s="21">
        <v>44323</v>
      </c>
      <c r="B326" s="72">
        <v>7588768</v>
      </c>
    </row>
    <row r="327" spans="1:2" x14ac:dyDescent="0.2">
      <c r="A327" s="25">
        <v>44330</v>
      </c>
      <c r="B327" s="72">
        <v>7615694</v>
      </c>
    </row>
    <row r="328" spans="1:2" x14ac:dyDescent="0.2">
      <c r="A328" s="25">
        <v>44337</v>
      </c>
      <c r="B328" s="72">
        <v>7643170</v>
      </c>
    </row>
    <row r="329" spans="1:2" x14ac:dyDescent="0.2">
      <c r="A329" s="21">
        <v>44344</v>
      </c>
      <c r="B329" s="72">
        <v>7657629</v>
      </c>
    </row>
    <row r="330" spans="1:2" x14ac:dyDescent="0.2">
      <c r="A330" s="25">
        <v>44351</v>
      </c>
      <c r="B330" s="72">
        <v>7680137</v>
      </c>
    </row>
    <row r="331" spans="1:2" x14ac:dyDescent="0.2">
      <c r="A331" s="21">
        <v>44358</v>
      </c>
      <c r="B331" s="72">
        <v>7700937</v>
      </c>
    </row>
    <row r="332" spans="1:2" x14ac:dyDescent="0.2">
      <c r="A332" s="25">
        <v>44365</v>
      </c>
      <c r="B332" s="72">
        <v>7736536</v>
      </c>
    </row>
    <row r="333" spans="1:2" x14ac:dyDescent="0.2">
      <c r="A333" s="21">
        <v>44372</v>
      </c>
      <c r="B333" s="72">
        <v>7877127</v>
      </c>
    </row>
    <row r="334" spans="1:2" x14ac:dyDescent="0.2">
      <c r="A334" s="25">
        <v>44379</v>
      </c>
      <c r="B334" s="72">
        <v>7907807</v>
      </c>
    </row>
    <row r="335" spans="1:2" x14ac:dyDescent="0.2">
      <c r="A335" s="21">
        <v>44386</v>
      </c>
      <c r="B335" s="72">
        <v>7926550</v>
      </c>
    </row>
    <row r="336" spans="1:2" x14ac:dyDescent="0.2">
      <c r="A336" s="25">
        <v>44393</v>
      </c>
      <c r="B336" s="72">
        <v>7950657</v>
      </c>
    </row>
    <row r="337" spans="1:2" x14ac:dyDescent="0.2">
      <c r="A337" s="21">
        <v>44400</v>
      </c>
      <c r="B337" s="72">
        <v>7988045</v>
      </c>
    </row>
    <row r="338" spans="1:2" x14ac:dyDescent="0.2">
      <c r="A338" s="25">
        <v>44407</v>
      </c>
      <c r="B338" s="72">
        <v>7987364</v>
      </c>
    </row>
    <row r="339" spans="1:2" x14ac:dyDescent="0.2">
      <c r="A339" s="21">
        <v>44414</v>
      </c>
      <c r="B339" s="72">
        <v>8009676</v>
      </c>
    </row>
    <row r="340" spans="1:2" x14ac:dyDescent="0.2">
      <c r="A340" s="25">
        <v>44421</v>
      </c>
      <c r="B340" s="72">
        <v>8036014</v>
      </c>
    </row>
    <row r="341" spans="1:2" x14ac:dyDescent="0.2">
      <c r="A341" s="21">
        <v>44428</v>
      </c>
      <c r="B341" s="72">
        <v>8052776</v>
      </c>
    </row>
    <row r="342" spans="1:2" x14ac:dyDescent="0.2">
      <c r="A342" s="25">
        <v>44435</v>
      </c>
      <c r="B342" s="72">
        <v>8191312</v>
      </c>
    </row>
    <row r="343" spans="1:2" x14ac:dyDescent="0.2">
      <c r="A343" s="21">
        <v>44442</v>
      </c>
      <c r="B343" s="72">
        <v>8207534</v>
      </c>
    </row>
    <row r="344" spans="1:2" x14ac:dyDescent="0.2">
      <c r="A344" s="25">
        <v>44449</v>
      </c>
      <c r="B344" s="72">
        <v>8222733</v>
      </c>
    </row>
    <row r="345" spans="1:2" x14ac:dyDescent="0.2">
      <c r="A345" s="21">
        <v>44456</v>
      </c>
      <c r="B345" s="72">
        <v>8244572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Notes</vt:lpstr>
      <vt:lpstr>Discount Rate</vt:lpstr>
      <vt:lpstr>Fed Funds Rate</vt:lpstr>
      <vt:lpstr>M2 new</vt:lpstr>
      <vt:lpstr>M2 (old)</vt:lpstr>
      <vt:lpstr>Fed Weekly Change</vt:lpstr>
      <vt:lpstr>Fed Balance Sheet</vt:lpstr>
      <vt:lpstr>BOJ Balance Sheet</vt:lpstr>
      <vt:lpstr>ECB Balance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2021-12-19T13:10:45Z</dcterms:modified>
</cp:coreProperties>
</file>